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0" yWindow="4830" windowWidth="19965" windowHeight="4410"/>
  </bookViews>
  <sheets>
    <sheet name="TAFs" sheetId="1" r:id="rId1"/>
    <sheet name="Setup Data" sheetId="2" r:id="rId2"/>
    <sheet name="Sun" sheetId="6" state="hidden" r:id="rId3"/>
    <sheet name="ActivityLog" sheetId="5" state="hidden" r:id="rId4"/>
  </sheets>
  <functionGroups builtInGroupCount="17"/>
  <externalReferences>
    <externalReference r:id="rId5"/>
  </externalReferences>
  <definedNames>
    <definedName name="_xlnm._FilterDatabase" localSheetId="3" hidden="1">ActivityLog!$A$2:$C$16074</definedName>
    <definedName name="ADDS_TAF_Link">TAFs!$E$29</definedName>
    <definedName name="allIDs">TAFs!$E$5,TAFs!$E$7:$E$26</definedName>
    <definedName name="alt10ID">TAFs!$E$16</definedName>
    <definedName name="alt11ID">TAFs!$E$17</definedName>
    <definedName name="alt12ID">TAFs!$E$18</definedName>
    <definedName name="alt13ID">TAFs!$E$19</definedName>
    <definedName name="alt14ID">TAFs!$E$20</definedName>
    <definedName name="alt15ID">TAFs!$E$21</definedName>
    <definedName name="alt16ID">TAFs!$E$22</definedName>
    <definedName name="alt17ID">TAFs!$E$23</definedName>
    <definedName name="alt18ID">TAFs!$E$24</definedName>
    <definedName name="alt19ID">TAFs!$E$25</definedName>
    <definedName name="alt1ID">TAFs!$E$7</definedName>
    <definedName name="alt20ID">TAFs!$E$26</definedName>
    <definedName name="alt2ID">TAFs!$E$8</definedName>
    <definedName name="alt3ID">TAFs!$E$9</definedName>
    <definedName name="alt4ID">TAFs!$E$10</definedName>
    <definedName name="alt5ID">TAFs!$E$11</definedName>
    <definedName name="alt6ID">TAFs!$E$12</definedName>
    <definedName name="alt7ID">TAFs!$E$13</definedName>
    <definedName name="alt8ID">TAFs!$E$14</definedName>
    <definedName name="alt9ID">TAFs!$E$15</definedName>
    <definedName name="altIDs">TAFs!$E$7:$E$26</definedName>
    <definedName name="altReqCeil">TAFs!$BE$10</definedName>
    <definedName name="altReqVis">TAFs!$BL$10</definedName>
    <definedName name="altValidCeil">TAFs!$BE$20</definedName>
    <definedName name="altValidVis">TAFs!$BL$20</definedName>
    <definedName name="Date">Sun!$C$4</definedName>
    <definedName name="FifthDate">'[1]Turn Scheme'!$K$2</definedName>
    <definedName name="FirstDate">'[1]Turn Scheme'!$C$2</definedName>
    <definedName name="FourthDate">'[1]Turn Scheme'!$I$2</definedName>
    <definedName name="gridTopLeft">TAFs!$G$5</definedName>
    <definedName name="hiddenTimeStamp">TAFs!$BE$5</definedName>
    <definedName name="homeStationID">TAFs!$E$5</definedName>
    <definedName name="homeStations">OFFSET('Setup Data'!$A$1,0,0,1,COUNTA('Setup Data'!$A$1:$ZZ$1))</definedName>
    <definedName name="InputDate">Sun!$C$4</definedName>
    <definedName name="logAnchor">ActivityLog!$A$3</definedName>
    <definedName name="MonthNames">#REF!</definedName>
    <definedName name="noFileCeil">TAFs!$BE$13</definedName>
    <definedName name="noFileVis">TAFs!$BL$13</definedName>
    <definedName name="requiredAlt">Sun!$C$12</definedName>
    <definedName name="SecondDate">'[1]Turn Scheme'!$E$2</definedName>
    <definedName name="sunLat">Sun!$C$9</definedName>
    <definedName name="sunLong">Sun!$C$10</definedName>
    <definedName name="SunriseString">Sun!$G$7</definedName>
    <definedName name="SunriseTime">Sun!$H$7</definedName>
    <definedName name="SunsetString">Sun!$G$8</definedName>
    <definedName name="SunsetTime">Sun!$H$8</definedName>
    <definedName name="ThirdDate">'[1]Turn Scheme'!$G$2</definedName>
    <definedName name="timeStamp">TAFs!$BE$4</definedName>
    <definedName name="unLog">ActivityLog!$A:$A</definedName>
    <definedName name="VAX_0" localSheetId="0">TAFs!#REF!</definedName>
    <definedName name="zuluSunriseString">Sun!$G$5</definedName>
    <definedName name="zuluSunsetString">Sun!$G$6</definedName>
  </definedNames>
  <calcPr calcId="145621" calcMode="manual"/>
</workbook>
</file>

<file path=xl/calcChain.xml><?xml version="1.0" encoding="utf-8"?>
<calcChain xmlns="http://schemas.openxmlformats.org/spreadsheetml/2006/main">
  <c r="B7" i="1" l="1"/>
  <c r="B6" i="1"/>
  <c r="C11" i="6"/>
  <c r="C8" i="6"/>
  <c r="C4" i="6"/>
  <c r="C6" i="6" s="1"/>
  <c r="C5" i="6" l="1"/>
  <c r="C7" i="6"/>
  <c r="C15" i="6" l="1"/>
  <c r="C16" i="6" s="1"/>
  <c r="C22" i="6" s="1"/>
  <c r="C18" i="6" l="1"/>
  <c r="C19" i="6" s="1"/>
  <c r="C17" i="6"/>
  <c r="C20" i="6" l="1"/>
  <c r="C21" i="6" s="1"/>
  <c r="C24" i="6" s="1"/>
  <c r="C23" i="6" l="1"/>
  <c r="C25" i="6" s="1"/>
  <c r="C26" i="6" s="1"/>
  <c r="C28" i="6" s="1"/>
  <c r="C27" i="6" l="1"/>
  <c r="C29" i="6" s="1"/>
  <c r="D22" i="6" s="1"/>
  <c r="D18" i="6" l="1"/>
  <c r="D19" i="6" s="1"/>
  <c r="D17" i="6"/>
  <c r="D20" i="6" l="1"/>
  <c r="D21" i="6" s="1"/>
  <c r="D24" i="6" s="1"/>
  <c r="D23" i="6" l="1"/>
  <c r="D25" i="6" s="1"/>
  <c r="D26" i="6" s="1"/>
  <c r="D28" i="6" s="1"/>
  <c r="D27" i="6" l="1"/>
  <c r="D29" i="6" s="1"/>
  <c r="E22" i="6" l="1"/>
  <c r="E18" i="6"/>
  <c r="E19" i="6" s="1"/>
  <c r="E17" i="6"/>
  <c r="E20" i="6" l="1"/>
  <c r="E21" i="6" s="1"/>
  <c r="E24" i="6" s="1"/>
  <c r="E23" i="6" l="1"/>
  <c r="E25" i="6" s="1"/>
  <c r="E26" i="6" s="1"/>
  <c r="E28" i="6" s="1"/>
  <c r="E27" i="6" l="1"/>
  <c r="E29" i="6" l="1"/>
  <c r="F22" i="6" l="1"/>
  <c r="F18" i="6"/>
  <c r="F19" i="6" s="1"/>
  <c r="F17" i="6"/>
  <c r="F20" i="6" l="1"/>
  <c r="F21" i="6" s="1"/>
  <c r="F24" i="6" s="1"/>
  <c r="F23" i="6" l="1"/>
  <c r="F25" i="6" s="1"/>
  <c r="F26" i="6" s="1"/>
  <c r="F28" i="6" s="1"/>
  <c r="F6" i="6" s="1"/>
  <c r="F27" i="6" l="1"/>
  <c r="F5" i="6" s="1"/>
  <c r="L5" i="6"/>
  <c r="F8" i="6"/>
  <c r="N5" i="6" s="1"/>
  <c r="F29" i="6" l="1"/>
  <c r="N7" i="6"/>
  <c r="N6" i="6"/>
  <c r="N9" i="6"/>
  <c r="N10" i="6" s="1"/>
  <c r="L7" i="6"/>
  <c r="L6" i="6"/>
  <c r="L9" i="6"/>
  <c r="L10" i="6" s="1"/>
  <c r="F7" i="6"/>
  <c r="M5" i="6" s="1"/>
  <c r="K5" i="6"/>
  <c r="K7" i="6" l="1"/>
  <c r="K6" i="6"/>
  <c r="K9" i="6"/>
  <c r="K10" i="6" s="1"/>
  <c r="L14" i="6"/>
  <c r="L15" i="6" s="1"/>
  <c r="L12" i="6"/>
  <c r="L11" i="6"/>
  <c r="M7" i="6"/>
  <c r="M6" i="6"/>
  <c r="M9" i="6"/>
  <c r="M10" i="6" s="1"/>
  <c r="N14" i="6"/>
  <c r="N15" i="6" s="1"/>
  <c r="N12" i="6"/>
  <c r="N11" i="6"/>
  <c r="N17" i="6" l="1"/>
  <c r="H8" i="6" s="1"/>
  <c r="N16" i="6"/>
  <c r="M14" i="6"/>
  <c r="M15" i="6" s="1"/>
  <c r="M12" i="6"/>
  <c r="M11" i="6"/>
  <c r="L17" i="6"/>
  <c r="H6" i="6" s="1"/>
  <c r="L16" i="6"/>
  <c r="N13" i="6"/>
  <c r="N8" i="6"/>
  <c r="L13" i="6"/>
  <c r="L8" i="6"/>
  <c r="K14" i="6"/>
  <c r="K15" i="6" s="1"/>
  <c r="K12" i="6"/>
  <c r="K11" i="6"/>
  <c r="G8" i="6" l="1"/>
  <c r="C7" i="1" s="1"/>
  <c r="K17" i="6"/>
  <c r="H5" i="6" s="1"/>
  <c r="K16" i="6"/>
  <c r="K8" i="6"/>
  <c r="K13" i="6"/>
  <c r="G6" i="6"/>
  <c r="M17" i="6"/>
  <c r="H7" i="6" s="1"/>
  <c r="M16" i="6"/>
  <c r="M8" i="6"/>
  <c r="M13" i="6"/>
  <c r="G5" i="6" l="1"/>
  <c r="G7" i="6"/>
  <c r="C6" i="1" s="1"/>
  <c r="C5" i="1" l="1"/>
  <c r="BE7" i="1" l="1"/>
  <c r="K4" i="1" l="1"/>
  <c r="M4" i="1"/>
  <c r="O4" i="1"/>
  <c r="Q4" i="1"/>
  <c r="S4" i="1"/>
  <c r="U4" i="1"/>
  <c r="W4" i="1"/>
  <c r="Y4" i="1"/>
  <c r="AA4" i="1"/>
  <c r="AC4" i="1"/>
  <c r="AE4" i="1"/>
  <c r="AG4" i="1"/>
  <c r="AI4" i="1"/>
  <c r="AK4" i="1"/>
  <c r="AM4" i="1"/>
  <c r="AO4" i="1"/>
  <c r="AQ4" i="1"/>
  <c r="AS4" i="1"/>
  <c r="AU4" i="1"/>
  <c r="AW4" i="1"/>
  <c r="AY4" i="1"/>
  <c r="BA4" i="1"/>
  <c r="G4" i="1"/>
  <c r="I4" i="1"/>
  <c r="E8" i="1" l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7" i="1"/>
  <c r="G27" i="1" l="1"/>
  <c r="G3" i="1"/>
  <c r="I27" i="1" l="1"/>
  <c r="AW3" i="1"/>
  <c r="AY3" i="1"/>
  <c r="BA3" i="1"/>
  <c r="AO3" i="1"/>
  <c r="AQ3" i="1"/>
  <c r="AS3" i="1"/>
  <c r="AU3" i="1"/>
  <c r="AG3" i="1"/>
  <c r="AI3" i="1"/>
  <c r="AK3" i="1"/>
  <c r="AM3" i="1"/>
  <c r="K3" i="1"/>
  <c r="M3" i="1"/>
  <c r="O3" i="1"/>
  <c r="Q3" i="1"/>
  <c r="S3" i="1"/>
  <c r="U3" i="1"/>
  <c r="W3" i="1"/>
  <c r="Y3" i="1"/>
  <c r="AA3" i="1"/>
  <c r="AC3" i="1"/>
  <c r="AE3" i="1"/>
  <c r="I3" i="1"/>
  <c r="K27" i="1" l="1"/>
  <c r="G26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M27" i="1" l="1"/>
  <c r="M26" i="1" s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M22" i="1" l="1"/>
  <c r="M14" i="1"/>
  <c r="M18" i="1"/>
  <c r="M10" i="1"/>
  <c r="M6" i="1"/>
  <c r="M24" i="1"/>
  <c r="M20" i="1"/>
  <c r="M16" i="1"/>
  <c r="M12" i="1"/>
  <c r="M8" i="1"/>
  <c r="O27" i="1"/>
  <c r="O7" i="1" s="1"/>
  <c r="M25" i="1"/>
  <c r="M23" i="1"/>
  <c r="M21" i="1"/>
  <c r="M19" i="1"/>
  <c r="M17" i="1"/>
  <c r="M15" i="1"/>
  <c r="M13" i="1"/>
  <c r="M11" i="1"/>
  <c r="M9" i="1"/>
  <c r="M7" i="1"/>
  <c r="M5" i="1"/>
  <c r="O5" i="1" l="1"/>
  <c r="O21" i="1"/>
  <c r="O13" i="1"/>
  <c r="O25" i="1"/>
  <c r="O17" i="1"/>
  <c r="O9" i="1"/>
  <c r="O23" i="1"/>
  <c r="O19" i="1"/>
  <c r="O15" i="1"/>
  <c r="O11" i="1"/>
  <c r="Q27" i="1"/>
  <c r="Q7" i="1" s="1"/>
  <c r="O24" i="1"/>
  <c r="O22" i="1"/>
  <c r="O20" i="1"/>
  <c r="O18" i="1"/>
  <c r="O16" i="1"/>
  <c r="O14" i="1"/>
  <c r="O12" i="1"/>
  <c r="O10" i="1"/>
  <c r="O8" i="1"/>
  <c r="O6" i="1"/>
  <c r="O26" i="1"/>
  <c r="Q5" i="1" l="1"/>
  <c r="Q25" i="1"/>
  <c r="Q17" i="1"/>
  <c r="Q21" i="1"/>
  <c r="Q13" i="1"/>
  <c r="Q9" i="1"/>
  <c r="Q23" i="1"/>
  <c r="Q19" i="1"/>
  <c r="Q15" i="1"/>
  <c r="Q11" i="1"/>
  <c r="S27" i="1"/>
  <c r="S7" i="1" s="1"/>
  <c r="Q24" i="1"/>
  <c r="Q22" i="1"/>
  <c r="Q20" i="1"/>
  <c r="Q18" i="1"/>
  <c r="Q16" i="1"/>
  <c r="Q14" i="1"/>
  <c r="Q12" i="1"/>
  <c r="Q10" i="1"/>
  <c r="Q8" i="1"/>
  <c r="Q6" i="1"/>
  <c r="Q26" i="1"/>
  <c r="S5" i="1" l="1"/>
  <c r="S21" i="1"/>
  <c r="S13" i="1"/>
  <c r="S25" i="1"/>
  <c r="S17" i="1"/>
  <c r="S9" i="1"/>
  <c r="S23" i="1"/>
  <c r="S19" i="1"/>
  <c r="S15" i="1"/>
  <c r="S11" i="1"/>
  <c r="U27" i="1"/>
  <c r="U7" i="1" s="1"/>
  <c r="S24" i="1"/>
  <c r="S22" i="1"/>
  <c r="S20" i="1"/>
  <c r="S18" i="1"/>
  <c r="S16" i="1"/>
  <c r="S14" i="1"/>
  <c r="S12" i="1"/>
  <c r="S10" i="1"/>
  <c r="S8" i="1"/>
  <c r="S6" i="1"/>
  <c r="S26" i="1"/>
  <c r="U5" i="1" l="1"/>
  <c r="U21" i="1"/>
  <c r="U13" i="1"/>
  <c r="U25" i="1"/>
  <c r="U17" i="1"/>
  <c r="U9" i="1"/>
  <c r="U23" i="1"/>
  <c r="U19" i="1"/>
  <c r="U15" i="1"/>
  <c r="U11" i="1"/>
  <c r="W27" i="1"/>
  <c r="W7" i="1" s="1"/>
  <c r="U24" i="1"/>
  <c r="U22" i="1"/>
  <c r="U20" i="1"/>
  <c r="U18" i="1"/>
  <c r="U16" i="1"/>
  <c r="U14" i="1"/>
  <c r="U12" i="1"/>
  <c r="U10" i="1"/>
  <c r="U8" i="1"/>
  <c r="U6" i="1"/>
  <c r="U26" i="1"/>
  <c r="W5" i="1" l="1"/>
  <c r="W25" i="1"/>
  <c r="W21" i="1"/>
  <c r="W13" i="1"/>
  <c r="W17" i="1"/>
  <c r="W9" i="1"/>
  <c r="W23" i="1"/>
  <c r="W19" i="1"/>
  <c r="W15" i="1"/>
  <c r="W11" i="1"/>
  <c r="Y27" i="1"/>
  <c r="Y7" i="1" s="1"/>
  <c r="W24" i="1"/>
  <c r="W22" i="1"/>
  <c r="W20" i="1"/>
  <c r="W18" i="1"/>
  <c r="W16" i="1"/>
  <c r="W14" i="1"/>
  <c r="W12" i="1"/>
  <c r="W10" i="1"/>
  <c r="W8" i="1"/>
  <c r="W6" i="1"/>
  <c r="W26" i="1"/>
  <c r="Y5" i="1" l="1"/>
  <c r="Y21" i="1"/>
  <c r="Y13" i="1"/>
  <c r="Y25" i="1"/>
  <c r="Y17" i="1"/>
  <c r="Y9" i="1"/>
  <c r="Y23" i="1"/>
  <c r="Y19" i="1"/>
  <c r="Y15" i="1"/>
  <c r="Y11" i="1"/>
  <c r="AA27" i="1"/>
  <c r="AA7" i="1" s="1"/>
  <c r="Y24" i="1"/>
  <c r="Y22" i="1"/>
  <c r="Y20" i="1"/>
  <c r="Y18" i="1"/>
  <c r="Y16" i="1"/>
  <c r="Y14" i="1"/>
  <c r="Y12" i="1"/>
  <c r="Y10" i="1"/>
  <c r="Y8" i="1"/>
  <c r="Y6" i="1"/>
  <c r="Y26" i="1"/>
  <c r="AA5" i="1" l="1"/>
  <c r="AA21" i="1"/>
  <c r="AA13" i="1"/>
  <c r="AA25" i="1"/>
  <c r="AA17" i="1"/>
  <c r="AA9" i="1"/>
  <c r="AA23" i="1"/>
  <c r="AA19" i="1"/>
  <c r="AA15" i="1"/>
  <c r="AA11" i="1"/>
  <c r="AC27" i="1"/>
  <c r="AC5" i="1" s="1"/>
  <c r="AA24" i="1"/>
  <c r="AA22" i="1"/>
  <c r="AA20" i="1"/>
  <c r="AA18" i="1"/>
  <c r="AA16" i="1"/>
  <c r="AA14" i="1"/>
  <c r="AA12" i="1"/>
  <c r="AA10" i="1"/>
  <c r="AA8" i="1"/>
  <c r="AA6" i="1"/>
  <c r="AA26" i="1"/>
  <c r="AC7" i="1" l="1"/>
  <c r="AC15" i="1"/>
  <c r="AC21" i="1"/>
  <c r="AC13" i="1"/>
  <c r="AC25" i="1"/>
  <c r="AC17" i="1"/>
  <c r="AC9" i="1"/>
  <c r="AC23" i="1"/>
  <c r="AC19" i="1"/>
  <c r="AC11" i="1"/>
  <c r="AE27" i="1"/>
  <c r="AE7" i="1" s="1"/>
  <c r="AC24" i="1"/>
  <c r="AC22" i="1"/>
  <c r="AC20" i="1"/>
  <c r="AC18" i="1"/>
  <c r="AC16" i="1"/>
  <c r="AC14" i="1"/>
  <c r="AC12" i="1"/>
  <c r="AC10" i="1"/>
  <c r="AC8" i="1"/>
  <c r="AC6" i="1"/>
  <c r="AC26" i="1"/>
  <c r="AE5" i="1" l="1"/>
  <c r="AE23" i="1"/>
  <c r="AE15" i="1"/>
  <c r="AE19" i="1"/>
  <c r="AE11" i="1"/>
  <c r="AE25" i="1"/>
  <c r="AE21" i="1"/>
  <c r="AE17" i="1"/>
  <c r="AE13" i="1"/>
  <c r="AE9" i="1"/>
  <c r="AG27" i="1"/>
  <c r="AG26" i="1" s="1"/>
  <c r="AE24" i="1"/>
  <c r="AE22" i="1"/>
  <c r="AE20" i="1"/>
  <c r="AE18" i="1"/>
  <c r="AE16" i="1"/>
  <c r="AE14" i="1"/>
  <c r="AE12" i="1"/>
  <c r="AE10" i="1"/>
  <c r="AE8" i="1"/>
  <c r="AE6" i="1"/>
  <c r="AE26" i="1"/>
  <c r="AG5" i="1" l="1"/>
  <c r="AG23" i="1"/>
  <c r="AG19" i="1"/>
  <c r="AG25" i="1"/>
  <c r="AG21" i="1"/>
  <c r="AG17" i="1"/>
  <c r="AG15" i="1"/>
  <c r="AG13" i="1"/>
  <c r="AG11" i="1"/>
  <c r="AG9" i="1"/>
  <c r="AG24" i="1"/>
  <c r="AG22" i="1"/>
  <c r="AG20" i="1"/>
  <c r="AG18" i="1"/>
  <c r="AG16" i="1"/>
  <c r="AG14" i="1"/>
  <c r="AG12" i="1"/>
  <c r="AG10" i="1"/>
  <c r="AG7" i="1"/>
  <c r="AG8" i="1"/>
  <c r="AG6" i="1"/>
  <c r="AI27" i="1"/>
  <c r="AI5" i="1" s="1"/>
  <c r="AI11" i="1" l="1"/>
  <c r="AI22" i="1"/>
  <c r="AI24" i="1"/>
  <c r="AI18" i="1"/>
  <c r="AI9" i="1"/>
  <c r="AI14" i="1"/>
  <c r="AI25" i="1"/>
  <c r="AI23" i="1"/>
  <c r="AI20" i="1"/>
  <c r="AI16" i="1"/>
  <c r="AI12" i="1"/>
  <c r="AI6" i="1"/>
  <c r="AI21" i="1"/>
  <c r="AI19" i="1"/>
  <c r="AI17" i="1"/>
  <c r="AI15" i="1"/>
  <c r="AI13" i="1"/>
  <c r="AI10" i="1"/>
  <c r="AI8" i="1"/>
  <c r="AI26" i="1"/>
  <c r="AI7" i="1"/>
  <c r="AK27" i="1"/>
  <c r="AK26" i="1" s="1"/>
  <c r="AK20" i="1" l="1"/>
  <c r="AK24" i="1"/>
  <c r="AK14" i="1"/>
  <c r="AK22" i="1"/>
  <c r="AK18" i="1"/>
  <c r="AK10" i="1"/>
  <c r="AK16" i="1"/>
  <c r="AK12" i="1"/>
  <c r="AK8" i="1"/>
  <c r="AK6" i="1"/>
  <c r="AK25" i="1"/>
  <c r="AK23" i="1"/>
  <c r="AK21" i="1"/>
  <c r="AK19" i="1"/>
  <c r="AK17" i="1"/>
  <c r="AK15" i="1"/>
  <c r="AK13" i="1"/>
  <c r="AK11" i="1"/>
  <c r="AK9" i="1"/>
  <c r="AK7" i="1"/>
  <c r="AK5" i="1"/>
  <c r="AM27" i="1"/>
  <c r="AM26" i="1" s="1"/>
  <c r="AM25" i="1" l="1"/>
  <c r="AM21" i="1"/>
  <c r="AM17" i="1"/>
  <c r="AM11" i="1"/>
  <c r="AM23" i="1"/>
  <c r="AM19" i="1"/>
  <c r="AM15" i="1"/>
  <c r="AM7" i="1"/>
  <c r="AM24" i="1"/>
  <c r="AM22" i="1"/>
  <c r="AM20" i="1"/>
  <c r="AM18" i="1"/>
  <c r="AM16" i="1"/>
  <c r="AM13" i="1"/>
  <c r="AM9" i="1"/>
  <c r="AM5" i="1"/>
  <c r="AM14" i="1"/>
  <c r="AM12" i="1"/>
  <c r="AM10" i="1"/>
  <c r="AM8" i="1"/>
  <c r="AM6" i="1"/>
  <c r="AO27" i="1"/>
  <c r="AO26" i="1" s="1"/>
  <c r="AO22" i="1" l="1"/>
  <c r="AO18" i="1"/>
  <c r="AO24" i="1"/>
  <c r="AO20" i="1"/>
  <c r="AO16" i="1"/>
  <c r="AO14" i="1"/>
  <c r="AO12" i="1"/>
  <c r="AO10" i="1"/>
  <c r="AO8" i="1"/>
  <c r="AO6" i="1"/>
  <c r="AO25" i="1"/>
  <c r="AO23" i="1"/>
  <c r="AO21" i="1"/>
  <c r="AO19" i="1"/>
  <c r="AO17" i="1"/>
  <c r="AO15" i="1"/>
  <c r="AO13" i="1"/>
  <c r="AO11" i="1"/>
  <c r="AO9" i="1"/>
  <c r="AO7" i="1"/>
  <c r="AO5" i="1"/>
  <c r="AQ27" i="1"/>
  <c r="AQ5" i="1" s="1"/>
  <c r="AQ25" i="1" l="1"/>
  <c r="AQ23" i="1"/>
  <c r="AQ21" i="1"/>
  <c r="AQ17" i="1"/>
  <c r="AQ13" i="1"/>
  <c r="AQ24" i="1"/>
  <c r="AQ22" i="1"/>
  <c r="AQ19" i="1"/>
  <c r="AQ15" i="1"/>
  <c r="AQ10" i="1"/>
  <c r="AQ6" i="1"/>
  <c r="AQ20" i="1"/>
  <c r="AQ18" i="1"/>
  <c r="AQ16" i="1"/>
  <c r="AQ14" i="1"/>
  <c r="AQ12" i="1"/>
  <c r="AQ8" i="1"/>
  <c r="AQ26" i="1"/>
  <c r="AQ11" i="1"/>
  <c r="AQ9" i="1"/>
  <c r="AQ7" i="1"/>
  <c r="AS27" i="1"/>
  <c r="AS26" i="1" s="1"/>
  <c r="AS23" i="1" l="1"/>
  <c r="AS25" i="1"/>
  <c r="AS15" i="1"/>
  <c r="AS19" i="1"/>
  <c r="AS11" i="1"/>
  <c r="AS7" i="1"/>
  <c r="AS24" i="1"/>
  <c r="AS21" i="1"/>
  <c r="AS17" i="1"/>
  <c r="AS13" i="1"/>
  <c r="AS9" i="1"/>
  <c r="AS5" i="1"/>
  <c r="AS22" i="1"/>
  <c r="AS20" i="1"/>
  <c r="AS18" i="1"/>
  <c r="AS16" i="1"/>
  <c r="AS14" i="1"/>
  <c r="AS12" i="1"/>
  <c r="AS10" i="1"/>
  <c r="AS8" i="1"/>
  <c r="AS6" i="1"/>
  <c r="AU27" i="1"/>
  <c r="AU26" i="1" s="1"/>
  <c r="AU25" i="1" l="1"/>
  <c r="AU23" i="1"/>
  <c r="AU20" i="1"/>
  <c r="AU24" i="1"/>
  <c r="AU22" i="1"/>
  <c r="AU17" i="1"/>
  <c r="AU21" i="1"/>
  <c r="AU19" i="1"/>
  <c r="AU15" i="1"/>
  <c r="AU13" i="1"/>
  <c r="AU11" i="1"/>
  <c r="AU7" i="1"/>
  <c r="AU9" i="1"/>
  <c r="AU5" i="1"/>
  <c r="AU18" i="1"/>
  <c r="AU16" i="1"/>
  <c r="AU14" i="1"/>
  <c r="AU12" i="1"/>
  <c r="AU10" i="1"/>
  <c r="AU8" i="1"/>
  <c r="AU6" i="1"/>
  <c r="AW27" i="1"/>
  <c r="AW26" i="1" s="1"/>
  <c r="AW24" i="1" l="1"/>
  <c r="AW20" i="1"/>
  <c r="AW22" i="1"/>
  <c r="AW18" i="1"/>
  <c r="AW15" i="1"/>
  <c r="AW11" i="1"/>
  <c r="AW25" i="1"/>
  <c r="AW23" i="1"/>
  <c r="AW21" i="1"/>
  <c r="AW19" i="1"/>
  <c r="AW17" i="1"/>
  <c r="AW13" i="1"/>
  <c r="AW9" i="1"/>
  <c r="AW7" i="1"/>
  <c r="AW5" i="1"/>
  <c r="AW16" i="1"/>
  <c r="AW14" i="1"/>
  <c r="AW12" i="1"/>
  <c r="AW10" i="1"/>
  <c r="AW8" i="1"/>
  <c r="AW6" i="1"/>
  <c r="AY27" i="1"/>
  <c r="AY26" i="1" s="1"/>
  <c r="AY25" i="1" l="1"/>
  <c r="AY22" i="1"/>
  <c r="AY24" i="1"/>
  <c r="AY20" i="1"/>
  <c r="AY11" i="1"/>
  <c r="AY23" i="1"/>
  <c r="AY21" i="1"/>
  <c r="AY18" i="1"/>
  <c r="AY19" i="1"/>
  <c r="AY16" i="1"/>
  <c r="AY14" i="1"/>
  <c r="AY12" i="1"/>
  <c r="AY9" i="1"/>
  <c r="AY7" i="1"/>
  <c r="AY5" i="1"/>
  <c r="AY17" i="1"/>
  <c r="AY15" i="1"/>
  <c r="AY13" i="1"/>
  <c r="AY10" i="1"/>
  <c r="AY8" i="1"/>
  <c r="AY6" i="1"/>
  <c r="BA27" i="1"/>
  <c r="BA26" i="1" s="1"/>
  <c r="BA22" i="1" l="1"/>
  <c r="BA16" i="1"/>
  <c r="BA24" i="1"/>
  <c r="BA20" i="1"/>
  <c r="BA12" i="1"/>
  <c r="BA8" i="1"/>
  <c r="BA25" i="1"/>
  <c r="BA23" i="1"/>
  <c r="BA21" i="1"/>
  <c r="BA18" i="1"/>
  <c r="BA14" i="1"/>
  <c r="BA10" i="1"/>
  <c r="BA6" i="1"/>
  <c r="BA19" i="1"/>
  <c r="BA17" i="1"/>
  <c r="BA15" i="1"/>
  <c r="BA13" i="1"/>
  <c r="BA11" i="1"/>
  <c r="BA9" i="1"/>
  <c r="BA7" i="1"/>
  <c r="BA5" i="1"/>
</calcChain>
</file>

<file path=xl/comments1.xml><?xml version="1.0" encoding="utf-8"?>
<comments xmlns="http://schemas.openxmlformats.org/spreadsheetml/2006/main">
  <authors>
    <author>Andrew Geist</author>
  </authors>
  <commentList>
    <comment ref="E5" authorId="0">
      <text>
        <r>
          <rPr>
            <sz val="10"/>
            <color indexed="9"/>
            <rFont val="Tahoma"/>
            <family val="2"/>
          </rPr>
          <t>MOODY AFB/VALDOS
KVAD 040058Z AUTO 00000KT 10SM CLR 18/13 A2987 RMK AO2 SLP116 T01750133 $</t>
        </r>
      </text>
    </comment>
    <comment ref="G5" authorId="0">
      <text>
        <r>
          <rPr>
            <sz val="10"/>
            <color indexed="9"/>
            <rFont val="Tahoma"/>
            <family val="2"/>
          </rPr>
          <t>KVAD 040058Z  000/0KT 10.0 SM CLR</t>
        </r>
      </text>
    </comment>
    <comment ref="I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K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M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O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Q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S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U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W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Y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A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C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E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G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I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K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M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O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Q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S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U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W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Y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BA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E7" authorId="0">
      <text>
        <r>
          <rPr>
            <sz val="10"/>
            <color indexed="9"/>
            <rFont val="Tahoma"/>
            <family val="2"/>
          </rPr>
          <t xml:space="preserve">VALDOSTA REGIONA
KVLD 040153Z 00000KT 10SM CLR 15/14 A2988 RMK AO2 SLP126 T01500139
KVLD 032323Z 0400/0424 00000KT P6SM BKN200 
FM040700 00000KT 3SM BR SCT004 BKN150 
FM041000 00000KT 1SM BR BKN002 
FM041400 32004KT P6SM SCT005 BKN150 
FM041900 35008KT P6SM SCT150 </t>
        </r>
      </text>
    </comment>
    <comment ref="G7" authorId="0">
      <text>
        <r>
          <rPr>
            <sz val="10"/>
            <color indexed="9"/>
            <rFont val="Tahoma"/>
            <family val="2"/>
          </rPr>
          <t>KVLD 040153Z  000/0KT 10.0 SM CLR
KVLD 0400/0407 000/0KT 6.21 SM BKN200</t>
        </r>
      </text>
    </comment>
    <comment ref="I7" authorId="0">
      <text>
        <r>
          <rPr>
            <sz val="10"/>
            <color indexed="9"/>
            <rFont val="Tahoma"/>
            <family val="2"/>
          </rPr>
          <t>KVLD 0400/0407 000/0KT 6.21 SM BKN200</t>
        </r>
      </text>
    </comment>
    <comment ref="K7" authorId="0">
      <text>
        <r>
          <rPr>
            <sz val="10"/>
            <color indexed="9"/>
            <rFont val="Tahoma"/>
            <family val="2"/>
          </rPr>
          <t>KVLD 0400/0407 000/0KT 6.21 SM BKN200</t>
        </r>
      </text>
    </comment>
    <comment ref="M7" authorId="0">
      <text>
        <r>
          <rPr>
            <sz val="10"/>
            <color indexed="9"/>
            <rFont val="Tahoma"/>
            <family val="2"/>
          </rPr>
          <t>KVLD 0400/0407 000/0KT 6.21 SM BKN200</t>
        </r>
      </text>
    </comment>
    <comment ref="O7" authorId="0">
      <text>
        <r>
          <rPr>
            <sz val="10"/>
            <color indexed="9"/>
            <rFont val="Tahoma"/>
            <family val="2"/>
          </rPr>
          <t>KVLD 0400/0407 000/0KT 6.21 SM BKN200</t>
        </r>
      </text>
    </comment>
    <comment ref="Q7" authorId="0">
      <text>
        <r>
          <rPr>
            <sz val="10"/>
            <color indexed="9"/>
            <rFont val="Tahoma"/>
            <family val="2"/>
          </rPr>
          <t>KVLD 0400/0407 000/0KT 6.21 SM BKN200</t>
        </r>
      </text>
    </comment>
    <comment ref="S7" authorId="0">
      <text>
        <r>
          <rPr>
            <sz val="10"/>
            <color indexed="9"/>
            <rFont val="Tahoma"/>
            <family val="2"/>
          </rPr>
          <t>KVLD FM 0407/0410 000/0KT 3.0 SM BR SCT004 BKN150</t>
        </r>
      </text>
    </comment>
    <comment ref="U7" authorId="0">
      <text>
        <r>
          <rPr>
            <sz val="10"/>
            <color indexed="9"/>
            <rFont val="Tahoma"/>
            <family val="2"/>
          </rPr>
          <t>KVLD FM 0407/0410 000/0KT 3.0 SM BR SCT004 BKN150</t>
        </r>
      </text>
    </comment>
    <comment ref="W7" authorId="0">
      <text>
        <r>
          <rPr>
            <sz val="10"/>
            <color indexed="9"/>
            <rFont val="Tahoma"/>
            <family val="2"/>
          </rPr>
          <t>KVLD FM 0407/0410 000/0KT 3.0 SM BR SCT004 BKN150</t>
        </r>
      </text>
    </comment>
    <comment ref="Y7" authorId="0">
      <text>
        <r>
          <rPr>
            <sz val="10"/>
            <color indexed="9"/>
            <rFont val="Tahoma"/>
            <family val="2"/>
          </rPr>
          <t>KVLD FM 0410/0414 000/0KT 1.0 SM BR BKN002</t>
        </r>
      </text>
    </comment>
    <comment ref="AA7" authorId="0">
      <text>
        <r>
          <rPr>
            <sz val="10"/>
            <color indexed="9"/>
            <rFont val="Tahoma"/>
            <family val="2"/>
          </rPr>
          <t>KVLD FM 0410/0414 000/0KT 1.0 SM BR BKN002</t>
        </r>
      </text>
    </comment>
    <comment ref="AC7" authorId="0">
      <text>
        <r>
          <rPr>
            <sz val="10"/>
            <color indexed="9"/>
            <rFont val="Tahoma"/>
            <family val="2"/>
          </rPr>
          <t>KVLD FM 0410/0414 000/0KT 1.0 SM BR BKN002</t>
        </r>
      </text>
    </comment>
    <comment ref="AE7" authorId="0">
      <text>
        <r>
          <rPr>
            <sz val="10"/>
            <color indexed="9"/>
            <rFont val="Tahoma"/>
            <family val="2"/>
          </rPr>
          <t>KVLD FM 0410/0414 000/0KT 1.0 SM BR BKN002</t>
        </r>
      </text>
    </comment>
    <comment ref="AG7" authorId="0">
      <text>
        <r>
          <rPr>
            <sz val="10"/>
            <color indexed="9"/>
            <rFont val="Tahoma"/>
            <family val="2"/>
          </rPr>
          <t>KVLD FM 0414/0419 320/4KT 6.21 SM SCT005 BKN150</t>
        </r>
      </text>
    </comment>
    <comment ref="AI7" authorId="0">
      <text>
        <r>
          <rPr>
            <sz val="10"/>
            <color indexed="9"/>
            <rFont val="Tahoma"/>
            <family val="2"/>
          </rPr>
          <t>KVLD FM 0414/0419 320/4KT 6.21 SM SCT005 BKN150</t>
        </r>
      </text>
    </comment>
    <comment ref="AK7" authorId="0">
      <text>
        <r>
          <rPr>
            <sz val="10"/>
            <color indexed="9"/>
            <rFont val="Tahoma"/>
            <family val="2"/>
          </rPr>
          <t>KVLD FM 0414/0419 320/4KT 6.21 SM SCT005 BKN150</t>
        </r>
      </text>
    </comment>
    <comment ref="AM7" authorId="0">
      <text>
        <r>
          <rPr>
            <sz val="10"/>
            <color indexed="9"/>
            <rFont val="Tahoma"/>
            <family val="2"/>
          </rPr>
          <t>KVLD FM 0414/0419 320/4KT 6.21 SM SCT005 BKN150</t>
        </r>
      </text>
    </comment>
    <comment ref="AO7" authorId="0">
      <text>
        <r>
          <rPr>
            <sz val="10"/>
            <color indexed="9"/>
            <rFont val="Tahoma"/>
            <family val="2"/>
          </rPr>
          <t>KVLD FM 0414/0419 320/4KT 6.21 SM SCT005 BKN150</t>
        </r>
      </text>
    </comment>
    <comment ref="AQ7" authorId="0">
      <text>
        <r>
          <rPr>
            <sz val="10"/>
            <color indexed="9"/>
            <rFont val="Tahoma"/>
            <family val="2"/>
          </rPr>
          <t>KVLD FM 0419/0500 350/8KT 6.21 SM SCT150</t>
        </r>
      </text>
    </comment>
    <comment ref="AS7" authorId="0">
      <text>
        <r>
          <rPr>
            <sz val="10"/>
            <color indexed="9"/>
            <rFont val="Tahoma"/>
            <family val="2"/>
          </rPr>
          <t>KVLD FM 0419/0500 350/8KT 6.21 SM SCT150</t>
        </r>
      </text>
    </comment>
    <comment ref="AU7" authorId="0">
      <text>
        <r>
          <rPr>
            <sz val="10"/>
            <color indexed="9"/>
            <rFont val="Tahoma"/>
            <family val="2"/>
          </rPr>
          <t>KVLD FM 0419/0500 350/8KT 6.21 SM SCT150</t>
        </r>
      </text>
    </comment>
    <comment ref="AW7" authorId="0">
      <text>
        <r>
          <rPr>
            <sz val="10"/>
            <color indexed="9"/>
            <rFont val="Tahoma"/>
            <family val="2"/>
          </rPr>
          <t>KVLD FM 0419/0500 350/8KT 6.21 SM SCT150</t>
        </r>
      </text>
    </comment>
    <comment ref="AY7" authorId="0">
      <text>
        <r>
          <rPr>
            <sz val="10"/>
            <color indexed="9"/>
            <rFont val="Tahoma"/>
            <family val="2"/>
          </rPr>
          <t>KVLD FM 0419/0500 350/8KT 6.21 SM SCT150</t>
        </r>
      </text>
    </comment>
    <comment ref="BA7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E8" authorId="0">
      <text>
        <r>
          <rPr>
            <sz val="10"/>
            <color indexed="9"/>
            <rFont val="Tahoma"/>
            <family val="2"/>
          </rPr>
          <t xml:space="preserve">JACKSONVILLE NAS
KNIP 040153Z 20006KT 10SM FEW040 OVC250 22/21 A2988 RMK AO2 SLP115 T02220211 $
TAF KNIP 0323/0423 23007KT 9999 VCSH FEW030 SCT065 BKN150 BKN250 542909 543803 QNH2984INS 
FM040300 VRB05KT 6000 BR SCT002 OVC010 500000 QNH2985INS 
FM040700 VRB05KT 0800 FG VV002 500000 QNH2986INS 
TEMPO 0412/0415 VRB04KT 4800 BR SCT002 BKN008 
FM041500 30006KT 9999 FEW010 BKN025 BKN100 QNH2986INS 
FM041800 29008KT 9999 FEW040 SCT250 QNH2983INS T16/0411Z T24/0420Z FN20016 </t>
        </r>
      </text>
    </comment>
    <comment ref="G8" authorId="0">
      <text>
        <r>
          <rPr>
            <sz val="10"/>
            <color indexed="9"/>
            <rFont val="Tahoma"/>
            <family val="2"/>
          </rPr>
          <t>KNIP 040153Z  200/6KT 10.0 SM FEW040 OVC250
KNIP 0323/0403 230/7KT 6.21 SM VCSH FEW030 SCT065 BKN150</t>
        </r>
      </text>
    </comment>
    <comment ref="I8" authorId="0">
      <text>
        <r>
          <rPr>
            <sz val="10"/>
            <color indexed="9"/>
            <rFont val="Tahoma"/>
            <family val="2"/>
          </rPr>
          <t>KNIP 0323/0403 230/7KT 6.21 SM VCSH FEW030 SCT065 BKN150</t>
        </r>
      </text>
    </comment>
    <comment ref="K8" authorId="0">
      <text>
        <r>
          <rPr>
            <sz val="10"/>
            <color indexed="9"/>
            <rFont val="Tahoma"/>
            <family val="2"/>
          </rPr>
          <t>KNIP FM 0403/0407 000/5KT 3.73 SM BR SCT002 OVC010</t>
        </r>
      </text>
    </comment>
    <comment ref="M8" authorId="0">
      <text>
        <r>
          <rPr>
            <sz val="10"/>
            <color indexed="9"/>
            <rFont val="Tahoma"/>
            <family val="2"/>
          </rPr>
          <t>KNIP FM 0403/0407 000/5KT 3.73 SM BR SCT002 OVC010</t>
        </r>
      </text>
    </comment>
    <comment ref="O8" authorId="0">
      <text>
        <r>
          <rPr>
            <sz val="10"/>
            <color indexed="9"/>
            <rFont val="Tahoma"/>
            <family val="2"/>
          </rPr>
          <t>KNIP FM 0403/0407 000/5KT 3.73 SM BR SCT002 OVC010</t>
        </r>
      </text>
    </comment>
    <comment ref="Q8" authorId="0">
      <text>
        <r>
          <rPr>
            <sz val="10"/>
            <color indexed="9"/>
            <rFont val="Tahoma"/>
            <family val="2"/>
          </rPr>
          <t>KNIP FM 0403/0407 000/5KT 3.73 SM BR SCT002 OVC010</t>
        </r>
      </text>
    </comment>
    <comment ref="S8" authorId="0">
      <text>
        <r>
          <rPr>
            <sz val="10"/>
            <color indexed="9"/>
            <rFont val="Tahoma"/>
            <family val="2"/>
          </rPr>
          <t>KNIP FM 0407/0415 000/5KT 0.5 SM FG OVX</t>
        </r>
      </text>
    </comment>
    <comment ref="U8" authorId="0">
      <text>
        <r>
          <rPr>
            <sz val="10"/>
            <color indexed="9"/>
            <rFont val="Tahoma"/>
            <family val="2"/>
          </rPr>
          <t>KNIP FM 0407/0415 000/5KT 0.5 SM FG OVX</t>
        </r>
      </text>
    </comment>
    <comment ref="W8" authorId="0">
      <text>
        <r>
          <rPr>
            <sz val="10"/>
            <color indexed="9"/>
            <rFont val="Tahoma"/>
            <family val="2"/>
          </rPr>
          <t>KNIP FM 0407/0415 000/5KT 0.5 SM FG OVX</t>
        </r>
      </text>
    </comment>
    <comment ref="Y8" authorId="0">
      <text>
        <r>
          <rPr>
            <sz val="10"/>
            <color indexed="9"/>
            <rFont val="Tahoma"/>
            <family val="2"/>
          </rPr>
          <t>KNIP FM 0407/0415 000/5KT 0.5 SM FG OVX</t>
        </r>
      </text>
    </comment>
    <comment ref="AA8" authorId="0">
      <text>
        <r>
          <rPr>
            <sz val="10"/>
            <color indexed="9"/>
            <rFont val="Tahoma"/>
            <family val="2"/>
          </rPr>
          <t>KNIP FM 0407/0415 000/5KT 0.5 SM FG OVX</t>
        </r>
      </text>
    </comment>
    <comment ref="AC8" authorId="0">
      <text>
        <r>
          <rPr>
            <sz val="10"/>
            <color indexed="9"/>
            <rFont val="Tahoma"/>
            <family val="2"/>
          </rPr>
          <t>KNIP TEMPO 0412/0415 000/4KT 2.98 SM BR SCT002 BKN008
KNIP FM 0407/0415 000/5KT 0.5 SM FG OVX</t>
        </r>
      </text>
    </comment>
    <comment ref="AE8" authorId="0">
      <text>
        <r>
          <rPr>
            <sz val="10"/>
            <color indexed="9"/>
            <rFont val="Tahoma"/>
            <family val="2"/>
          </rPr>
          <t>KNIP TEMPO 0412/0415 000/4KT 2.98 SM BR SCT002 BKN008
KNIP FM 0407/0415 000/5KT 0.5 SM FG OVX</t>
        </r>
      </text>
    </comment>
    <comment ref="AG8" authorId="0">
      <text>
        <r>
          <rPr>
            <sz val="10"/>
            <color indexed="9"/>
            <rFont val="Tahoma"/>
            <family val="2"/>
          </rPr>
          <t>KNIP TEMPO 0412/0415 000/4KT 2.98 SM BR SCT002 BKN008
KNIP FM 0407/0415 000/5KT 0.5 SM FG OVX</t>
        </r>
      </text>
    </comment>
    <comment ref="AI8" authorId="0">
      <text>
        <r>
          <rPr>
            <sz val="10"/>
            <color indexed="9"/>
            <rFont val="Tahoma"/>
            <family val="2"/>
          </rPr>
          <t>KNIP FM 0415/0418 300/6KT 6.21 SM FEW010 BKN025 BKN100</t>
        </r>
      </text>
    </comment>
    <comment ref="AK8" authorId="0">
      <text>
        <r>
          <rPr>
            <sz val="10"/>
            <color indexed="9"/>
            <rFont val="Tahoma"/>
            <family val="2"/>
          </rPr>
          <t>KNIP FM 0415/0418 300/6KT 6.21 SM FEW010 BKN025 BKN100</t>
        </r>
      </text>
    </comment>
    <comment ref="AM8" authorId="0">
      <text>
        <r>
          <rPr>
            <sz val="10"/>
            <color indexed="9"/>
            <rFont val="Tahoma"/>
            <family val="2"/>
          </rPr>
          <t>KNIP FM 0415/0418 300/6KT 6.21 SM FEW010 BKN025 BKN100</t>
        </r>
      </text>
    </comment>
    <comment ref="AO8" authorId="0">
      <text>
        <r>
          <rPr>
            <sz val="10"/>
            <color indexed="9"/>
            <rFont val="Tahoma"/>
            <family val="2"/>
          </rPr>
          <t>KNIP FM 0418/0423 290/8KT 6.21 SM FEW040 SCT250</t>
        </r>
      </text>
    </comment>
    <comment ref="AQ8" authorId="0">
      <text>
        <r>
          <rPr>
            <sz val="10"/>
            <color indexed="9"/>
            <rFont val="Tahoma"/>
            <family val="2"/>
          </rPr>
          <t>KNIP FM 0418/0423 290/8KT 6.21 SM FEW040 SCT250</t>
        </r>
      </text>
    </comment>
    <comment ref="AS8" authorId="0">
      <text>
        <r>
          <rPr>
            <sz val="10"/>
            <color indexed="9"/>
            <rFont val="Tahoma"/>
            <family val="2"/>
          </rPr>
          <t>KNIP FM 0418/0423 290/8KT 6.21 SM FEW040 SCT250</t>
        </r>
      </text>
    </comment>
    <comment ref="AU8" authorId="0">
      <text>
        <r>
          <rPr>
            <sz val="10"/>
            <color indexed="9"/>
            <rFont val="Tahoma"/>
            <family val="2"/>
          </rPr>
          <t>KNIP FM 0418/0423 290/8KT 6.21 SM FEW040 SCT250</t>
        </r>
      </text>
    </comment>
    <comment ref="AW8" authorId="0">
      <text>
        <r>
          <rPr>
            <sz val="10"/>
            <color indexed="9"/>
            <rFont val="Tahoma"/>
            <family val="2"/>
          </rPr>
          <t>KNIP FM 0418/0423 290/8KT 6.21 SM FEW040 SCT250</t>
        </r>
      </text>
    </comment>
    <comment ref="AY8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BA8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E9" authorId="0">
      <text>
        <r>
          <rPr>
            <sz val="10"/>
            <color indexed="9"/>
            <rFont val="Tahoma"/>
            <family val="2"/>
          </rPr>
          <t xml:space="preserve">JACKSONVILLE
KJAX 040056Z 23006KT 10SM FEW150 OVC250 22/21 A2986 RMK AO2 SLP113 T02170211
KJAX 032320Z 0400/0424 23007KT P6SM SCT030 BKN050 
FM040300 26006KT 4SM BR SCT008 BKN015 
FM041400 29008KT P6SM BKN010 OVC030 
FM041700 29010KT P6SM SCT025 BKN035 </t>
        </r>
      </text>
    </comment>
    <comment ref="G9" authorId="0">
      <text>
        <r>
          <rPr>
            <sz val="10"/>
            <color indexed="9"/>
            <rFont val="Tahoma"/>
            <family val="2"/>
          </rPr>
          <t>KJAX 040056Z  230/6KT 10.0 SM FEW150 OVC250
KJAX 0400/0403 230/7KT 6.21 SM SCT030 BKN050</t>
        </r>
      </text>
    </comment>
    <comment ref="I9" authorId="0">
      <text>
        <r>
          <rPr>
            <sz val="10"/>
            <color indexed="9"/>
            <rFont val="Tahoma"/>
            <family val="2"/>
          </rPr>
          <t>KJAX 0400/0403 230/7KT 6.21 SM SCT030 BKN050</t>
        </r>
      </text>
    </comment>
    <comment ref="K9" authorId="0">
      <text>
        <r>
          <rPr>
            <sz val="10"/>
            <color indexed="9"/>
            <rFont val="Tahoma"/>
            <family val="2"/>
          </rPr>
          <t>KJAX FM 0403/0414 260/6KT 4.0 SM BR SCT008 BKN015</t>
        </r>
      </text>
    </comment>
    <comment ref="M9" authorId="0">
      <text>
        <r>
          <rPr>
            <sz val="10"/>
            <color indexed="9"/>
            <rFont val="Tahoma"/>
            <family val="2"/>
          </rPr>
          <t>KJAX FM 0403/0414 260/6KT 4.0 SM BR SCT008 BKN015</t>
        </r>
      </text>
    </comment>
    <comment ref="O9" authorId="0">
      <text>
        <r>
          <rPr>
            <sz val="10"/>
            <color indexed="9"/>
            <rFont val="Tahoma"/>
            <family val="2"/>
          </rPr>
          <t>KJAX FM 0403/0414 260/6KT 4.0 SM BR SCT008 BKN015</t>
        </r>
      </text>
    </comment>
    <comment ref="Q9" authorId="0">
      <text>
        <r>
          <rPr>
            <sz val="10"/>
            <color indexed="9"/>
            <rFont val="Tahoma"/>
            <family val="2"/>
          </rPr>
          <t>KJAX FM 0403/0414 260/6KT 4.0 SM BR SCT008 BKN015</t>
        </r>
      </text>
    </comment>
    <comment ref="S9" authorId="0">
      <text>
        <r>
          <rPr>
            <sz val="10"/>
            <color indexed="9"/>
            <rFont val="Tahoma"/>
            <family val="2"/>
          </rPr>
          <t>KJAX FM 0403/0414 260/6KT 4.0 SM BR SCT008 BKN015</t>
        </r>
      </text>
    </comment>
    <comment ref="U9" authorId="0">
      <text>
        <r>
          <rPr>
            <sz val="10"/>
            <color indexed="9"/>
            <rFont val="Tahoma"/>
            <family val="2"/>
          </rPr>
          <t>KJAX FM 0403/0414 260/6KT 4.0 SM BR SCT008 BKN015</t>
        </r>
      </text>
    </comment>
    <comment ref="W9" authorId="0">
      <text>
        <r>
          <rPr>
            <sz val="10"/>
            <color indexed="9"/>
            <rFont val="Tahoma"/>
            <family val="2"/>
          </rPr>
          <t>KJAX FM 0403/0414 260/6KT 4.0 SM BR SCT008 BKN015</t>
        </r>
      </text>
    </comment>
    <comment ref="Y9" authorId="0">
      <text>
        <r>
          <rPr>
            <sz val="10"/>
            <color indexed="9"/>
            <rFont val="Tahoma"/>
            <family val="2"/>
          </rPr>
          <t>KJAX FM 0403/0414 260/6KT 4.0 SM BR SCT008 BKN015</t>
        </r>
      </text>
    </comment>
    <comment ref="AA9" authorId="0">
      <text>
        <r>
          <rPr>
            <sz val="10"/>
            <color indexed="9"/>
            <rFont val="Tahoma"/>
            <family val="2"/>
          </rPr>
          <t>KJAX FM 0403/0414 260/6KT 4.0 SM BR SCT008 BKN015</t>
        </r>
      </text>
    </comment>
    <comment ref="AC9" authorId="0">
      <text>
        <r>
          <rPr>
            <sz val="10"/>
            <color indexed="9"/>
            <rFont val="Tahoma"/>
            <family val="2"/>
          </rPr>
          <t>KJAX FM 0403/0414 260/6KT 4.0 SM BR SCT008 BKN015</t>
        </r>
      </text>
    </comment>
    <comment ref="AE9" authorId="0">
      <text>
        <r>
          <rPr>
            <sz val="10"/>
            <color indexed="9"/>
            <rFont val="Tahoma"/>
            <family val="2"/>
          </rPr>
          <t>KJAX FM 0403/0414 260/6KT 4.0 SM BR SCT008 BKN015</t>
        </r>
      </text>
    </comment>
    <comment ref="AG9" authorId="0">
      <text>
        <r>
          <rPr>
            <sz val="10"/>
            <color indexed="9"/>
            <rFont val="Tahoma"/>
            <family val="2"/>
          </rPr>
          <t>KJAX FM 0414/0417 290/8KT 6.21 SM BKN010 OVC030</t>
        </r>
      </text>
    </comment>
    <comment ref="AI9" authorId="0">
      <text>
        <r>
          <rPr>
            <sz val="10"/>
            <color indexed="9"/>
            <rFont val="Tahoma"/>
            <family val="2"/>
          </rPr>
          <t>KJAX FM 0414/0417 290/8KT 6.21 SM BKN010 OVC030</t>
        </r>
      </text>
    </comment>
    <comment ref="AK9" authorId="0">
      <text>
        <r>
          <rPr>
            <sz val="10"/>
            <color indexed="9"/>
            <rFont val="Tahoma"/>
            <family val="2"/>
          </rPr>
          <t>KJAX FM 0414/0417 290/8KT 6.21 SM BKN010 OVC030</t>
        </r>
      </text>
    </comment>
    <comment ref="AM9" authorId="0">
      <text>
        <r>
          <rPr>
            <sz val="10"/>
            <color indexed="9"/>
            <rFont val="Tahoma"/>
            <family val="2"/>
          </rPr>
          <t>KJAX FM 0417/0500 290/10KT 6.21 SM SCT025 BKN035</t>
        </r>
      </text>
    </comment>
    <comment ref="AO9" authorId="0">
      <text>
        <r>
          <rPr>
            <sz val="10"/>
            <color indexed="9"/>
            <rFont val="Tahoma"/>
            <family val="2"/>
          </rPr>
          <t>KJAX FM 0417/0500 290/10KT 6.21 SM SCT025 BKN035</t>
        </r>
      </text>
    </comment>
    <comment ref="AQ9" authorId="0">
      <text>
        <r>
          <rPr>
            <sz val="10"/>
            <color indexed="9"/>
            <rFont val="Tahoma"/>
            <family val="2"/>
          </rPr>
          <t>KJAX FM 0417/0500 290/10KT 6.21 SM SCT025 BKN035</t>
        </r>
      </text>
    </comment>
    <comment ref="AS9" authorId="0">
      <text>
        <r>
          <rPr>
            <sz val="10"/>
            <color indexed="9"/>
            <rFont val="Tahoma"/>
            <family val="2"/>
          </rPr>
          <t>KJAX FM 0417/0500 290/10KT 6.21 SM SCT025 BKN035</t>
        </r>
      </text>
    </comment>
    <comment ref="AU9" authorId="0">
      <text>
        <r>
          <rPr>
            <sz val="10"/>
            <color indexed="9"/>
            <rFont val="Tahoma"/>
            <family val="2"/>
          </rPr>
          <t>KJAX FM 0417/0500 290/10KT 6.21 SM SCT025 BKN035</t>
        </r>
      </text>
    </comment>
    <comment ref="AW9" authorId="0">
      <text>
        <r>
          <rPr>
            <sz val="10"/>
            <color indexed="9"/>
            <rFont val="Tahoma"/>
            <family val="2"/>
          </rPr>
          <t>KJAX FM 0417/0500 290/10KT 6.21 SM SCT025 BKN035</t>
        </r>
      </text>
    </comment>
    <comment ref="AY9" authorId="0">
      <text>
        <r>
          <rPr>
            <sz val="10"/>
            <color indexed="9"/>
            <rFont val="Tahoma"/>
            <family val="2"/>
          </rPr>
          <t>KJAX FM 0417/0500 290/10KT 6.21 SM SCT025 BKN035</t>
        </r>
      </text>
    </comment>
    <comment ref="BA9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E10" authorId="0">
      <text>
        <r>
          <rPr>
            <sz val="10"/>
            <color indexed="9"/>
            <rFont val="Tahoma"/>
            <family val="2"/>
          </rPr>
          <t xml:space="preserve">WARNER ROBINS AF
KWRB 040058Z AUTO 26008KT 10SM CLR 17/13 A2984 RMK AO2 SLP106 T01650129
TAF KWRB 032200Z 0322/0504 28009KT 9999 BKN180 QNH2982INS 
BECMG 0405/0406 28006KT 9999 BKN012 QNH2983INS 
TEMPO 0408/0412 BKN005 
BECMG 0417/0418 33012KT 9999 SCT020 SCT180 QNH2990INS 
BECMG 0423/0424 33006KT 9999 FEW200 QNH2994INS TX21/0322Z TN11/0412Z </t>
        </r>
      </text>
    </comment>
    <comment ref="G10" authorId="0">
      <text>
        <r>
          <rPr>
            <sz val="10"/>
            <color indexed="9"/>
            <rFont val="Tahoma"/>
            <family val="2"/>
          </rPr>
          <t>KWRB 040058Z  260/8KT 10.0 SM CLR
KWRB 0322/0405 280/9KT 6.21 SM BKN180</t>
        </r>
      </text>
    </comment>
    <comment ref="I10" authorId="0">
      <text>
        <r>
          <rPr>
            <sz val="10"/>
            <color indexed="9"/>
            <rFont val="Tahoma"/>
            <family val="2"/>
          </rPr>
          <t>KWRB 0322/0405 280/9KT 6.21 SM BKN180</t>
        </r>
      </text>
    </comment>
    <comment ref="K10" authorId="0">
      <text>
        <r>
          <rPr>
            <sz val="10"/>
            <color indexed="9"/>
            <rFont val="Tahoma"/>
            <family val="2"/>
          </rPr>
          <t>KWRB 0322/0405 280/9KT 6.21 SM BKN180</t>
        </r>
      </text>
    </comment>
    <comment ref="M10" authorId="0">
      <text>
        <r>
          <rPr>
            <sz val="10"/>
            <color indexed="9"/>
            <rFont val="Tahoma"/>
            <family val="2"/>
          </rPr>
          <t>KWRB 0322/0405 280/9KT 6.21 SM BKN180</t>
        </r>
      </text>
    </comment>
    <comment ref="O10" authorId="0">
      <text>
        <r>
          <rPr>
            <sz val="10"/>
            <color indexed="9"/>
            <rFont val="Tahoma"/>
            <family val="2"/>
          </rPr>
          <t>KWRB BECMG 0405/0417 280/6KT 6.21 SM BKN012</t>
        </r>
      </text>
    </comment>
    <comment ref="Q10" authorId="0">
      <text>
        <r>
          <rPr>
            <sz val="10"/>
            <color indexed="9"/>
            <rFont val="Tahoma"/>
            <family val="2"/>
          </rPr>
          <t>KWRB BECMG 0405/0417 280/6KT 6.21 SM BKN012</t>
        </r>
      </text>
    </comment>
    <comment ref="S10" authorId="0">
      <text>
        <r>
          <rPr>
            <sz val="10"/>
            <color indexed="9"/>
            <rFont val="Tahoma"/>
            <family val="2"/>
          </rPr>
          <t>KWRB BECMG 0405/0417 280/6KT 6.21 SM BKN012</t>
        </r>
      </text>
    </comment>
    <comment ref="U10" authorId="0">
      <text>
        <r>
          <rPr>
            <sz val="10"/>
            <color indexed="9"/>
            <rFont val="Tahoma"/>
            <family val="2"/>
          </rPr>
          <t>KWRB TEMPO 0408/0412 BKN005
KWRB BECMG 0405/0417 280/6KT 6.21 SM BKN012</t>
        </r>
      </text>
    </comment>
    <comment ref="W10" authorId="0">
      <text>
        <r>
          <rPr>
            <sz val="10"/>
            <color indexed="9"/>
            <rFont val="Tahoma"/>
            <family val="2"/>
          </rPr>
          <t>KWRB TEMPO 0408/0412 BKN005
KWRB BECMG 0405/0417 280/6KT 6.21 SM BKN012</t>
        </r>
      </text>
    </comment>
    <comment ref="Y10" authorId="0">
      <text>
        <r>
          <rPr>
            <sz val="10"/>
            <color indexed="9"/>
            <rFont val="Tahoma"/>
            <family val="2"/>
          </rPr>
          <t>KWRB TEMPO 0408/0412 BKN005
KWRB BECMG 0405/0417 280/6KT 6.21 SM BKN012</t>
        </r>
      </text>
    </comment>
    <comment ref="AA10" authorId="0">
      <text>
        <r>
          <rPr>
            <sz val="10"/>
            <color indexed="9"/>
            <rFont val="Tahoma"/>
            <family val="2"/>
          </rPr>
          <t>KWRB TEMPO 0408/0412 BKN005
KWRB BECMG 0405/0417 280/6KT 6.21 SM BKN012</t>
        </r>
      </text>
    </comment>
    <comment ref="AC10" authorId="0">
      <text>
        <r>
          <rPr>
            <sz val="10"/>
            <color indexed="9"/>
            <rFont val="Tahoma"/>
            <family val="2"/>
          </rPr>
          <t>KWRB BECMG 0405/0417 280/6KT 6.21 SM BKN012</t>
        </r>
      </text>
    </comment>
    <comment ref="AE10" authorId="0">
      <text>
        <r>
          <rPr>
            <sz val="10"/>
            <color indexed="9"/>
            <rFont val="Tahoma"/>
            <family val="2"/>
          </rPr>
          <t>KWRB BECMG 0405/0417 280/6KT 6.21 SM BKN012</t>
        </r>
      </text>
    </comment>
    <comment ref="AG10" authorId="0">
      <text>
        <r>
          <rPr>
            <sz val="10"/>
            <color indexed="9"/>
            <rFont val="Tahoma"/>
            <family val="2"/>
          </rPr>
          <t>KWRB BECMG 0405/0417 280/6KT 6.21 SM BKN012</t>
        </r>
      </text>
    </comment>
    <comment ref="AI10" authorId="0">
      <text>
        <r>
          <rPr>
            <sz val="10"/>
            <color indexed="9"/>
            <rFont val="Tahoma"/>
            <family val="2"/>
          </rPr>
          <t>KWRB BECMG 0405/0417 280/6KT 6.21 SM BKN012</t>
        </r>
      </text>
    </comment>
    <comment ref="AK10" authorId="0">
      <text>
        <r>
          <rPr>
            <sz val="10"/>
            <color indexed="9"/>
            <rFont val="Tahoma"/>
            <family val="2"/>
          </rPr>
          <t>KWRB BECMG 0405/0417 280/6KT 6.21 SM BKN012</t>
        </r>
      </text>
    </comment>
    <comment ref="AM10" authorId="0">
      <text>
        <r>
          <rPr>
            <sz val="10"/>
            <color indexed="9"/>
            <rFont val="Tahoma"/>
            <family val="2"/>
          </rPr>
          <t>KWRB BECMG 0417/0423 330/12KT 6.21 SM SCT020 SCT180</t>
        </r>
      </text>
    </comment>
    <comment ref="AO10" authorId="0">
      <text>
        <r>
          <rPr>
            <sz val="10"/>
            <color indexed="9"/>
            <rFont val="Tahoma"/>
            <family val="2"/>
          </rPr>
          <t>KWRB BECMG 0417/0423 330/12KT 6.21 SM SCT020 SCT180</t>
        </r>
      </text>
    </comment>
    <comment ref="AQ10" authorId="0">
      <text>
        <r>
          <rPr>
            <sz val="10"/>
            <color indexed="9"/>
            <rFont val="Tahoma"/>
            <family val="2"/>
          </rPr>
          <t>KWRB BECMG 0417/0423 330/12KT 6.21 SM SCT020 SCT180</t>
        </r>
      </text>
    </comment>
    <comment ref="AS10" authorId="0">
      <text>
        <r>
          <rPr>
            <sz val="10"/>
            <color indexed="9"/>
            <rFont val="Tahoma"/>
            <family val="2"/>
          </rPr>
          <t>KWRB BECMG 0417/0423 330/12KT 6.21 SM SCT020 SCT180</t>
        </r>
      </text>
    </comment>
    <comment ref="AU10" authorId="0">
      <text>
        <r>
          <rPr>
            <sz val="10"/>
            <color indexed="9"/>
            <rFont val="Tahoma"/>
            <family val="2"/>
          </rPr>
          <t>KWRB BECMG 0417/0423 330/12KT 6.21 SM SCT020 SCT180</t>
        </r>
      </text>
    </comment>
    <comment ref="AW10" authorId="0">
      <text>
        <r>
          <rPr>
            <sz val="10"/>
            <color indexed="9"/>
            <rFont val="Tahoma"/>
            <family val="2"/>
          </rPr>
          <t>KWRB BECMG 0417/0423 330/12KT 6.21 SM SCT020 SCT180</t>
        </r>
      </text>
    </comment>
    <comment ref="AY10" authorId="0">
      <text>
        <r>
          <rPr>
            <sz val="10"/>
            <color indexed="9"/>
            <rFont val="Tahoma"/>
            <family val="2"/>
          </rPr>
          <t>KWRB BECMG 0423/0504 330/6KT 6.21 SM FEW200</t>
        </r>
      </text>
    </comment>
    <comment ref="BA10" authorId="0">
      <text>
        <r>
          <rPr>
            <sz val="10"/>
            <color indexed="9"/>
            <rFont val="Tahoma"/>
            <family val="2"/>
          </rPr>
          <t>KWRB BECMG 0423/0504 330/6KT 6.21 SM FEW200</t>
        </r>
      </text>
    </comment>
    <comment ref="E11" authorId="0">
      <text>
        <r>
          <rPr>
            <sz val="10"/>
            <color indexed="9"/>
            <rFont val="Tahoma"/>
            <family val="2"/>
          </rPr>
          <t xml:space="preserve">SAVANNAH
KSAV 040153Z 26006KT 10SM SCT240 16/09 A2983 RMK AO2 SLP100 T01610094
KSAV 032330Z 0400/0424 26006KT P6SM SCT040 BKN250 
FM041500 28012G18KT P6SM FEW035 BKN250 
FM041900 30010KT P6SM SCT040 BKN200 </t>
        </r>
      </text>
    </comment>
    <comment ref="G11" authorId="0">
      <text>
        <r>
          <rPr>
            <sz val="10"/>
            <color indexed="9"/>
            <rFont val="Tahoma"/>
            <family val="2"/>
          </rPr>
          <t>KSAV 040153Z  260/6KT 10.0 SM SCT240
KSAV 0400/0415 260/6KT 6.21 SM SCT040 BKN250</t>
        </r>
      </text>
    </comment>
    <comment ref="I11" authorId="0">
      <text>
        <r>
          <rPr>
            <sz val="10"/>
            <color indexed="9"/>
            <rFont val="Tahoma"/>
            <family val="2"/>
          </rPr>
          <t>KSAV 0400/0415 260/6KT 6.21 SM SCT040 BKN250</t>
        </r>
      </text>
    </comment>
    <comment ref="K11" authorId="0">
      <text>
        <r>
          <rPr>
            <sz val="10"/>
            <color indexed="9"/>
            <rFont val="Tahoma"/>
            <family val="2"/>
          </rPr>
          <t>KSAV 0400/0415 260/6KT 6.21 SM SCT040 BKN250</t>
        </r>
      </text>
    </comment>
    <comment ref="M11" authorId="0">
      <text>
        <r>
          <rPr>
            <sz val="10"/>
            <color indexed="9"/>
            <rFont val="Tahoma"/>
            <family val="2"/>
          </rPr>
          <t>KSAV 0400/0415 260/6KT 6.21 SM SCT040 BKN250</t>
        </r>
      </text>
    </comment>
    <comment ref="O11" authorId="0">
      <text>
        <r>
          <rPr>
            <sz val="10"/>
            <color indexed="9"/>
            <rFont val="Tahoma"/>
            <family val="2"/>
          </rPr>
          <t>KSAV 0400/0415 260/6KT 6.21 SM SCT040 BKN250</t>
        </r>
      </text>
    </comment>
    <comment ref="Q11" authorId="0">
      <text>
        <r>
          <rPr>
            <sz val="10"/>
            <color indexed="9"/>
            <rFont val="Tahoma"/>
            <family val="2"/>
          </rPr>
          <t>KSAV 0400/0415 260/6KT 6.21 SM SCT040 BKN250</t>
        </r>
      </text>
    </comment>
    <comment ref="S11" authorId="0">
      <text>
        <r>
          <rPr>
            <sz val="10"/>
            <color indexed="9"/>
            <rFont val="Tahoma"/>
            <family val="2"/>
          </rPr>
          <t>KSAV 0400/0415 260/6KT 6.21 SM SCT040 BKN250</t>
        </r>
      </text>
    </comment>
    <comment ref="U11" authorId="0">
      <text>
        <r>
          <rPr>
            <sz val="10"/>
            <color indexed="9"/>
            <rFont val="Tahoma"/>
            <family val="2"/>
          </rPr>
          <t>KSAV 0400/0415 260/6KT 6.21 SM SCT040 BKN250</t>
        </r>
      </text>
    </comment>
    <comment ref="W11" authorId="0">
      <text>
        <r>
          <rPr>
            <sz val="10"/>
            <color indexed="9"/>
            <rFont val="Tahoma"/>
            <family val="2"/>
          </rPr>
          <t>KSAV 0400/0415 260/6KT 6.21 SM SCT040 BKN250</t>
        </r>
      </text>
    </comment>
    <comment ref="Y11" authorId="0">
      <text>
        <r>
          <rPr>
            <sz val="10"/>
            <color indexed="9"/>
            <rFont val="Tahoma"/>
            <family val="2"/>
          </rPr>
          <t>KSAV 0400/0415 260/6KT 6.21 SM SCT040 BKN250</t>
        </r>
      </text>
    </comment>
    <comment ref="AA11" authorId="0">
      <text>
        <r>
          <rPr>
            <sz val="10"/>
            <color indexed="9"/>
            <rFont val="Tahoma"/>
            <family val="2"/>
          </rPr>
          <t>KSAV 0400/0415 260/6KT 6.21 SM SCT040 BKN250</t>
        </r>
      </text>
    </comment>
    <comment ref="AC11" authorId="0">
      <text>
        <r>
          <rPr>
            <sz val="10"/>
            <color indexed="9"/>
            <rFont val="Tahoma"/>
            <family val="2"/>
          </rPr>
          <t>KSAV 0400/0415 260/6KT 6.21 SM SCT040 BKN250</t>
        </r>
      </text>
    </comment>
    <comment ref="AE11" authorId="0">
      <text>
        <r>
          <rPr>
            <sz val="10"/>
            <color indexed="9"/>
            <rFont val="Tahoma"/>
            <family val="2"/>
          </rPr>
          <t>KSAV 0400/0415 260/6KT 6.21 SM SCT040 BKN250</t>
        </r>
      </text>
    </comment>
    <comment ref="AG11" authorId="0">
      <text>
        <r>
          <rPr>
            <sz val="10"/>
            <color indexed="9"/>
            <rFont val="Tahoma"/>
            <family val="2"/>
          </rPr>
          <t>KSAV 0400/0415 260/6KT 6.21 SM SCT040 BKN250</t>
        </r>
      </text>
    </comment>
    <comment ref="AI11" authorId="0">
      <text>
        <r>
          <rPr>
            <sz val="10"/>
            <color indexed="9"/>
            <rFont val="Tahoma"/>
            <family val="2"/>
          </rPr>
          <t>KSAV FM 0415/0419 280/12G18KT 6.21 SM FEW035 BKN250</t>
        </r>
      </text>
    </comment>
    <comment ref="AK11" authorId="0">
      <text>
        <r>
          <rPr>
            <sz val="10"/>
            <color indexed="9"/>
            <rFont val="Tahoma"/>
            <family val="2"/>
          </rPr>
          <t>KSAV FM 0415/0419 280/12G18KT 6.21 SM FEW035 BKN250</t>
        </r>
      </text>
    </comment>
    <comment ref="AM11" authorId="0">
      <text>
        <r>
          <rPr>
            <sz val="10"/>
            <color indexed="9"/>
            <rFont val="Tahoma"/>
            <family val="2"/>
          </rPr>
          <t>KSAV FM 0415/0419 280/12G18KT 6.21 SM FEW035 BKN250</t>
        </r>
      </text>
    </comment>
    <comment ref="AO11" authorId="0">
      <text>
        <r>
          <rPr>
            <sz val="10"/>
            <color indexed="9"/>
            <rFont val="Tahoma"/>
            <family val="2"/>
          </rPr>
          <t>KSAV FM 0415/0419 280/12G18KT 6.21 SM FEW035 BKN250</t>
        </r>
      </text>
    </comment>
    <comment ref="AQ11" authorId="0">
      <text>
        <r>
          <rPr>
            <sz val="10"/>
            <color indexed="9"/>
            <rFont val="Tahoma"/>
            <family val="2"/>
          </rPr>
          <t>KSAV FM 0419/0500 300/10KT 6.21 SM SCT040 BKN200</t>
        </r>
      </text>
    </comment>
    <comment ref="AS11" authorId="0">
      <text>
        <r>
          <rPr>
            <sz val="10"/>
            <color indexed="9"/>
            <rFont val="Tahoma"/>
            <family val="2"/>
          </rPr>
          <t>KSAV FM 0419/0500 300/10KT 6.21 SM SCT040 BKN200</t>
        </r>
      </text>
    </comment>
    <comment ref="AU11" authorId="0">
      <text>
        <r>
          <rPr>
            <sz val="10"/>
            <color indexed="9"/>
            <rFont val="Tahoma"/>
            <family val="2"/>
          </rPr>
          <t>KSAV FM 0419/0500 300/10KT 6.21 SM SCT040 BKN200</t>
        </r>
      </text>
    </comment>
    <comment ref="AW11" authorId="0">
      <text>
        <r>
          <rPr>
            <sz val="10"/>
            <color indexed="9"/>
            <rFont val="Tahoma"/>
            <family val="2"/>
          </rPr>
          <t>KSAV FM 0419/0500 300/10KT 6.21 SM SCT040 BKN200</t>
        </r>
      </text>
    </comment>
    <comment ref="AY11" authorId="0">
      <text>
        <r>
          <rPr>
            <sz val="10"/>
            <color indexed="9"/>
            <rFont val="Tahoma"/>
            <family val="2"/>
          </rPr>
          <t>KSAV FM 0419/0500 300/10KT 6.21 SM SCT040 BKN200</t>
        </r>
      </text>
    </comment>
    <comment ref="BA11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E12" authorId="0">
      <text>
        <r>
          <rPr>
            <sz val="10"/>
            <color indexed="9"/>
            <rFont val="Tahoma"/>
            <family val="2"/>
          </rPr>
          <t xml:space="preserve">TYNDALL AFB
KPAM 040056Z 26007KT 10SM CLR 18/16 A2991 RMK AO2A SLP132 T01800158 $
TAF KPAM 031900Z 0319/0501 26009KT 9999 FEW040 SCT250 QNH2985INS 
BECMG 0413/0414 34006KT 8000 BR SCT010 SCT150 QNH2988INS 
BECMG 0417/0418 34006KT 9999 NSW SCT020 SCT100 BKN150 QNH2995INS TX26/0321Z TN18/0410Z </t>
        </r>
      </text>
    </comment>
    <comment ref="G12" authorId="0">
      <text>
        <r>
          <rPr>
            <sz val="10"/>
            <color indexed="9"/>
            <rFont val="Tahoma"/>
            <family val="2"/>
          </rPr>
          <t>KPAM 040056Z  260/7KT 10.0 SM CLR
KPAM 0319/0413 260/9KT 6.21 SM FEW040 SCT250</t>
        </r>
      </text>
    </comment>
    <comment ref="I12" authorId="0">
      <text>
        <r>
          <rPr>
            <sz val="10"/>
            <color indexed="9"/>
            <rFont val="Tahoma"/>
            <family val="2"/>
          </rPr>
          <t>KPAM 0319/0413 260/9KT 6.21 SM FEW040 SCT250</t>
        </r>
      </text>
    </comment>
    <comment ref="K12" authorId="0">
      <text>
        <r>
          <rPr>
            <sz val="10"/>
            <color indexed="9"/>
            <rFont val="Tahoma"/>
            <family val="2"/>
          </rPr>
          <t>KPAM 0319/0413 260/9KT 6.21 SM FEW040 SCT250</t>
        </r>
      </text>
    </comment>
    <comment ref="M12" authorId="0">
      <text>
        <r>
          <rPr>
            <sz val="10"/>
            <color indexed="9"/>
            <rFont val="Tahoma"/>
            <family val="2"/>
          </rPr>
          <t>KPAM 0319/0413 260/9KT 6.21 SM FEW040 SCT250</t>
        </r>
      </text>
    </comment>
    <comment ref="O12" authorId="0">
      <text>
        <r>
          <rPr>
            <sz val="10"/>
            <color indexed="9"/>
            <rFont val="Tahoma"/>
            <family val="2"/>
          </rPr>
          <t>KPAM 0319/0413 260/9KT 6.21 SM FEW040 SCT250</t>
        </r>
      </text>
    </comment>
    <comment ref="Q12" authorId="0">
      <text>
        <r>
          <rPr>
            <sz val="10"/>
            <color indexed="9"/>
            <rFont val="Tahoma"/>
            <family val="2"/>
          </rPr>
          <t>KPAM 0319/0413 260/9KT 6.21 SM FEW040 SCT250</t>
        </r>
      </text>
    </comment>
    <comment ref="S12" authorId="0">
      <text>
        <r>
          <rPr>
            <sz val="10"/>
            <color indexed="9"/>
            <rFont val="Tahoma"/>
            <family val="2"/>
          </rPr>
          <t>KPAM 0319/0413 260/9KT 6.21 SM FEW040 SCT250</t>
        </r>
      </text>
    </comment>
    <comment ref="U12" authorId="0">
      <text>
        <r>
          <rPr>
            <sz val="10"/>
            <color indexed="9"/>
            <rFont val="Tahoma"/>
            <family val="2"/>
          </rPr>
          <t>KPAM 0319/0413 260/9KT 6.21 SM FEW040 SCT250</t>
        </r>
      </text>
    </comment>
    <comment ref="W12" authorId="0">
      <text>
        <r>
          <rPr>
            <sz val="10"/>
            <color indexed="9"/>
            <rFont val="Tahoma"/>
            <family val="2"/>
          </rPr>
          <t>KPAM 0319/0413 260/9KT 6.21 SM FEW040 SCT250</t>
        </r>
      </text>
    </comment>
    <comment ref="Y12" authorId="0">
      <text>
        <r>
          <rPr>
            <sz val="10"/>
            <color indexed="9"/>
            <rFont val="Tahoma"/>
            <family val="2"/>
          </rPr>
          <t>KPAM 0319/0413 260/9KT 6.21 SM FEW040 SCT250</t>
        </r>
      </text>
    </comment>
    <comment ref="AA12" authorId="0">
      <text>
        <r>
          <rPr>
            <sz val="10"/>
            <color indexed="9"/>
            <rFont val="Tahoma"/>
            <family val="2"/>
          </rPr>
          <t>KPAM 0319/0413 260/9KT 6.21 SM FEW040 SCT250</t>
        </r>
      </text>
    </comment>
    <comment ref="AC12" authorId="0">
      <text>
        <r>
          <rPr>
            <sz val="10"/>
            <color indexed="9"/>
            <rFont val="Tahoma"/>
            <family val="2"/>
          </rPr>
          <t>KPAM 0319/0413 260/9KT 6.21 SM FEW040 SCT250</t>
        </r>
      </text>
    </comment>
    <comment ref="AE12" authorId="0">
      <text>
        <r>
          <rPr>
            <sz val="10"/>
            <color indexed="9"/>
            <rFont val="Tahoma"/>
            <family val="2"/>
          </rPr>
          <t>KPAM BECMG 0413/0417 340/6KT 4.97 SM BR SCT010 SCT150</t>
        </r>
      </text>
    </comment>
    <comment ref="AG12" authorId="0">
      <text>
        <r>
          <rPr>
            <sz val="10"/>
            <color indexed="9"/>
            <rFont val="Tahoma"/>
            <family val="2"/>
          </rPr>
          <t>KPAM BECMG 0413/0417 340/6KT 4.97 SM BR SCT010 SCT150</t>
        </r>
      </text>
    </comment>
    <comment ref="AI12" authorId="0">
      <text>
        <r>
          <rPr>
            <sz val="10"/>
            <color indexed="9"/>
            <rFont val="Tahoma"/>
            <family val="2"/>
          </rPr>
          <t>KPAM BECMG 0413/0417 340/6KT 4.97 SM BR SCT010 SCT150</t>
        </r>
      </text>
    </comment>
    <comment ref="AK12" authorId="0">
      <text>
        <r>
          <rPr>
            <sz val="10"/>
            <color indexed="9"/>
            <rFont val="Tahoma"/>
            <family val="2"/>
          </rPr>
          <t>KPAM BECMG 0413/0417 340/6KT 4.97 SM BR SCT010 SCT150</t>
        </r>
      </text>
    </comment>
    <comment ref="AM12" authorId="0">
      <text>
        <r>
          <rPr>
            <sz val="10"/>
            <color indexed="9"/>
            <rFont val="Tahoma"/>
            <family val="2"/>
          </rPr>
          <t>KPAM BECMG 0417/0501 340/6KT 6.21 SM NSW SCT020 SCT100 BKN150</t>
        </r>
      </text>
    </comment>
    <comment ref="AO12" authorId="0">
      <text>
        <r>
          <rPr>
            <sz val="10"/>
            <color indexed="9"/>
            <rFont val="Tahoma"/>
            <family val="2"/>
          </rPr>
          <t>KPAM BECMG 0417/0501 340/6KT 6.21 SM NSW SCT020 SCT100 BKN150</t>
        </r>
      </text>
    </comment>
    <comment ref="AQ12" authorId="0">
      <text>
        <r>
          <rPr>
            <sz val="10"/>
            <color indexed="9"/>
            <rFont val="Tahoma"/>
            <family val="2"/>
          </rPr>
          <t>KPAM BECMG 0417/0501 340/6KT 6.21 SM NSW SCT020 SCT100 BKN150</t>
        </r>
      </text>
    </comment>
    <comment ref="AS12" authorId="0">
      <text>
        <r>
          <rPr>
            <sz val="10"/>
            <color indexed="9"/>
            <rFont val="Tahoma"/>
            <family val="2"/>
          </rPr>
          <t>KPAM BECMG 0417/0501 340/6KT 6.21 SM NSW SCT020 SCT100 BKN150</t>
        </r>
      </text>
    </comment>
    <comment ref="AU12" authorId="0">
      <text>
        <r>
          <rPr>
            <sz val="10"/>
            <color indexed="9"/>
            <rFont val="Tahoma"/>
            <family val="2"/>
          </rPr>
          <t>KPAM BECMG 0417/0501 340/6KT 6.21 SM NSW SCT020 SCT100 BKN150</t>
        </r>
      </text>
    </comment>
    <comment ref="AW12" authorId="0">
      <text>
        <r>
          <rPr>
            <sz val="10"/>
            <color indexed="9"/>
            <rFont val="Tahoma"/>
            <family val="2"/>
          </rPr>
          <t>KPAM BECMG 0417/0501 340/6KT 6.21 SM NSW SCT020 SCT100 BKN150</t>
        </r>
      </text>
    </comment>
    <comment ref="AY12" authorId="0">
      <text>
        <r>
          <rPr>
            <sz val="10"/>
            <color indexed="9"/>
            <rFont val="Tahoma"/>
            <family val="2"/>
          </rPr>
          <t>KPAM BECMG 0417/0501 340/6KT 6.21 SM NSW SCT020 SCT100 BKN150</t>
        </r>
      </text>
    </comment>
    <comment ref="BA12" authorId="0">
      <text>
        <r>
          <rPr>
            <sz val="10"/>
            <color indexed="9"/>
            <rFont val="Tahoma"/>
            <family val="2"/>
          </rPr>
          <t>KPAM BECMG 0417/0501 340/6KT 6.21 SM NSW SCT020 SCT100 BKN150</t>
        </r>
      </text>
    </comment>
    <comment ref="E13" authorId="0">
      <text>
        <r>
          <rPr>
            <sz val="10"/>
            <color indexed="9"/>
            <rFont val="Tahoma"/>
            <family val="2"/>
          </rPr>
          <t xml:space="preserve">SAVANNAH/HUNTER
KSVN 040058Z AUTO 26008KT 10SM FEW210 SCT230 18/15 A2981 RMK AO2 SLP097 T01790149
TAF KSVN 032100Z 0321/0503 23010G15KT 9999 SCT015 SCT040 QNH2978INS 
BECMG 0322/0323 24006KT 9999 SCT025 BKN150 QNH2980INS 
BECMG 0414/0415 29012G18KT 9999 SCT020 BKN150 QNH2984INS 
BECMG 0421/0422 33006KT 9999 SCT150 QNH2986INS TX25/0321Z TN11/0412Z </t>
        </r>
      </text>
    </comment>
    <comment ref="G13" authorId="0">
      <text>
        <r>
          <rPr>
            <sz val="10"/>
            <color indexed="9"/>
            <rFont val="Tahoma"/>
            <family val="2"/>
          </rPr>
          <t>KSVN 040058Z  260/8KT 10.0 SM FEW210 SCT230
KSVN BECMG 0322/0414 240/6KT 6.21 SM SCT025 BKN150</t>
        </r>
      </text>
    </comment>
    <comment ref="I13" authorId="0">
      <text>
        <r>
          <rPr>
            <sz val="10"/>
            <color indexed="9"/>
            <rFont val="Tahoma"/>
            <family val="2"/>
          </rPr>
          <t>KSVN BECMG 0322/0414 240/6KT 6.21 SM SCT025 BKN150</t>
        </r>
      </text>
    </comment>
    <comment ref="K13" authorId="0">
      <text>
        <r>
          <rPr>
            <sz val="10"/>
            <color indexed="9"/>
            <rFont val="Tahoma"/>
            <family val="2"/>
          </rPr>
          <t>KSVN BECMG 0322/0414 240/6KT 6.21 SM SCT025 BKN150</t>
        </r>
      </text>
    </comment>
    <comment ref="M13" authorId="0">
      <text>
        <r>
          <rPr>
            <sz val="10"/>
            <color indexed="9"/>
            <rFont val="Tahoma"/>
            <family val="2"/>
          </rPr>
          <t>KSVN BECMG 0322/0414 240/6KT 6.21 SM SCT025 BKN150</t>
        </r>
      </text>
    </comment>
    <comment ref="O13" authorId="0">
      <text>
        <r>
          <rPr>
            <sz val="10"/>
            <color indexed="9"/>
            <rFont val="Tahoma"/>
            <family val="2"/>
          </rPr>
          <t>KSVN BECMG 0322/0414 240/6KT 6.21 SM SCT025 BKN150</t>
        </r>
      </text>
    </comment>
    <comment ref="Q13" authorId="0">
      <text>
        <r>
          <rPr>
            <sz val="10"/>
            <color indexed="9"/>
            <rFont val="Tahoma"/>
            <family val="2"/>
          </rPr>
          <t>KSVN BECMG 0322/0414 240/6KT 6.21 SM SCT025 BKN150</t>
        </r>
      </text>
    </comment>
    <comment ref="S13" authorId="0">
      <text>
        <r>
          <rPr>
            <sz val="10"/>
            <color indexed="9"/>
            <rFont val="Tahoma"/>
            <family val="2"/>
          </rPr>
          <t>KSVN BECMG 0322/0414 240/6KT 6.21 SM SCT025 BKN150</t>
        </r>
      </text>
    </comment>
    <comment ref="U13" authorId="0">
      <text>
        <r>
          <rPr>
            <sz val="10"/>
            <color indexed="9"/>
            <rFont val="Tahoma"/>
            <family val="2"/>
          </rPr>
          <t>KSVN BECMG 0322/0414 240/6KT 6.21 SM SCT025 BKN150</t>
        </r>
      </text>
    </comment>
    <comment ref="W13" authorId="0">
      <text>
        <r>
          <rPr>
            <sz val="10"/>
            <color indexed="9"/>
            <rFont val="Tahoma"/>
            <family val="2"/>
          </rPr>
          <t>KSVN BECMG 0322/0414 240/6KT 6.21 SM SCT025 BKN150</t>
        </r>
      </text>
    </comment>
    <comment ref="Y13" authorId="0">
      <text>
        <r>
          <rPr>
            <sz val="10"/>
            <color indexed="9"/>
            <rFont val="Tahoma"/>
            <family val="2"/>
          </rPr>
          <t>KSVN BECMG 0322/0414 240/6KT 6.21 SM SCT025 BKN150</t>
        </r>
      </text>
    </comment>
    <comment ref="AA13" authorId="0">
      <text>
        <r>
          <rPr>
            <sz val="10"/>
            <color indexed="9"/>
            <rFont val="Tahoma"/>
            <family val="2"/>
          </rPr>
          <t>KSVN BECMG 0322/0414 240/6KT 6.21 SM SCT025 BKN150</t>
        </r>
      </text>
    </comment>
    <comment ref="AC13" authorId="0">
      <text>
        <r>
          <rPr>
            <sz val="10"/>
            <color indexed="9"/>
            <rFont val="Tahoma"/>
            <family val="2"/>
          </rPr>
          <t>KSVN BECMG 0322/0414 240/6KT 6.21 SM SCT025 BKN150</t>
        </r>
      </text>
    </comment>
    <comment ref="AE13" authorId="0">
      <text>
        <r>
          <rPr>
            <sz val="10"/>
            <color indexed="9"/>
            <rFont val="Tahoma"/>
            <family val="2"/>
          </rPr>
          <t>KSVN BECMG 0322/0414 240/6KT 6.21 SM SCT025 BKN150</t>
        </r>
      </text>
    </comment>
    <comment ref="AG13" authorId="0">
      <text>
        <r>
          <rPr>
            <sz val="10"/>
            <color indexed="9"/>
            <rFont val="Tahoma"/>
            <family val="2"/>
          </rPr>
          <t>KSVN BECMG 0414/0421 290/12G18KT 6.21 SM SCT020 BKN150</t>
        </r>
      </text>
    </comment>
    <comment ref="AI13" authorId="0">
      <text>
        <r>
          <rPr>
            <sz val="10"/>
            <color indexed="9"/>
            <rFont val="Tahoma"/>
            <family val="2"/>
          </rPr>
          <t>KSVN BECMG 0414/0421 290/12G18KT 6.21 SM SCT020 BKN150</t>
        </r>
      </text>
    </comment>
    <comment ref="AK13" authorId="0">
      <text>
        <r>
          <rPr>
            <sz val="10"/>
            <color indexed="9"/>
            <rFont val="Tahoma"/>
            <family val="2"/>
          </rPr>
          <t>KSVN BECMG 0414/0421 290/12G18KT 6.21 SM SCT020 BKN150</t>
        </r>
      </text>
    </comment>
    <comment ref="AM13" authorId="0">
      <text>
        <r>
          <rPr>
            <sz val="10"/>
            <color indexed="9"/>
            <rFont val="Tahoma"/>
            <family val="2"/>
          </rPr>
          <t>KSVN BECMG 0414/0421 290/12G18KT 6.21 SM SCT020 BKN150</t>
        </r>
      </text>
    </comment>
    <comment ref="AO13" authorId="0">
      <text>
        <r>
          <rPr>
            <sz val="10"/>
            <color indexed="9"/>
            <rFont val="Tahoma"/>
            <family val="2"/>
          </rPr>
          <t>KSVN BECMG 0414/0421 290/12G18KT 6.21 SM SCT020 BKN150</t>
        </r>
      </text>
    </comment>
    <comment ref="AQ13" authorId="0">
      <text>
        <r>
          <rPr>
            <sz val="10"/>
            <color indexed="9"/>
            <rFont val="Tahoma"/>
            <family val="2"/>
          </rPr>
          <t>KSVN BECMG 0414/0421 290/12G18KT 6.21 SM SCT020 BKN150</t>
        </r>
      </text>
    </comment>
    <comment ref="AS13" authorId="0">
      <text>
        <r>
          <rPr>
            <sz val="10"/>
            <color indexed="9"/>
            <rFont val="Tahoma"/>
            <family val="2"/>
          </rPr>
          <t>KSVN BECMG 0414/0421 290/12G18KT 6.21 SM SCT020 BKN150</t>
        </r>
      </text>
    </comment>
    <comment ref="AU13" authorId="0">
      <text>
        <r>
          <rPr>
            <sz val="10"/>
            <color indexed="9"/>
            <rFont val="Tahoma"/>
            <family val="2"/>
          </rPr>
          <t>KSVN BECMG 0421/0503 330/6KT 6.21 SM SCT150</t>
        </r>
      </text>
    </comment>
    <comment ref="AW13" authorId="0">
      <text>
        <r>
          <rPr>
            <sz val="10"/>
            <color indexed="9"/>
            <rFont val="Tahoma"/>
            <family val="2"/>
          </rPr>
          <t>KSVN BECMG 0421/0503 330/6KT 6.21 SM SCT150</t>
        </r>
      </text>
    </comment>
    <comment ref="AY13" authorId="0">
      <text>
        <r>
          <rPr>
            <sz val="10"/>
            <color indexed="9"/>
            <rFont val="Tahoma"/>
            <family val="2"/>
          </rPr>
          <t>KSVN BECMG 0421/0503 330/6KT 6.21 SM SCT150</t>
        </r>
      </text>
    </comment>
    <comment ref="BA13" authorId="0">
      <text>
        <r>
          <rPr>
            <sz val="10"/>
            <color indexed="9"/>
            <rFont val="Tahoma"/>
            <family val="2"/>
          </rPr>
          <t>KSVN BECMG 0421/0503 330/6KT 6.21 SM SCT150</t>
        </r>
      </text>
    </comment>
    <comment ref="E14" authorId="0">
      <text>
        <r>
          <rPr>
            <sz val="10"/>
            <color indexed="9"/>
            <rFont val="Tahoma"/>
            <family val="2"/>
          </rPr>
          <t xml:space="preserve">FT BENNING/COLUM
KLSF 040138Z 00000KT 3SM R33/0600V1600FT BR FEW000 12/12 A2988 RMK AO2A VIS SE 1/4 NW 3/4 BR FEW000
TAF KLSF 040100Z 0401/0507 27006KT 8000 BR SCT015 BKN250 QNH2982INS 
BECMG 0408/0409 VRB06KT 4800 BR BKN010 BKN250 QNH2976INS 
BECMG 0414/0415 34009KT 9999 NSW SCT025 BKN200 QNH2975INS 
TEMPO 0415/0419 34012G18KT 
BECMG 0422/0423 36006KT 9999 BKN120 QNH2978INS TX15/0420Z TN10/0412Z </t>
        </r>
      </text>
    </comment>
    <comment ref="G14" authorId="0">
      <text>
        <r>
          <rPr>
            <sz val="10"/>
            <color indexed="9"/>
            <rFont val="Tahoma"/>
            <family val="2"/>
          </rPr>
          <t>KLSF 040138Z  000/0KT 3.0 SM BR FEW000
KLSF 0401/0408 270/6KT 4.97 SM BR SCT015 BKN250</t>
        </r>
      </text>
    </comment>
    <comment ref="I14" authorId="0">
      <text>
        <r>
          <rPr>
            <sz val="10"/>
            <color indexed="9"/>
            <rFont val="Tahoma"/>
            <family val="2"/>
          </rPr>
          <t>KLSF 0401/0408 270/6KT 4.97 SM BR SCT015 BKN250</t>
        </r>
      </text>
    </comment>
    <comment ref="K14" authorId="0">
      <text>
        <r>
          <rPr>
            <sz val="10"/>
            <color indexed="9"/>
            <rFont val="Tahoma"/>
            <family val="2"/>
          </rPr>
          <t>KLSF 0401/0408 270/6KT 4.97 SM BR SCT015 BKN250</t>
        </r>
      </text>
    </comment>
    <comment ref="M14" authorId="0">
      <text>
        <r>
          <rPr>
            <sz val="10"/>
            <color indexed="9"/>
            <rFont val="Tahoma"/>
            <family val="2"/>
          </rPr>
          <t>KLSF 0401/0408 270/6KT 4.97 SM BR SCT015 BKN250</t>
        </r>
      </text>
    </comment>
    <comment ref="O14" authorId="0">
      <text>
        <r>
          <rPr>
            <sz val="10"/>
            <color indexed="9"/>
            <rFont val="Tahoma"/>
            <family val="2"/>
          </rPr>
          <t>KLSF 0401/0408 270/6KT 4.97 SM BR SCT015 BKN250</t>
        </r>
      </text>
    </comment>
    <comment ref="Q14" authorId="0">
      <text>
        <r>
          <rPr>
            <sz val="10"/>
            <color indexed="9"/>
            <rFont val="Tahoma"/>
            <family val="2"/>
          </rPr>
          <t>KLSF 0401/0408 270/6KT 4.97 SM BR SCT015 BKN250</t>
        </r>
      </text>
    </comment>
    <comment ref="S14" authorId="0">
      <text>
        <r>
          <rPr>
            <sz val="10"/>
            <color indexed="9"/>
            <rFont val="Tahoma"/>
            <family val="2"/>
          </rPr>
          <t>KLSF 0401/0408 270/6KT 4.97 SM BR SCT015 BKN250</t>
        </r>
      </text>
    </comment>
    <comment ref="U14" authorId="0">
      <text>
        <r>
          <rPr>
            <sz val="10"/>
            <color indexed="9"/>
            <rFont val="Tahoma"/>
            <family val="2"/>
          </rPr>
          <t>KLSF BECMG 0408/0414 000/6KT 2.98 SM BR BKN010 BKN250</t>
        </r>
      </text>
    </comment>
    <comment ref="W14" authorId="0">
      <text>
        <r>
          <rPr>
            <sz val="10"/>
            <color indexed="9"/>
            <rFont val="Tahoma"/>
            <family val="2"/>
          </rPr>
          <t>KLSF BECMG 0408/0414 000/6KT 2.98 SM BR BKN010 BKN250</t>
        </r>
      </text>
    </comment>
    <comment ref="Y14" authorId="0">
      <text>
        <r>
          <rPr>
            <sz val="10"/>
            <color indexed="9"/>
            <rFont val="Tahoma"/>
            <family val="2"/>
          </rPr>
          <t>KLSF BECMG 0408/0414 000/6KT 2.98 SM BR BKN010 BKN250</t>
        </r>
      </text>
    </comment>
    <comment ref="AA14" authorId="0">
      <text>
        <r>
          <rPr>
            <sz val="10"/>
            <color indexed="9"/>
            <rFont val="Tahoma"/>
            <family val="2"/>
          </rPr>
          <t>KLSF BECMG 0408/0414 000/6KT 2.98 SM BR BKN010 BKN250</t>
        </r>
      </text>
    </comment>
    <comment ref="AC14" authorId="0">
      <text>
        <r>
          <rPr>
            <sz val="10"/>
            <color indexed="9"/>
            <rFont val="Tahoma"/>
            <family val="2"/>
          </rPr>
          <t>KLSF BECMG 0408/0414 000/6KT 2.98 SM BR BKN010 BKN250</t>
        </r>
      </text>
    </comment>
    <comment ref="AE14" authorId="0">
      <text>
        <r>
          <rPr>
            <sz val="10"/>
            <color indexed="9"/>
            <rFont val="Tahoma"/>
            <family val="2"/>
          </rPr>
          <t>KLSF BECMG 0408/0414 000/6KT 2.98 SM BR BKN010 BKN250</t>
        </r>
      </text>
    </comment>
    <comment ref="AG14" authorId="0">
      <text>
        <r>
          <rPr>
            <sz val="10"/>
            <color indexed="9"/>
            <rFont val="Tahoma"/>
            <family val="2"/>
          </rPr>
          <t>KLSF BECMG 0414/0422 340/9KT 6.21 SM NSW SCT025 BKN200</t>
        </r>
      </text>
    </comment>
    <comment ref="AI14" authorId="0">
      <text>
        <r>
          <rPr>
            <sz val="10"/>
            <color indexed="9"/>
            <rFont val="Tahoma"/>
            <family val="2"/>
          </rPr>
          <t>KLSF TEMPO 0415/0419 340/12G18KT
KLSF BECMG 0414/0422 340/9KT 6.21 SM NSW SCT025 BKN200</t>
        </r>
      </text>
    </comment>
    <comment ref="AK14" authorId="0">
      <text>
        <r>
          <rPr>
            <sz val="10"/>
            <color indexed="9"/>
            <rFont val="Tahoma"/>
            <family val="2"/>
          </rPr>
          <t>KLSF TEMPO 0415/0419 340/12G18KT
KLSF BECMG 0414/0422 340/9KT 6.21 SM NSW SCT025 BKN200</t>
        </r>
      </text>
    </comment>
    <comment ref="AM14" authorId="0">
      <text>
        <r>
          <rPr>
            <sz val="10"/>
            <color indexed="9"/>
            <rFont val="Tahoma"/>
            <family val="2"/>
          </rPr>
          <t>KLSF TEMPO 0415/0419 340/12G18KT
KLSF BECMG 0414/0422 340/9KT 6.21 SM NSW SCT025 BKN200</t>
        </r>
      </text>
    </comment>
    <comment ref="AO14" authorId="0">
      <text>
        <r>
          <rPr>
            <sz val="10"/>
            <color indexed="9"/>
            <rFont val="Tahoma"/>
            <family val="2"/>
          </rPr>
          <t>KLSF TEMPO 0415/0419 340/12G18KT
KLSF BECMG 0414/0422 340/9KT 6.21 SM NSW SCT025 BKN200</t>
        </r>
      </text>
    </comment>
    <comment ref="AQ14" authorId="0">
      <text>
        <r>
          <rPr>
            <sz val="10"/>
            <color indexed="9"/>
            <rFont val="Tahoma"/>
            <family val="2"/>
          </rPr>
          <t>KLSF BECMG 0414/0422 340/9KT 6.21 SM NSW SCT025 BKN200</t>
        </r>
      </text>
    </comment>
    <comment ref="AS14" authorId="0">
      <text>
        <r>
          <rPr>
            <sz val="10"/>
            <color indexed="9"/>
            <rFont val="Tahoma"/>
            <family val="2"/>
          </rPr>
          <t>KLSF BECMG 0414/0422 340/9KT 6.21 SM NSW SCT025 BKN200</t>
        </r>
      </text>
    </comment>
    <comment ref="AU14" authorId="0">
      <text>
        <r>
          <rPr>
            <sz val="10"/>
            <color indexed="9"/>
            <rFont val="Tahoma"/>
            <family val="2"/>
          </rPr>
          <t>KLSF BECMG 0414/0422 340/9KT 6.21 SM NSW SCT025 BKN200</t>
        </r>
      </text>
    </comment>
    <comment ref="AW14" authorId="0">
      <text>
        <r>
          <rPr>
            <sz val="10"/>
            <color indexed="9"/>
            <rFont val="Tahoma"/>
            <family val="2"/>
          </rPr>
          <t>KLSF BECMG 0422/0507 360/6KT 6.21 SM NSW BKN120</t>
        </r>
      </text>
    </comment>
    <comment ref="AY14" authorId="0">
      <text>
        <r>
          <rPr>
            <sz val="10"/>
            <color indexed="9"/>
            <rFont val="Tahoma"/>
            <family val="2"/>
          </rPr>
          <t>KLSF BECMG 0422/0507 360/6KT 6.21 SM NSW BKN120</t>
        </r>
      </text>
    </comment>
    <comment ref="BA14" authorId="0">
      <text>
        <r>
          <rPr>
            <sz val="10"/>
            <color indexed="9"/>
            <rFont val="Tahoma"/>
            <family val="2"/>
          </rPr>
          <t>KLSF BECMG 0422/0507 360/6KT 6.21 SM NSW BKN120</t>
        </r>
      </text>
    </comment>
    <comment ref="E15" authorId="0">
      <text>
        <r>
          <rPr>
            <sz val="10"/>
            <color indexed="9"/>
            <rFont val="Tahoma"/>
            <family val="2"/>
          </rPr>
          <t xml:space="preserve">ALBANY
KABY 040153Z AUTO 00000KT 10SM CLR 14/ A2990 RMK AO2 SLP125 T0139 $
KABY 032323Z 0400/0424 27003KT P6SM BKN200 
FM040800 26003KT 3SM BR SCT005 BKN200 
FM041300 29007KT P6SM FEW005 BKN150 
FM041900 33011KT P6SM SCT150 </t>
        </r>
      </text>
    </comment>
    <comment ref="G15" authorId="0">
      <text>
        <r>
          <rPr>
            <sz val="10"/>
            <color indexed="9"/>
            <rFont val="Tahoma"/>
            <family val="2"/>
          </rPr>
          <t>KABY 040153Z  000/0KT 10.0 SM CLR
KABY 0400/0408 270/3KT 6.21 SM BKN200</t>
        </r>
      </text>
    </comment>
    <comment ref="I15" authorId="0">
      <text>
        <r>
          <rPr>
            <sz val="10"/>
            <color indexed="9"/>
            <rFont val="Tahoma"/>
            <family val="2"/>
          </rPr>
          <t>KABY 0400/0408 270/3KT 6.21 SM BKN200</t>
        </r>
      </text>
    </comment>
    <comment ref="K15" authorId="0">
      <text>
        <r>
          <rPr>
            <sz val="10"/>
            <color indexed="9"/>
            <rFont val="Tahoma"/>
            <family val="2"/>
          </rPr>
          <t>KABY 0400/0408 270/3KT 6.21 SM BKN200</t>
        </r>
      </text>
    </comment>
    <comment ref="M15" authorId="0">
      <text>
        <r>
          <rPr>
            <sz val="10"/>
            <color indexed="9"/>
            <rFont val="Tahoma"/>
            <family val="2"/>
          </rPr>
          <t>KABY 0400/0408 270/3KT 6.21 SM BKN200</t>
        </r>
      </text>
    </comment>
    <comment ref="O15" authorId="0">
      <text>
        <r>
          <rPr>
            <sz val="10"/>
            <color indexed="9"/>
            <rFont val="Tahoma"/>
            <family val="2"/>
          </rPr>
          <t>KABY 0400/0408 270/3KT 6.21 SM BKN200</t>
        </r>
      </text>
    </comment>
    <comment ref="Q15" authorId="0">
      <text>
        <r>
          <rPr>
            <sz val="10"/>
            <color indexed="9"/>
            <rFont val="Tahoma"/>
            <family val="2"/>
          </rPr>
          <t>KABY 0400/0408 270/3KT 6.21 SM BKN200</t>
        </r>
      </text>
    </comment>
    <comment ref="S15" authorId="0">
      <text>
        <r>
          <rPr>
            <sz val="10"/>
            <color indexed="9"/>
            <rFont val="Tahoma"/>
            <family val="2"/>
          </rPr>
          <t>KABY 0400/0408 270/3KT 6.21 SM BKN200</t>
        </r>
      </text>
    </comment>
    <comment ref="U15" authorId="0">
      <text>
        <r>
          <rPr>
            <sz val="10"/>
            <color indexed="9"/>
            <rFont val="Tahoma"/>
            <family val="2"/>
          </rPr>
          <t>KABY FM 0408/0413 260/3KT 3.0 SM BR SCT005 BKN200</t>
        </r>
      </text>
    </comment>
    <comment ref="W15" authorId="0">
      <text>
        <r>
          <rPr>
            <sz val="10"/>
            <color indexed="9"/>
            <rFont val="Tahoma"/>
            <family val="2"/>
          </rPr>
          <t>KABY FM 0408/0413 260/3KT 3.0 SM BR SCT005 BKN200</t>
        </r>
      </text>
    </comment>
    <comment ref="Y15" authorId="0">
      <text>
        <r>
          <rPr>
            <sz val="10"/>
            <color indexed="9"/>
            <rFont val="Tahoma"/>
            <family val="2"/>
          </rPr>
          <t>KABY FM 0408/0413 260/3KT 3.0 SM BR SCT005 BKN200</t>
        </r>
      </text>
    </comment>
    <comment ref="AA15" authorId="0">
      <text>
        <r>
          <rPr>
            <sz val="10"/>
            <color indexed="9"/>
            <rFont val="Tahoma"/>
            <family val="2"/>
          </rPr>
          <t>KABY FM 0408/0413 260/3KT 3.0 SM BR SCT005 BKN200</t>
        </r>
      </text>
    </comment>
    <comment ref="AC15" authorId="0">
      <text>
        <r>
          <rPr>
            <sz val="10"/>
            <color indexed="9"/>
            <rFont val="Tahoma"/>
            <family val="2"/>
          </rPr>
          <t>KABY FM 0408/0413 260/3KT 3.0 SM BR SCT005 BKN200</t>
        </r>
      </text>
    </comment>
    <comment ref="AE15" authorId="0">
      <text>
        <r>
          <rPr>
            <sz val="10"/>
            <color indexed="9"/>
            <rFont val="Tahoma"/>
            <family val="2"/>
          </rPr>
          <t>KABY FM 0413/0419 290/7KT 6.21 SM FEW005 BKN150</t>
        </r>
      </text>
    </comment>
    <comment ref="AG15" authorId="0">
      <text>
        <r>
          <rPr>
            <sz val="10"/>
            <color indexed="9"/>
            <rFont val="Tahoma"/>
            <family val="2"/>
          </rPr>
          <t>KABY FM 0413/0419 290/7KT 6.21 SM FEW005 BKN150</t>
        </r>
      </text>
    </comment>
    <comment ref="AI15" authorId="0">
      <text>
        <r>
          <rPr>
            <sz val="10"/>
            <color indexed="9"/>
            <rFont val="Tahoma"/>
            <family val="2"/>
          </rPr>
          <t>KABY FM 0413/0419 290/7KT 6.21 SM FEW005 BKN150</t>
        </r>
      </text>
    </comment>
    <comment ref="AK15" authorId="0">
      <text>
        <r>
          <rPr>
            <sz val="10"/>
            <color indexed="9"/>
            <rFont val="Tahoma"/>
            <family val="2"/>
          </rPr>
          <t>KABY FM 0413/0419 290/7KT 6.21 SM FEW005 BKN150</t>
        </r>
      </text>
    </comment>
    <comment ref="AM15" authorId="0">
      <text>
        <r>
          <rPr>
            <sz val="10"/>
            <color indexed="9"/>
            <rFont val="Tahoma"/>
            <family val="2"/>
          </rPr>
          <t>KABY FM 0413/0419 290/7KT 6.21 SM FEW005 BKN150</t>
        </r>
      </text>
    </comment>
    <comment ref="AO15" authorId="0">
      <text>
        <r>
          <rPr>
            <sz val="10"/>
            <color indexed="9"/>
            <rFont val="Tahoma"/>
            <family val="2"/>
          </rPr>
          <t>KABY FM 0413/0419 290/7KT 6.21 SM FEW005 BKN150</t>
        </r>
      </text>
    </comment>
    <comment ref="AQ15" authorId="0">
      <text>
        <r>
          <rPr>
            <sz val="10"/>
            <color indexed="9"/>
            <rFont val="Tahoma"/>
            <family val="2"/>
          </rPr>
          <t>KABY FM 0419/0500 330/11KT 6.21 SM SCT150</t>
        </r>
      </text>
    </comment>
    <comment ref="AS15" authorId="0">
      <text>
        <r>
          <rPr>
            <sz val="10"/>
            <color indexed="9"/>
            <rFont val="Tahoma"/>
            <family val="2"/>
          </rPr>
          <t>KABY FM 0419/0500 330/11KT 6.21 SM SCT150</t>
        </r>
      </text>
    </comment>
    <comment ref="AU15" authorId="0">
      <text>
        <r>
          <rPr>
            <sz val="10"/>
            <color indexed="9"/>
            <rFont val="Tahoma"/>
            <family val="2"/>
          </rPr>
          <t>KABY FM 0419/0500 330/11KT 6.21 SM SCT150</t>
        </r>
      </text>
    </comment>
    <comment ref="AW15" authorId="0">
      <text>
        <r>
          <rPr>
            <sz val="10"/>
            <color indexed="9"/>
            <rFont val="Tahoma"/>
            <family val="2"/>
          </rPr>
          <t>KABY FM 0419/0500 330/11KT 6.21 SM SCT150</t>
        </r>
      </text>
    </comment>
    <comment ref="AY15" authorId="0">
      <text>
        <r>
          <rPr>
            <sz val="10"/>
            <color indexed="9"/>
            <rFont val="Tahoma"/>
            <family val="2"/>
          </rPr>
          <t>KABY FM 0419/0500 330/11KT 6.21 SM SCT150</t>
        </r>
      </text>
    </comment>
    <comment ref="BA1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E16" authorId="0">
      <text>
        <r>
          <rPr>
            <sz val="10"/>
            <color indexed="9"/>
            <rFont val="Tahoma"/>
            <family val="2"/>
          </rPr>
          <t xml:space="preserve">TALLAHASSEE
KTLH 040153Z 00000KT 10SM SCT250 17/13 A2989 RMK AO2 SLP120 T01720128
KTLH 032323Z 0400/0424 25005KT P6SM FEW050 BKN250 
FM040800 28003KT 3SM BR SCT005 BKN200 
FM041400 31007KT P6SM FEW005 BKN150 
FM041900 33011KT P6SM SCT030 SCT150 </t>
        </r>
      </text>
    </comment>
    <comment ref="G16" authorId="0">
      <text>
        <r>
          <rPr>
            <sz val="10"/>
            <color indexed="9"/>
            <rFont val="Tahoma"/>
            <family val="2"/>
          </rPr>
          <t>KTLH 040153Z  000/0KT 10.0 SM SCT250
KTLH 0400/0408 250/5KT 6.21 SM FEW050 BKN250</t>
        </r>
      </text>
    </comment>
    <comment ref="I16" authorId="0">
      <text>
        <r>
          <rPr>
            <sz val="10"/>
            <color indexed="9"/>
            <rFont val="Tahoma"/>
            <family val="2"/>
          </rPr>
          <t>KTLH 0400/0408 250/5KT 6.21 SM FEW050 BKN250</t>
        </r>
      </text>
    </comment>
    <comment ref="K16" authorId="0">
      <text>
        <r>
          <rPr>
            <sz val="10"/>
            <color indexed="9"/>
            <rFont val="Tahoma"/>
            <family val="2"/>
          </rPr>
          <t>KTLH 0400/0408 250/5KT 6.21 SM FEW050 BKN250</t>
        </r>
      </text>
    </comment>
    <comment ref="M16" authorId="0">
      <text>
        <r>
          <rPr>
            <sz val="10"/>
            <color indexed="9"/>
            <rFont val="Tahoma"/>
            <family val="2"/>
          </rPr>
          <t>KTLH 0400/0408 250/5KT 6.21 SM FEW050 BKN250</t>
        </r>
      </text>
    </comment>
    <comment ref="O16" authorId="0">
      <text>
        <r>
          <rPr>
            <sz val="10"/>
            <color indexed="9"/>
            <rFont val="Tahoma"/>
            <family val="2"/>
          </rPr>
          <t>KTLH 0400/0408 250/5KT 6.21 SM FEW050 BKN250</t>
        </r>
      </text>
    </comment>
    <comment ref="Q16" authorId="0">
      <text>
        <r>
          <rPr>
            <sz val="10"/>
            <color indexed="9"/>
            <rFont val="Tahoma"/>
            <family val="2"/>
          </rPr>
          <t>KTLH 0400/0408 250/5KT 6.21 SM FEW050 BKN250</t>
        </r>
      </text>
    </comment>
    <comment ref="S16" authorId="0">
      <text>
        <r>
          <rPr>
            <sz val="10"/>
            <color indexed="9"/>
            <rFont val="Tahoma"/>
            <family val="2"/>
          </rPr>
          <t>KTLH 0400/0408 250/5KT 6.21 SM FEW050 BKN250</t>
        </r>
      </text>
    </comment>
    <comment ref="U16" authorId="0">
      <text>
        <r>
          <rPr>
            <sz val="10"/>
            <color indexed="9"/>
            <rFont val="Tahoma"/>
            <family val="2"/>
          </rPr>
          <t>KTLH FM 0408/0414 280/3KT 3.0 SM BR SCT005 BKN200</t>
        </r>
      </text>
    </comment>
    <comment ref="W16" authorId="0">
      <text>
        <r>
          <rPr>
            <sz val="10"/>
            <color indexed="9"/>
            <rFont val="Tahoma"/>
            <family val="2"/>
          </rPr>
          <t>KTLH FM 0408/0414 280/3KT 3.0 SM BR SCT005 BKN200</t>
        </r>
      </text>
    </comment>
    <comment ref="Y16" authorId="0">
      <text>
        <r>
          <rPr>
            <sz val="10"/>
            <color indexed="9"/>
            <rFont val="Tahoma"/>
            <family val="2"/>
          </rPr>
          <t>KTLH FM 0408/0414 280/3KT 3.0 SM BR SCT005 BKN200</t>
        </r>
      </text>
    </comment>
    <comment ref="AA16" authorId="0">
      <text>
        <r>
          <rPr>
            <sz val="10"/>
            <color indexed="9"/>
            <rFont val="Tahoma"/>
            <family val="2"/>
          </rPr>
          <t>KTLH FM 0408/0414 280/3KT 3.0 SM BR SCT005 BKN200</t>
        </r>
      </text>
    </comment>
    <comment ref="AC16" authorId="0">
      <text>
        <r>
          <rPr>
            <sz val="10"/>
            <color indexed="9"/>
            <rFont val="Tahoma"/>
            <family val="2"/>
          </rPr>
          <t>KTLH FM 0408/0414 280/3KT 3.0 SM BR SCT005 BKN200</t>
        </r>
      </text>
    </comment>
    <comment ref="AE16" authorId="0">
      <text>
        <r>
          <rPr>
            <sz val="10"/>
            <color indexed="9"/>
            <rFont val="Tahoma"/>
            <family val="2"/>
          </rPr>
          <t>KTLH FM 0408/0414 280/3KT 3.0 SM BR SCT005 BKN200</t>
        </r>
      </text>
    </comment>
    <comment ref="AG16" authorId="0">
      <text>
        <r>
          <rPr>
            <sz val="10"/>
            <color indexed="9"/>
            <rFont val="Tahoma"/>
            <family val="2"/>
          </rPr>
          <t>KTLH FM 0414/0419 310/7KT 6.21 SM FEW005 BKN150</t>
        </r>
      </text>
    </comment>
    <comment ref="AI16" authorId="0">
      <text>
        <r>
          <rPr>
            <sz val="10"/>
            <color indexed="9"/>
            <rFont val="Tahoma"/>
            <family val="2"/>
          </rPr>
          <t>KTLH FM 0414/0419 310/7KT 6.21 SM FEW005 BKN150</t>
        </r>
      </text>
    </comment>
    <comment ref="AK16" authorId="0">
      <text>
        <r>
          <rPr>
            <sz val="10"/>
            <color indexed="9"/>
            <rFont val="Tahoma"/>
            <family val="2"/>
          </rPr>
          <t>KTLH FM 0414/0419 310/7KT 6.21 SM FEW005 BKN150</t>
        </r>
      </text>
    </comment>
    <comment ref="AM16" authorId="0">
      <text>
        <r>
          <rPr>
            <sz val="10"/>
            <color indexed="9"/>
            <rFont val="Tahoma"/>
            <family val="2"/>
          </rPr>
          <t>KTLH FM 0414/0419 310/7KT 6.21 SM FEW005 BKN150</t>
        </r>
      </text>
    </comment>
    <comment ref="AO16" authorId="0">
      <text>
        <r>
          <rPr>
            <sz val="10"/>
            <color indexed="9"/>
            <rFont val="Tahoma"/>
            <family val="2"/>
          </rPr>
          <t>KTLH FM 0414/0419 310/7KT 6.21 SM FEW005 BKN150</t>
        </r>
      </text>
    </comment>
    <comment ref="AQ16" authorId="0">
      <text>
        <r>
          <rPr>
            <sz val="10"/>
            <color indexed="9"/>
            <rFont val="Tahoma"/>
            <family val="2"/>
          </rPr>
          <t>KTLH FM 0419/0500 330/11KT 6.21 SM SCT030 SCT150</t>
        </r>
      </text>
    </comment>
    <comment ref="AS16" authorId="0">
      <text>
        <r>
          <rPr>
            <sz val="10"/>
            <color indexed="9"/>
            <rFont val="Tahoma"/>
            <family val="2"/>
          </rPr>
          <t>KTLH FM 0419/0500 330/11KT 6.21 SM SCT030 SCT150</t>
        </r>
      </text>
    </comment>
    <comment ref="AU16" authorId="0">
      <text>
        <r>
          <rPr>
            <sz val="10"/>
            <color indexed="9"/>
            <rFont val="Tahoma"/>
            <family val="2"/>
          </rPr>
          <t>KTLH FM 0419/0500 330/11KT 6.21 SM SCT030 SCT150</t>
        </r>
      </text>
    </comment>
    <comment ref="AW16" authorId="0">
      <text>
        <r>
          <rPr>
            <sz val="10"/>
            <color indexed="9"/>
            <rFont val="Tahoma"/>
            <family val="2"/>
          </rPr>
          <t>KTLH FM 0419/0500 330/11KT 6.21 SM SCT030 SCT150</t>
        </r>
      </text>
    </comment>
    <comment ref="AY16" authorId="0">
      <text>
        <r>
          <rPr>
            <sz val="10"/>
            <color indexed="9"/>
            <rFont val="Tahoma"/>
            <family val="2"/>
          </rPr>
          <t>KTLH FM 0419/0500 330/11KT 6.21 SM SCT030 SCT150</t>
        </r>
      </text>
    </comment>
    <comment ref="BA16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E17" authorId="0">
      <text>
        <r>
          <rPr>
            <sz val="10"/>
            <color indexed="9"/>
            <rFont val="Tahoma"/>
            <family val="2"/>
          </rPr>
          <t xml:space="preserve">GAINESVILLE
KGNV 040153Z 23005KT 10SM SCT009 BKN034 22/21 A2990 RMK AO2 SLP124 T02220206
KGNV 040103Z 0401/0424 24008KT P6SM SCT020 BKN025 OVC050 
FM040500 26006KT 3SM BR SCT005 BKN015 
FM041400 29008KT P6SM BKN010 OVC030 
FM041700 29010KT P6SM SCT025 BKN035 </t>
        </r>
      </text>
    </comment>
    <comment ref="G17" authorId="0">
      <text>
        <r>
          <rPr>
            <sz val="10"/>
            <color indexed="9"/>
            <rFont val="Tahoma"/>
            <family val="2"/>
          </rPr>
          <t>KGNV 040153Z  230/5KT 10.0 SM SCT009 BKN034
KGNV 0401/0405 240/8KT 6.21 SM SCT020 BKN025 OVC050</t>
        </r>
      </text>
    </comment>
    <comment ref="I17" authorId="0">
      <text>
        <r>
          <rPr>
            <sz val="10"/>
            <color indexed="9"/>
            <rFont val="Tahoma"/>
            <family val="2"/>
          </rPr>
          <t>KGNV 0401/0405 240/8KT 6.21 SM SCT020 BKN025 OVC050</t>
        </r>
      </text>
    </comment>
    <comment ref="K17" authorId="0">
      <text>
        <r>
          <rPr>
            <sz val="10"/>
            <color indexed="9"/>
            <rFont val="Tahoma"/>
            <family val="2"/>
          </rPr>
          <t>KGNV 0401/0405 240/8KT 6.21 SM SCT020 BKN025 OVC050</t>
        </r>
      </text>
    </comment>
    <comment ref="M17" authorId="0">
      <text>
        <r>
          <rPr>
            <sz val="10"/>
            <color indexed="9"/>
            <rFont val="Tahoma"/>
            <family val="2"/>
          </rPr>
          <t>KGNV 0401/0405 240/8KT 6.21 SM SCT020 BKN025 OVC050</t>
        </r>
      </text>
    </comment>
    <comment ref="O17" authorId="0">
      <text>
        <r>
          <rPr>
            <sz val="10"/>
            <color indexed="9"/>
            <rFont val="Tahoma"/>
            <family val="2"/>
          </rPr>
          <t>KGNV FM 0405/0414 260/6KT 3.0 SM BR SCT005 BKN015</t>
        </r>
      </text>
    </comment>
    <comment ref="Q17" authorId="0">
      <text>
        <r>
          <rPr>
            <sz val="10"/>
            <color indexed="9"/>
            <rFont val="Tahoma"/>
            <family val="2"/>
          </rPr>
          <t>KGNV FM 0405/0414 260/6KT 3.0 SM BR SCT005 BKN015</t>
        </r>
      </text>
    </comment>
    <comment ref="S17" authorId="0">
      <text>
        <r>
          <rPr>
            <sz val="10"/>
            <color indexed="9"/>
            <rFont val="Tahoma"/>
            <family val="2"/>
          </rPr>
          <t>KGNV FM 0405/0414 260/6KT 3.0 SM BR SCT005 BKN015</t>
        </r>
      </text>
    </comment>
    <comment ref="U17" authorId="0">
      <text>
        <r>
          <rPr>
            <sz val="10"/>
            <color indexed="9"/>
            <rFont val="Tahoma"/>
            <family val="2"/>
          </rPr>
          <t>KGNV FM 0405/0414 260/6KT 3.0 SM BR SCT005 BKN015</t>
        </r>
      </text>
    </comment>
    <comment ref="W17" authorId="0">
      <text>
        <r>
          <rPr>
            <sz val="10"/>
            <color indexed="9"/>
            <rFont val="Tahoma"/>
            <family val="2"/>
          </rPr>
          <t>KGNV FM 0405/0414 260/6KT 3.0 SM BR SCT005 BKN015</t>
        </r>
      </text>
    </comment>
    <comment ref="Y17" authorId="0">
      <text>
        <r>
          <rPr>
            <sz val="10"/>
            <color indexed="9"/>
            <rFont val="Tahoma"/>
            <family val="2"/>
          </rPr>
          <t>KGNV FM 0405/0414 260/6KT 3.0 SM BR SCT005 BKN015</t>
        </r>
      </text>
    </comment>
    <comment ref="AA17" authorId="0">
      <text>
        <r>
          <rPr>
            <sz val="10"/>
            <color indexed="9"/>
            <rFont val="Tahoma"/>
            <family val="2"/>
          </rPr>
          <t>KGNV FM 0405/0414 260/6KT 3.0 SM BR SCT005 BKN015</t>
        </r>
      </text>
    </comment>
    <comment ref="AC17" authorId="0">
      <text>
        <r>
          <rPr>
            <sz val="10"/>
            <color indexed="9"/>
            <rFont val="Tahoma"/>
            <family val="2"/>
          </rPr>
          <t>KGNV FM 0405/0414 260/6KT 3.0 SM BR SCT005 BKN015</t>
        </r>
      </text>
    </comment>
    <comment ref="AE17" authorId="0">
      <text>
        <r>
          <rPr>
            <sz val="10"/>
            <color indexed="9"/>
            <rFont val="Tahoma"/>
            <family val="2"/>
          </rPr>
          <t>KGNV FM 0405/0414 260/6KT 3.0 SM BR SCT005 BKN015</t>
        </r>
      </text>
    </comment>
    <comment ref="AG17" authorId="0">
      <text>
        <r>
          <rPr>
            <sz val="10"/>
            <color indexed="9"/>
            <rFont val="Tahoma"/>
            <family val="2"/>
          </rPr>
          <t>KGNV FM 0414/0417 290/8KT 6.21 SM BKN010 OVC030</t>
        </r>
      </text>
    </comment>
    <comment ref="AI17" authorId="0">
      <text>
        <r>
          <rPr>
            <sz val="10"/>
            <color indexed="9"/>
            <rFont val="Tahoma"/>
            <family val="2"/>
          </rPr>
          <t>KGNV FM 0414/0417 290/8KT 6.21 SM BKN010 OVC030</t>
        </r>
      </text>
    </comment>
    <comment ref="AK17" authorId="0">
      <text>
        <r>
          <rPr>
            <sz val="10"/>
            <color indexed="9"/>
            <rFont val="Tahoma"/>
            <family val="2"/>
          </rPr>
          <t>KGNV FM 0414/0417 290/8KT 6.21 SM BKN010 OVC030</t>
        </r>
      </text>
    </comment>
    <comment ref="AM17" authorId="0">
      <text>
        <r>
          <rPr>
            <sz val="10"/>
            <color indexed="9"/>
            <rFont val="Tahoma"/>
            <family val="2"/>
          </rPr>
          <t>KGNV FM 0417/0500 290/10KT 6.21 SM SCT025 BKN035</t>
        </r>
      </text>
    </comment>
    <comment ref="AO17" authorId="0">
      <text>
        <r>
          <rPr>
            <sz val="10"/>
            <color indexed="9"/>
            <rFont val="Tahoma"/>
            <family val="2"/>
          </rPr>
          <t>KGNV FM 0417/0500 290/10KT 6.21 SM SCT025 BKN035</t>
        </r>
      </text>
    </comment>
    <comment ref="AQ17" authorId="0">
      <text>
        <r>
          <rPr>
            <sz val="10"/>
            <color indexed="9"/>
            <rFont val="Tahoma"/>
            <family val="2"/>
          </rPr>
          <t>KGNV FM 0417/0500 290/10KT 6.21 SM SCT025 BKN035</t>
        </r>
      </text>
    </comment>
    <comment ref="AS17" authorId="0">
      <text>
        <r>
          <rPr>
            <sz val="10"/>
            <color indexed="9"/>
            <rFont val="Tahoma"/>
            <family val="2"/>
          </rPr>
          <t>KGNV FM 0417/0500 290/10KT 6.21 SM SCT025 BKN035</t>
        </r>
      </text>
    </comment>
    <comment ref="AU17" authorId="0">
      <text>
        <r>
          <rPr>
            <sz val="10"/>
            <color indexed="9"/>
            <rFont val="Tahoma"/>
            <family val="2"/>
          </rPr>
          <t>KGNV FM 0417/0500 290/10KT 6.21 SM SCT025 BKN035</t>
        </r>
      </text>
    </comment>
    <comment ref="AW17" authorId="0">
      <text>
        <r>
          <rPr>
            <sz val="10"/>
            <color indexed="9"/>
            <rFont val="Tahoma"/>
            <family val="2"/>
          </rPr>
          <t>KGNV FM 0417/0500 290/10KT 6.21 SM SCT025 BKN035</t>
        </r>
      </text>
    </comment>
    <comment ref="AY17" authorId="0">
      <text>
        <r>
          <rPr>
            <sz val="10"/>
            <color indexed="9"/>
            <rFont val="Tahoma"/>
            <family val="2"/>
          </rPr>
          <t>KGNV FM 0417/0500 290/10KT 6.21 SM SCT025 BKN035</t>
        </r>
      </text>
    </comment>
    <comment ref="BA17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E18" authorId="0">
      <text>
        <r>
          <rPr>
            <sz val="10"/>
            <color indexed="9"/>
            <rFont val="Tahoma"/>
            <family val="2"/>
          </rPr>
          <t xml:space="preserve">DAYTONA BEACH
KDAB 040153Z 24006KT 10SM FEW047 SCT065 OVC250 22/21 A2991 RMK AO2 SLP127 T02220206
KDAB 032329Z 0400/0424 24005KT P6SM VCSH FEW040 SCT100 BKN200 
FM040400 25005KT 5SM BR BKN004 
FM041400 28006KT P6SM SCT009 BKN015 BKN025 
FM041700 29010KT P6SM SCT025 BKN250 </t>
        </r>
      </text>
    </comment>
    <comment ref="G18" authorId="0">
      <text>
        <r>
          <rPr>
            <sz val="10"/>
            <color indexed="9"/>
            <rFont val="Tahoma"/>
            <family val="2"/>
          </rPr>
          <t>KDAB 040153Z  240/6KT 10.0 SM FEW047 SCT065 OVC250
KDAB 0400/0404 240/5KT 6.21 SM VCSH FEW040 SCT100 BKN200</t>
        </r>
      </text>
    </comment>
    <comment ref="I18" authorId="0">
      <text>
        <r>
          <rPr>
            <sz val="10"/>
            <color indexed="9"/>
            <rFont val="Tahoma"/>
            <family val="2"/>
          </rPr>
          <t>KDAB 0400/0404 240/5KT 6.21 SM VCSH FEW040 SCT100 BKN200</t>
        </r>
      </text>
    </comment>
    <comment ref="K18" authorId="0">
      <text>
        <r>
          <rPr>
            <sz val="10"/>
            <color indexed="9"/>
            <rFont val="Tahoma"/>
            <family val="2"/>
          </rPr>
          <t>KDAB 0400/0404 240/5KT 6.21 SM VCSH FEW040 SCT100 BKN200</t>
        </r>
      </text>
    </comment>
    <comment ref="M18" authorId="0">
      <text>
        <r>
          <rPr>
            <sz val="10"/>
            <color indexed="9"/>
            <rFont val="Tahoma"/>
            <family val="2"/>
          </rPr>
          <t>KDAB FM 0404/0414 250/5KT 5.0 SM BR BKN004</t>
        </r>
      </text>
    </comment>
    <comment ref="O18" authorId="0">
      <text>
        <r>
          <rPr>
            <sz val="10"/>
            <color indexed="9"/>
            <rFont val="Tahoma"/>
            <family val="2"/>
          </rPr>
          <t>KDAB FM 0404/0414 250/5KT 5.0 SM BR BKN004</t>
        </r>
      </text>
    </comment>
    <comment ref="Q18" authorId="0">
      <text>
        <r>
          <rPr>
            <sz val="10"/>
            <color indexed="9"/>
            <rFont val="Tahoma"/>
            <family val="2"/>
          </rPr>
          <t>KDAB FM 0404/0414 250/5KT 5.0 SM BR BKN004</t>
        </r>
      </text>
    </comment>
    <comment ref="S18" authorId="0">
      <text>
        <r>
          <rPr>
            <sz val="10"/>
            <color indexed="9"/>
            <rFont val="Tahoma"/>
            <family val="2"/>
          </rPr>
          <t>KDAB FM 0404/0414 250/5KT 5.0 SM BR BKN004</t>
        </r>
      </text>
    </comment>
    <comment ref="U18" authorId="0">
      <text>
        <r>
          <rPr>
            <sz val="10"/>
            <color indexed="9"/>
            <rFont val="Tahoma"/>
            <family val="2"/>
          </rPr>
          <t>KDAB FM 0404/0414 250/5KT 5.0 SM BR BKN004</t>
        </r>
      </text>
    </comment>
    <comment ref="W18" authorId="0">
      <text>
        <r>
          <rPr>
            <sz val="10"/>
            <color indexed="9"/>
            <rFont val="Tahoma"/>
            <family val="2"/>
          </rPr>
          <t>KDAB FM 0404/0414 250/5KT 5.0 SM BR BKN004</t>
        </r>
      </text>
    </comment>
    <comment ref="Y18" authorId="0">
      <text>
        <r>
          <rPr>
            <sz val="10"/>
            <color indexed="9"/>
            <rFont val="Tahoma"/>
            <family val="2"/>
          </rPr>
          <t>KDAB FM 0404/0414 250/5KT 5.0 SM BR BKN004</t>
        </r>
      </text>
    </comment>
    <comment ref="AA18" authorId="0">
      <text>
        <r>
          <rPr>
            <sz val="10"/>
            <color indexed="9"/>
            <rFont val="Tahoma"/>
            <family val="2"/>
          </rPr>
          <t>KDAB FM 0404/0414 250/5KT 5.0 SM BR BKN004</t>
        </r>
      </text>
    </comment>
    <comment ref="AC18" authorId="0">
      <text>
        <r>
          <rPr>
            <sz val="10"/>
            <color indexed="9"/>
            <rFont val="Tahoma"/>
            <family val="2"/>
          </rPr>
          <t>KDAB FM 0404/0414 250/5KT 5.0 SM BR BKN004</t>
        </r>
      </text>
    </comment>
    <comment ref="AE18" authorId="0">
      <text>
        <r>
          <rPr>
            <sz val="10"/>
            <color indexed="9"/>
            <rFont val="Tahoma"/>
            <family val="2"/>
          </rPr>
          <t>KDAB FM 0404/0414 250/5KT 5.0 SM BR BKN004</t>
        </r>
      </text>
    </comment>
    <comment ref="AG18" authorId="0">
      <text>
        <r>
          <rPr>
            <sz val="10"/>
            <color indexed="9"/>
            <rFont val="Tahoma"/>
            <family val="2"/>
          </rPr>
          <t>KDAB FM 0414/0417 280/6KT 6.21 SM SCT009 BKN015 BKN025</t>
        </r>
      </text>
    </comment>
    <comment ref="AI18" authorId="0">
      <text>
        <r>
          <rPr>
            <sz val="10"/>
            <color indexed="9"/>
            <rFont val="Tahoma"/>
            <family val="2"/>
          </rPr>
          <t>KDAB FM 0414/0417 280/6KT 6.21 SM SCT009 BKN015 BKN025</t>
        </r>
      </text>
    </comment>
    <comment ref="AK18" authorId="0">
      <text>
        <r>
          <rPr>
            <sz val="10"/>
            <color indexed="9"/>
            <rFont val="Tahoma"/>
            <family val="2"/>
          </rPr>
          <t>KDAB FM 0414/0417 280/6KT 6.21 SM SCT009 BKN015 BKN025</t>
        </r>
      </text>
    </comment>
    <comment ref="AM18" authorId="0">
      <text>
        <r>
          <rPr>
            <sz val="10"/>
            <color indexed="9"/>
            <rFont val="Tahoma"/>
            <family val="2"/>
          </rPr>
          <t>KDAB FM 0417/0500 290/10KT 6.21 SM SCT025 BKN250</t>
        </r>
      </text>
    </comment>
    <comment ref="AO18" authorId="0">
      <text>
        <r>
          <rPr>
            <sz val="10"/>
            <color indexed="9"/>
            <rFont val="Tahoma"/>
            <family val="2"/>
          </rPr>
          <t>KDAB FM 0417/0500 290/10KT 6.21 SM SCT025 BKN250</t>
        </r>
      </text>
    </comment>
    <comment ref="AQ18" authorId="0">
      <text>
        <r>
          <rPr>
            <sz val="10"/>
            <color indexed="9"/>
            <rFont val="Tahoma"/>
            <family val="2"/>
          </rPr>
          <t>KDAB FM 0417/0500 290/10KT 6.21 SM SCT025 BKN250</t>
        </r>
      </text>
    </comment>
    <comment ref="AS18" authorId="0">
      <text>
        <r>
          <rPr>
            <sz val="10"/>
            <color indexed="9"/>
            <rFont val="Tahoma"/>
            <family val="2"/>
          </rPr>
          <t>KDAB FM 0417/0500 290/10KT 6.21 SM SCT025 BKN250</t>
        </r>
      </text>
    </comment>
    <comment ref="AU18" authorId="0">
      <text>
        <r>
          <rPr>
            <sz val="10"/>
            <color indexed="9"/>
            <rFont val="Tahoma"/>
            <family val="2"/>
          </rPr>
          <t>KDAB FM 0417/0500 290/10KT 6.21 SM SCT025 BKN250</t>
        </r>
      </text>
    </comment>
    <comment ref="AW18" authorId="0">
      <text>
        <r>
          <rPr>
            <sz val="10"/>
            <color indexed="9"/>
            <rFont val="Tahoma"/>
            <family val="2"/>
          </rPr>
          <t>KDAB FM 0417/0500 290/10KT 6.21 SM SCT025 BKN250</t>
        </r>
      </text>
    </comment>
    <comment ref="AY18" authorId="0">
      <text>
        <r>
          <rPr>
            <sz val="10"/>
            <color indexed="9"/>
            <rFont val="Tahoma"/>
            <family val="2"/>
          </rPr>
          <t>KDAB FM 0417/0500 290/10KT 6.21 SM SCT025 BKN250</t>
        </r>
      </text>
    </comment>
    <comment ref="BA18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E19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G19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I19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K19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M19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O19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Q19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S19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U19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W19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Y19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A19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C19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E19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G19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I19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K19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M19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O19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Q19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S19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U19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W19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Y19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BA19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E20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G20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I20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K20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M20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O20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Q20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S20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U20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W20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Y20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A20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C20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E20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G20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I20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K20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M20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O20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Q20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S20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U20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W20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Y20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BA20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E21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G21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I21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K21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M21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O21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Q21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S21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U21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W21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Y21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A21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C21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E21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G21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I21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K21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M21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O21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Q21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S21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U21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W21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Y21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BA21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E22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G22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I22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K22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M22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O22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Q22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S22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U22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W22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Y22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A22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C22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E22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G22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I22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K22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M22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O22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Q22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S22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U22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W22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Y22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BA22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E23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G23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I23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K23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M23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O23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Q23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S23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U23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W23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Y23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A23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C23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E23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G23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I23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K23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M23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O23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Q23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S23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U23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W23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Y23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BA23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E24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G24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I24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K24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M24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O24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Q24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S24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U24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W24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Y24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A24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C24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E24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G24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I24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K24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M24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O24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Q24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S24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U24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W24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Y24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BA24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E2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G2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I2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K2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M2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O2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Q2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S2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U2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W2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Y2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A2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C2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E2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G2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I2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K2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M2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O2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Q2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S2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U2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W2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Y2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BA25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E26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G26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I26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K26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M26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O26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Q26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S26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U26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W26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Y26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A26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C26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E26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G26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I26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K26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M26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O26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Q26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S26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U26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W26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AY26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  <comment ref="BA26" authorId="0">
      <text>
        <r>
          <rPr>
            <sz val="10"/>
            <color indexed="9"/>
            <rFont val="Tahoma"/>
            <family val="2"/>
          </rPr>
          <t xml:space="preserve"> </t>
        </r>
      </text>
    </comment>
  </commentList>
</comments>
</file>

<file path=xl/comments2.xml><?xml version="1.0" encoding="utf-8"?>
<comments xmlns="http://schemas.openxmlformats.org/spreadsheetml/2006/main">
  <authors>
    <author>adminusafa</author>
    <author>GEIST, ANDREW C 1st Lt USAF PACAF 25 FS/PILOT</author>
  </authors>
  <commentList>
    <comment ref="B12" authorId="0">
      <text>
        <r>
          <rPr>
            <b/>
            <sz val="9"/>
            <color indexed="81"/>
            <rFont val="Tahoma"/>
            <family val="2"/>
          </rPr>
          <t>Normal definition of sunrise/set: -0.833
Astronomical twilight: -18
Nautical twilight: -12
Civil twilight: -6</t>
        </r>
      </text>
    </comment>
    <comment ref="A15" authorId="1">
      <text>
        <r>
          <rPr>
            <b/>
            <sz val="9"/>
            <color indexed="81"/>
            <rFont val="Tahoma"/>
            <family val="2"/>
          </rPr>
          <t>J2000 = 1200 (noon) on 01 January 2000</t>
        </r>
      </text>
    </comment>
    <comment ref="A17" authorId="1">
      <text>
        <r>
          <rPr>
            <b/>
            <sz val="9"/>
            <color indexed="81"/>
            <rFont val="Tahoma"/>
            <family val="2"/>
          </rPr>
          <t>L = Mean longitude including aberration</t>
        </r>
      </text>
    </comment>
    <comment ref="A18" authorId="1">
      <text>
        <r>
          <rPr>
            <b/>
            <sz val="9"/>
            <color indexed="81"/>
            <rFont val="Tahoma"/>
            <family val="2"/>
          </rPr>
          <t>G = Mean anomaly</t>
        </r>
      </text>
    </comment>
    <comment ref="A19" authorId="1">
      <text>
        <r>
          <rPr>
            <b/>
            <sz val="9"/>
            <color indexed="81"/>
            <rFont val="Tahoma"/>
            <family val="2"/>
          </rPr>
          <t>eq centre correction</t>
        </r>
      </text>
    </comment>
    <comment ref="A20" authorId="1">
      <text>
        <r>
          <rPr>
            <b/>
            <sz val="9"/>
            <color indexed="81"/>
            <rFont val="Tahoma"/>
            <family val="2"/>
          </rPr>
          <t>lambda = L + ec 
(ecliptic longitude of the Sun)</t>
        </r>
      </text>
    </comment>
  </commentList>
</comments>
</file>

<file path=xl/sharedStrings.xml><?xml version="1.0" encoding="utf-8"?>
<sst xmlns="http://schemas.openxmlformats.org/spreadsheetml/2006/main" count="182" uniqueCount="172">
  <si>
    <t>Ceiling</t>
  </si>
  <si>
    <t>Vis</t>
  </si>
  <si>
    <t>No alternate required</t>
  </si>
  <si>
    <t>Do not file/CAT __ Wx Hold</t>
  </si>
  <si>
    <t>Below mins: not valid alternate</t>
  </si>
  <si>
    <t>Valid alternate</t>
  </si>
  <si>
    <t>Below mins due to TEMPO TS/RA/SHSN</t>
  </si>
  <si>
    <t>File: alternate required</t>
  </si>
  <si>
    <t>AFPAM 11-238 METAR &amp; TAF Codes</t>
  </si>
  <si>
    <t>AFI 11-202V3 General Flight Rules</t>
  </si>
  <si>
    <t>Last Updated:</t>
  </si>
  <si>
    <t>FAA NOTAMS</t>
  </si>
  <si>
    <t>KLSV</t>
  </si>
  <si>
    <t>KINS</t>
  </si>
  <si>
    <t>KEDW</t>
  </si>
  <si>
    <t>KLUF</t>
  </si>
  <si>
    <t>KNID</t>
  </si>
  <si>
    <t>KNYL</t>
  </si>
  <si>
    <t>KNLC</t>
  </si>
  <si>
    <t>KNFL</t>
  </si>
  <si>
    <t>KHIF</t>
  </si>
  <si>
    <t>KVAD</t>
  </si>
  <si>
    <t>KVLD</t>
  </si>
  <si>
    <t>KNIP</t>
  </si>
  <si>
    <t>KJAX</t>
  </si>
  <si>
    <t>KWRB</t>
  </si>
  <si>
    <t>KSAV</t>
  </si>
  <si>
    <t>KPAM</t>
  </si>
  <si>
    <t>KSVN</t>
  </si>
  <si>
    <t>KLSF</t>
  </si>
  <si>
    <t>KABY</t>
  </si>
  <si>
    <t>KTLH</t>
  </si>
  <si>
    <t>KGNV</t>
  </si>
  <si>
    <t>KDAB</t>
  </si>
  <si>
    <t>KOGD</t>
  </si>
  <si>
    <t>KSLC</t>
  </si>
  <si>
    <t>KBMC</t>
  </si>
  <si>
    <t>KDPG</t>
  </si>
  <si>
    <t>KENV</t>
  </si>
  <si>
    <t>KTWF</t>
  </si>
  <si>
    <t>KMUO</t>
  </si>
  <si>
    <t>KBKF</t>
  </si>
  <si>
    <t>KCDC</t>
  </si>
  <si>
    <t>KNVL</t>
  </si>
  <si>
    <t>KGJT</t>
  </si>
  <si>
    <t>KLGU</t>
  </si>
  <si>
    <t>KPIH</t>
  </si>
  <si>
    <t>KPVU</t>
  </si>
  <si>
    <t>KRIW</t>
  </si>
  <si>
    <t>KRKS</t>
  </si>
  <si>
    <t>ETAD</t>
  </si>
  <si>
    <t>EDFH</t>
  </si>
  <si>
    <t>RKSO</t>
  </si>
  <si>
    <t>RKTU</t>
  </si>
  <si>
    <t>RKTN</t>
  </si>
  <si>
    <t>RKNN</t>
  </si>
  <si>
    <t>RKPK</t>
  </si>
  <si>
    <t>RKSS</t>
  </si>
  <si>
    <t>RKJJ</t>
  </si>
  <si>
    <t>RKSI</t>
  </si>
  <si>
    <t>RKPC</t>
  </si>
  <si>
    <t>RKTI</t>
  </si>
  <si>
    <t>RKJK</t>
  </si>
  <si>
    <t>RKTH</t>
  </si>
  <si>
    <t>RKPS</t>
  </si>
  <si>
    <t>RKTP</t>
  </si>
  <si>
    <t>RKSM</t>
  </si>
  <si>
    <t>RKSW</t>
  </si>
  <si>
    <t>RKNW</t>
  </si>
  <si>
    <t>RKTY</t>
  </si>
  <si>
    <t>RKSG</t>
  </si>
  <si>
    <t>KDMA</t>
  </si>
  <si>
    <t>KTUS</t>
  </si>
  <si>
    <t>KGXF</t>
  </si>
  <si>
    <t>KFHU</t>
  </si>
  <si>
    <t>KZAB</t>
  </si>
  <si>
    <t>KHMN</t>
  </si>
  <si>
    <t>KIWA</t>
  </si>
  <si>
    <t>PAEI</t>
  </si>
  <si>
    <t>PAFA</t>
  </si>
  <si>
    <t>PAFB</t>
  </si>
  <si>
    <t>PABI</t>
  </si>
  <si>
    <t>PAED</t>
  </si>
  <si>
    <t>PANC</t>
  </si>
  <si>
    <t>PAKN</t>
  </si>
  <si>
    <t>ETAR</t>
  </si>
  <si>
    <t>ETSB</t>
  </si>
  <si>
    <t>ETNN</t>
  </si>
  <si>
    <t>EBBL</t>
  </si>
  <si>
    <t>EBFS</t>
  </si>
  <si>
    <t>EBBE</t>
  </si>
  <si>
    <t>EHVK</t>
  </si>
  <si>
    <t>EHEN</t>
  </si>
  <si>
    <t>ETNG</t>
  </si>
  <si>
    <t>ETSI</t>
  </si>
  <si>
    <t>ETNJ</t>
  </si>
  <si>
    <t>EGUL</t>
  </si>
  <si>
    <t>ETSL</t>
  </si>
  <si>
    <t>EHLW</t>
  </si>
  <si>
    <t>ELLX</t>
  </si>
  <si>
    <t>EGUN</t>
  </si>
  <si>
    <t>ETSN</t>
  </si>
  <si>
    <t>ETNT</t>
  </si>
  <si>
    <t>EDRZ</t>
  </si>
  <si>
    <t>Activity Log</t>
  </si>
  <si>
    <t>Username</t>
  </si>
  <si>
    <t>Date</t>
  </si>
  <si>
    <t>Legend - Alternates</t>
  </si>
  <si>
    <t>Count</t>
  </si>
  <si>
    <t>View METARs/TAFs in Browser</t>
  </si>
  <si>
    <t>DINS NOTAMs (old DoD system)</t>
  </si>
  <si>
    <t>DAIP NOTAMs (new DoD system)</t>
  </si>
  <si>
    <t>String</t>
  </si>
  <si>
    <t>Time</t>
  </si>
  <si>
    <t>Zulu Sunrise</t>
  </si>
  <si>
    <t>Zulu Sunset</t>
  </si>
  <si>
    <t>Local Sunrise</t>
  </si>
  <si>
    <t>Local Sunset</t>
  </si>
  <si>
    <t>Zulu/UTC Sunrise</t>
  </si>
  <si>
    <t>Hours</t>
  </si>
  <si>
    <t>Zulu/UTC Sunset</t>
  </si>
  <si>
    <t>Whole Hours</t>
  </si>
  <si>
    <t>Rounded Hours</t>
  </si>
  <si>
    <t>String Hours</t>
  </si>
  <si>
    <t>Days since J2000</t>
  </si>
  <si>
    <t>Hours Remainder</t>
  </si>
  <si>
    <t>Minutes</t>
  </si>
  <si>
    <t>Whole Minutes</t>
  </si>
  <si>
    <t>Rounded Minutes</t>
  </si>
  <si>
    <t>String Minutes</t>
  </si>
  <si>
    <t>Minutes Remainder</t>
  </si>
  <si>
    <t>Seconds</t>
  </si>
  <si>
    <t>Whole Seconds</t>
  </si>
  <si>
    <t>L</t>
  </si>
  <si>
    <t>Rounded Seconds</t>
  </si>
  <si>
    <t>G</t>
  </si>
  <si>
    <t>ec</t>
  </si>
  <si>
    <t>lambda</t>
  </si>
  <si>
    <t>E</t>
  </si>
  <si>
    <t>obl</t>
  </si>
  <si>
    <t>delta</t>
  </si>
  <si>
    <t>GHA</t>
  </si>
  <si>
    <t>cosc</t>
  </si>
  <si>
    <t>correction</t>
  </si>
  <si>
    <t>utnewsunrise</t>
  </si>
  <si>
    <t>utnewsunset</t>
  </si>
  <si>
    <t>Formulas/math/etc from http://www.stargazing.net/kepler/sunrise.html</t>
  </si>
  <si>
    <t>Zulu Offset:</t>
  </si>
  <si>
    <t>Zulu DOM:</t>
  </si>
  <si>
    <t>t</t>
  </si>
  <si>
    <t>=days/36525</t>
  </si>
  <si>
    <t>= 280.46 + 36000.770 * t</t>
  </si>
  <si>
    <t>Date:</t>
  </si>
  <si>
    <t>Year:</t>
  </si>
  <si>
    <t>Month:</t>
  </si>
  <si>
    <t>Day:</t>
  </si>
  <si>
    <t>Location:</t>
  </si>
  <si>
    <t>Latitude:</t>
  </si>
  <si>
    <t>Longitude:</t>
  </si>
  <si>
    <t>Time zone:</t>
  </si>
  <si>
    <t>Required alt:</t>
  </si>
  <si>
    <t>= 357.528 + 35999.050 * t</t>
  </si>
  <si>
    <t>= 1.915 * sin(G) + 0.020 * sin(2*G)</t>
  </si>
  <si>
    <t>= L + ec</t>
  </si>
  <si>
    <t>= -ec + 2.466 * sin(2 * lambda) - 0.053 * sin(4 * lambda)</t>
  </si>
  <si>
    <t>= 23.4393 - 0.0130 * t</t>
  </si>
  <si>
    <t>= asin(sin(obl) * sin(lambda))</t>
  </si>
  <si>
    <t>= Uto - 180 + E</t>
  </si>
  <si>
    <t>new t</t>
  </si>
  <si>
    <t>OR below mins due to TEMPO line</t>
  </si>
  <si>
    <t>CAUTION: calculations do not consider what the lowest compatible approach mins are at a given field - only how the weather compares to the parameters you enter.  In other words, it's up to you to ensure that (for example) 1000/2 is more conservative than an alternate's lowest compatible mins + 500' and 1SM IAW AFI11-202V3.</t>
  </si>
  <si>
    <t>01/03/2017 2057L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</si>
</sst>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hh"/>
    <numFmt numFmtId="165" formatCode="ddhh"/>
    <numFmt numFmtId="166" formatCode="0.0"/>
    <numFmt numFmtId="167" formatCode="[$-F400]h:mm:ss\ AM/PM"/>
    <numFmt numFmtId="168" formatCode="0.00000000"/>
  </numFmts>
  <fonts count="1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0C0C0"/>
      <name val="Calibri"/>
      <family val="2"/>
      <scheme val="minor"/>
    </font>
    <font>
      <sz val="10"/>
      <color indexed="9"/>
      <name val="Tahoma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FF00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Arial Unicode MS"/>
      <family val="2"/>
    </font>
    <font>
      <b/>
      <sz val="9"/>
      <color indexed="81"/>
      <name val="Tahoma"/>
      <family val="2"/>
    </font>
    <font>
      <sz val="10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10" fillId="0" borderId="0"/>
  </cellStyleXfs>
  <cellXfs count="137">
    <xf numFmtId="0" fontId="0" fillId="0" borderId="0" xfId="0"/>
    <xf numFmtId="0" fontId="0" fillId="2" borderId="0" xfId="0" applyFill="1" applyAlignment="1">
      <alignment horizontal="center" vertical="center"/>
    </xf>
    <xf numFmtId="22" fontId="0" fillId="2" borderId="0" xfId="0" applyNumberForma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5" xfId="0" applyFill="1" applyBorder="1" applyAlignment="1">
      <alignment horizontal="left" vertical="center"/>
    </xf>
    <xf numFmtId="0" fontId="0" fillId="0" borderId="1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0" xfId="0" applyFill="1"/>
    <xf numFmtId="0" fontId="5" fillId="0" borderId="22" xfId="0" applyFont="1" applyBorder="1"/>
    <xf numFmtId="0" fontId="5" fillId="0" borderId="23" xfId="0" applyFont="1" applyBorder="1"/>
    <xf numFmtId="0" fontId="5" fillId="0" borderId="24" xfId="0" applyFont="1" applyBorder="1"/>
    <xf numFmtId="0" fontId="0" fillId="2" borderId="0" xfId="0" applyFill="1" applyAlignment="1">
      <alignment shrinkToFit="1"/>
    </xf>
    <xf numFmtId="0" fontId="0" fillId="0" borderId="1" xfId="0" applyBorder="1" applyAlignment="1">
      <alignment shrinkToFit="1"/>
    </xf>
    <xf numFmtId="0" fontId="0" fillId="0" borderId="2" xfId="0" applyBorder="1" applyAlignment="1">
      <alignment shrinkToFit="1"/>
    </xf>
    <xf numFmtId="0" fontId="0" fillId="0" borderId="1" xfId="0" applyFill="1" applyBorder="1" applyAlignment="1">
      <alignment shrinkToFit="1"/>
    </xf>
    <xf numFmtId="0" fontId="6" fillId="0" borderId="1" xfId="0" applyFont="1" applyBorder="1" applyAlignment="1">
      <alignment horizontal="left" vertical="center" shrinkToFit="1"/>
    </xf>
    <xf numFmtId="0" fontId="0" fillId="6" borderId="1" xfId="0" applyFill="1" applyBorder="1" applyAlignment="1">
      <alignment horizontal="center" vertical="center" shrinkToFit="1"/>
    </xf>
    <xf numFmtId="0" fontId="0" fillId="2" borderId="5" xfId="0" applyFill="1" applyBorder="1" applyAlignment="1">
      <alignment horizontal="center" vertical="center" shrinkToFit="1"/>
    </xf>
    <xf numFmtId="0" fontId="0" fillId="2" borderId="1" xfId="0" applyFill="1" applyBorder="1" applyAlignment="1">
      <alignment horizontal="center" vertical="center"/>
    </xf>
    <xf numFmtId="0" fontId="4" fillId="8" borderId="0" xfId="1" applyFill="1" applyAlignment="1">
      <alignment horizontal="left" vertical="center"/>
    </xf>
    <xf numFmtId="0" fontId="10" fillId="2" borderId="0" xfId="2" applyFill="1"/>
    <xf numFmtId="0" fontId="10" fillId="2" borderId="0" xfId="2" applyFill="1" applyBorder="1"/>
    <xf numFmtId="0" fontId="10" fillId="2" borderId="0" xfId="2" applyFill="1" applyBorder="1" applyAlignment="1">
      <alignment horizontal="center" vertical="center"/>
    </xf>
    <xf numFmtId="0" fontId="10" fillId="2" borderId="0" xfId="2" applyFont="1" applyFill="1" applyBorder="1" applyAlignment="1">
      <alignment vertical="center" wrapText="1"/>
    </xf>
    <xf numFmtId="0" fontId="10" fillId="2" borderId="0" xfId="2" applyFill="1" applyBorder="1" applyAlignment="1">
      <alignment wrapText="1"/>
    </xf>
    <xf numFmtId="0" fontId="10" fillId="2" borderId="0" xfId="2" applyFont="1" applyFill="1" applyBorder="1" applyAlignment="1">
      <alignment horizontal="center" vertical="center" wrapText="1"/>
    </xf>
    <xf numFmtId="0" fontId="10" fillId="2" borderId="0" xfId="2" quotePrefix="1" applyFont="1" applyFill="1" applyBorder="1" applyAlignment="1">
      <alignment horizontal="center" vertical="center"/>
    </xf>
    <xf numFmtId="0" fontId="10" fillId="2" borderId="1" xfId="2" applyFill="1" applyBorder="1"/>
    <xf numFmtId="0" fontId="10" fillId="7" borderId="1" xfId="2" applyFill="1" applyBorder="1"/>
    <xf numFmtId="0" fontId="10" fillId="7" borderId="1" xfId="2" applyFill="1" applyBorder="1" applyAlignment="1">
      <alignment horizontal="center" vertical="center"/>
    </xf>
    <xf numFmtId="0" fontId="10" fillId="7" borderId="1" xfId="2" applyFont="1" applyFill="1" applyBorder="1" applyAlignment="1">
      <alignment horizontal="center" vertical="center"/>
    </xf>
    <xf numFmtId="0" fontId="10" fillId="7" borderId="1" xfId="2" applyFont="1" applyFill="1" applyBorder="1"/>
    <xf numFmtId="0" fontId="11" fillId="7" borderId="1" xfId="2" applyFont="1" applyFill="1" applyBorder="1" applyAlignment="1">
      <alignment vertical="center"/>
    </xf>
    <xf numFmtId="167" fontId="10" fillId="7" borderId="1" xfId="2" applyNumberFormat="1" applyFill="1" applyBorder="1"/>
    <xf numFmtId="0" fontId="10" fillId="7" borderId="1" xfId="2" applyFont="1" applyFill="1" applyBorder="1" applyAlignment="1">
      <alignment horizontal="right" vertical="center"/>
    </xf>
    <xf numFmtId="0" fontId="0" fillId="7" borderId="1" xfId="2" applyFont="1" applyFill="1" applyBorder="1"/>
    <xf numFmtId="18" fontId="10" fillId="2" borderId="1" xfId="2" applyNumberFormat="1" applyFill="1" applyBorder="1"/>
    <xf numFmtId="0" fontId="10" fillId="2" borderId="1" xfId="2" applyFont="1" applyFill="1" applyBorder="1" applyAlignment="1">
      <alignment horizontal="right" vertical="center"/>
    </xf>
    <xf numFmtId="0" fontId="10" fillId="2" borderId="1" xfId="2" applyFill="1" applyBorder="1" applyAlignment="1">
      <alignment horizontal="center" vertical="center"/>
    </xf>
    <xf numFmtId="0" fontId="10" fillId="2" borderId="1" xfId="2" applyFont="1" applyFill="1" applyBorder="1"/>
    <xf numFmtId="0" fontId="10" fillId="2" borderId="1" xfId="2" applyFont="1" applyFill="1" applyBorder="1" applyAlignment="1">
      <alignment vertical="center" wrapText="1"/>
    </xf>
    <xf numFmtId="0" fontId="10" fillId="2" borderId="1" xfId="2" applyFill="1" applyBorder="1" applyAlignment="1">
      <alignment wrapText="1"/>
    </xf>
    <xf numFmtId="0" fontId="10" fillId="2" borderId="1" xfId="2" applyFont="1" applyFill="1" applyBorder="1" applyAlignment="1">
      <alignment horizontal="center" vertical="center" wrapText="1"/>
    </xf>
    <xf numFmtId="0" fontId="10" fillId="7" borderId="1" xfId="2" applyFont="1" applyFill="1" applyBorder="1" applyAlignment="1"/>
    <xf numFmtId="0" fontId="10" fillId="2" borderId="1" xfId="2" applyFill="1" applyBorder="1" applyAlignment="1"/>
    <xf numFmtId="0" fontId="10" fillId="2" borderId="1" xfId="2" applyFill="1" applyBorder="1" applyAlignment="1">
      <alignment horizontal="left"/>
    </xf>
    <xf numFmtId="0" fontId="10" fillId="7" borderId="1" xfId="2" applyFill="1" applyBorder="1" applyAlignment="1"/>
    <xf numFmtId="0" fontId="0" fillId="7" borderId="1" xfId="2" quotePrefix="1" applyFont="1" applyFill="1" applyBorder="1"/>
    <xf numFmtId="0" fontId="0" fillId="7" borderId="1" xfId="2" applyFont="1" applyFill="1" applyBorder="1" applyAlignment="1">
      <alignment horizontal="right"/>
    </xf>
    <xf numFmtId="14" fontId="10" fillId="7" borderId="1" xfId="2" applyNumberFormat="1" applyFill="1" applyBorder="1" applyAlignment="1">
      <alignment horizontal="left"/>
    </xf>
    <xf numFmtId="0" fontId="10" fillId="7" borderId="1" xfId="2" applyFill="1" applyBorder="1" applyAlignment="1">
      <alignment horizontal="left"/>
    </xf>
    <xf numFmtId="0" fontId="0" fillId="7" borderId="1" xfId="2" applyFont="1" applyFill="1" applyBorder="1" applyAlignment="1">
      <alignment horizontal="left"/>
    </xf>
    <xf numFmtId="0" fontId="0" fillId="2" borderId="1" xfId="2" applyFont="1" applyFill="1" applyBorder="1" applyAlignment="1">
      <alignment horizontal="right"/>
    </xf>
    <xf numFmtId="0" fontId="0" fillId="9" borderId="1" xfId="0" applyFill="1" applyBorder="1" applyAlignment="1">
      <alignment horizontal="left" vertical="center"/>
    </xf>
    <xf numFmtId="168" fontId="10" fillId="2" borderId="1" xfId="2" applyNumberFormat="1" applyFill="1" applyBorder="1"/>
    <xf numFmtId="0" fontId="0" fillId="2" borderId="1" xfId="0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/>
    </xf>
    <xf numFmtId="0" fontId="4" fillId="8" borderId="0" xfId="1" applyFill="1" applyAlignment="1">
      <alignment horizontal="left" vertical="center"/>
    </xf>
    <xf numFmtId="0" fontId="13" fillId="4" borderId="0" xfId="0" applyFont="1" applyFill="1" applyAlignment="1">
      <alignment horizontal="left" vertical="top" wrapText="1"/>
    </xf>
    <xf numFmtId="0" fontId="0" fillId="2" borderId="0" xfId="0" applyFill="1"/>
    <xf numFmtId="0" fontId="4" fillId="2" borderId="0" xfId="1" applyFill="1" applyAlignment="1">
      <alignment horizontal="left" vertical="center"/>
    </xf>
    <xf numFmtId="165" fontId="0" fillId="3" borderId="10" xfId="0" applyNumberFormat="1" applyFill="1" applyBorder="1" applyAlignment="1">
      <alignment horizontal="center" vertical="center" shrinkToFit="1"/>
    </xf>
    <xf numFmtId="165" fontId="0" fillId="3" borderId="1" xfId="0" applyNumberFormat="1" applyFill="1" applyBorder="1" applyAlignment="1">
      <alignment horizontal="center" vertical="center" shrinkToFit="1"/>
    </xf>
    <xf numFmtId="165" fontId="0" fillId="3" borderId="11" xfId="0" applyNumberFormat="1" applyFill="1" applyBorder="1" applyAlignment="1">
      <alignment horizontal="center" vertical="center" shrinkToFit="1"/>
    </xf>
    <xf numFmtId="165" fontId="0" fillId="4" borderId="4" xfId="0" applyNumberFormat="1" applyFill="1" applyBorder="1" applyAlignment="1">
      <alignment horizontal="center" vertical="center" shrinkToFit="1"/>
    </xf>
    <xf numFmtId="165" fontId="0" fillId="5" borderId="15" xfId="0" applyNumberFormat="1" applyFill="1" applyBorder="1" applyAlignment="1">
      <alignment horizontal="center" vertical="center" shrinkToFit="1"/>
    </xf>
    <xf numFmtId="165" fontId="0" fillId="5" borderId="6" xfId="0" applyNumberFormat="1" applyFill="1" applyBorder="1" applyAlignment="1">
      <alignment horizontal="center" vertical="center" shrinkToFit="1"/>
    </xf>
    <xf numFmtId="165" fontId="0" fillId="5" borderId="16" xfId="0" applyNumberFormat="1" applyFill="1" applyBorder="1" applyAlignment="1">
      <alignment horizontal="center" vertical="center" shrinkToFit="1"/>
    </xf>
    <xf numFmtId="0" fontId="0" fillId="6" borderId="10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" fontId="0" fillId="7" borderId="15" xfId="0" applyNumberFormat="1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17" xfId="0" applyNumberFormat="1" applyFill="1" applyBorder="1" applyAlignment="1">
      <alignment horizontal="center" vertical="center"/>
    </xf>
    <xf numFmtId="1" fontId="0" fillId="7" borderId="5" xfId="0" applyNumberFormat="1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164" fontId="2" fillId="6" borderId="1" xfId="0" applyNumberFormat="1" applyFont="1" applyFill="1" applyBorder="1" applyAlignment="1">
      <alignment horizontal="center" vertical="center"/>
    </xf>
    <xf numFmtId="164" fontId="7" fillId="3" borderId="1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shrinkToFit="1"/>
    </xf>
    <xf numFmtId="0" fontId="0" fillId="5" borderId="1" xfId="0" applyFill="1" applyBorder="1" applyAlignment="1">
      <alignment horizontal="center" vertical="center" shrinkToFit="1"/>
    </xf>
    <xf numFmtId="22" fontId="0" fillId="2" borderId="17" xfId="0" applyNumberFormat="1" applyFill="1" applyBorder="1" applyAlignment="1">
      <alignment horizontal="center" vertical="center" shrinkToFit="1"/>
    </xf>
    <xf numFmtId="0" fontId="0" fillId="2" borderId="5" xfId="0" applyFill="1" applyBorder="1" applyAlignment="1">
      <alignment horizontal="center" vertical="center" shrinkToFit="1"/>
    </xf>
    <xf numFmtId="0" fontId="0" fillId="2" borderId="18" xfId="0" applyFill="1" applyBorder="1" applyAlignment="1">
      <alignment horizontal="center" vertical="center" shrinkToFit="1"/>
    </xf>
    <xf numFmtId="0" fontId="0" fillId="2" borderId="7" xfId="0" applyFill="1" applyBorder="1" applyAlignment="1">
      <alignment horizontal="center" vertical="center" shrinkToFit="1"/>
    </xf>
    <xf numFmtId="0" fontId="0" fillId="2" borderId="8" xfId="0" applyFill="1" applyBorder="1" applyAlignment="1">
      <alignment horizontal="center" vertical="center" shrinkToFit="1"/>
    </xf>
    <xf numFmtId="0" fontId="0" fillId="2" borderId="9" xfId="0" applyFill="1" applyBorder="1" applyAlignment="1">
      <alignment horizontal="center" vertical="center" shrinkToFit="1"/>
    </xf>
    <xf numFmtId="0" fontId="0" fillId="6" borderId="7" xfId="0" applyFill="1" applyBorder="1" applyAlignment="1">
      <alignment horizontal="center" vertical="center" shrinkToFit="1"/>
    </xf>
    <xf numFmtId="0" fontId="0" fillId="6" borderId="8" xfId="0" applyFill="1" applyBorder="1" applyAlignment="1">
      <alignment horizontal="center" vertical="center" shrinkToFit="1"/>
    </xf>
    <xf numFmtId="0" fontId="0" fillId="6" borderId="9" xfId="0" applyFill="1" applyBorder="1" applyAlignment="1">
      <alignment horizontal="center" vertical="center" shrinkToFit="1"/>
    </xf>
    <xf numFmtId="0" fontId="0" fillId="6" borderId="7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1" fontId="0" fillId="7" borderId="16" xfId="0" applyNumberFormat="1" applyFill="1" applyBorder="1" applyAlignment="1">
      <alignment horizontal="center" vertical="center"/>
    </xf>
    <xf numFmtId="166" fontId="0" fillId="7" borderId="5" xfId="0" applyNumberFormat="1" applyFill="1" applyBorder="1" applyAlignment="1">
      <alignment horizontal="center" vertical="center"/>
    </xf>
    <xf numFmtId="166" fontId="0" fillId="7" borderId="18" xfId="0" applyNumberFormat="1" applyFill="1" applyBorder="1" applyAlignment="1">
      <alignment horizontal="center" vertical="center"/>
    </xf>
    <xf numFmtId="164" fontId="0" fillId="2" borderId="2" xfId="0" applyNumberFormat="1" applyFont="1" applyFill="1" applyBorder="1" applyAlignment="1">
      <alignment horizontal="center" vertical="center"/>
    </xf>
    <xf numFmtId="164" fontId="0" fillId="2" borderId="3" xfId="0" applyNumberFormat="1" applyFont="1" applyFill="1" applyBorder="1" applyAlignment="1">
      <alignment horizontal="center" vertical="center"/>
    </xf>
    <xf numFmtId="164" fontId="2" fillId="6" borderId="25" xfId="0" applyNumberFormat="1" applyFont="1" applyFill="1" applyBorder="1" applyAlignment="1">
      <alignment horizontal="center" vertical="center"/>
    </xf>
    <xf numFmtId="164" fontId="2" fillId="6" borderId="3" xfId="0" applyNumberFormat="1" applyFont="1" applyFill="1" applyBorder="1" applyAlignment="1">
      <alignment horizontal="center" vertical="center"/>
    </xf>
    <xf numFmtId="164" fontId="14" fillId="4" borderId="1" xfId="0" applyNumberFormat="1" applyFont="1" applyFill="1" applyBorder="1" applyAlignment="1">
      <alignment horizontal="center" vertical="center"/>
    </xf>
    <xf numFmtId="164" fontId="15" fillId="5" borderId="1" xfId="0" applyNumberFormat="1" applyFont="1" applyFill="1" applyBorder="1" applyAlignment="1">
      <alignment horizontal="center" vertical="center"/>
    </xf>
    <xf numFmtId="164" fontId="0" fillId="2" borderId="1" xfId="0" applyNumberFormat="1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64" fontId="7" fillId="3" borderId="3" xfId="0" applyNumberFormat="1" applyFont="1" applyFill="1" applyBorder="1" applyAlignment="1">
      <alignment horizontal="center" vertical="center"/>
    </xf>
    <xf numFmtId="164" fontId="0" fillId="2" borderId="25" xfId="0" applyNumberFormat="1" applyFont="1" applyFill="1" applyBorder="1" applyAlignment="1">
      <alignment horizontal="center" vertical="center"/>
    </xf>
    <xf numFmtId="1" fontId="0" fillId="7" borderId="1" xfId="0" applyNumberFormat="1" applyFill="1" applyBorder="1" applyAlignment="1">
      <alignment horizontal="center" vertic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0" xfId="0" applyNumberForma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4" borderId="10" xfId="0" applyFill="1" applyBorder="1" applyAlignment="1">
      <alignment horizontal="center" vertical="center" shrinkToFit="1"/>
    </xf>
    <xf numFmtId="0" fontId="0" fillId="4" borderId="1" xfId="0" applyFill="1" applyBorder="1" applyAlignment="1">
      <alignment horizontal="center" vertical="center" shrinkToFit="1"/>
    </xf>
    <xf numFmtId="0" fontId="0" fillId="4" borderId="11" xfId="0" applyFill="1" applyBorder="1" applyAlignment="1">
      <alignment horizontal="center" vertical="center" shrinkToFit="1"/>
    </xf>
    <xf numFmtId="0" fontId="0" fillId="5" borderId="12" xfId="0" applyFill="1" applyBorder="1" applyAlignment="1">
      <alignment horizontal="center" vertical="center" shrinkToFit="1"/>
    </xf>
    <xf numFmtId="0" fontId="0" fillId="5" borderId="13" xfId="0" applyFill="1" applyBorder="1" applyAlignment="1">
      <alignment horizontal="center" vertical="center" shrinkToFit="1"/>
    </xf>
    <xf numFmtId="0" fontId="0" fillId="5" borderId="14" xfId="0" applyFill="1" applyBorder="1" applyAlignment="1">
      <alignment horizontal="center" vertical="center" shrinkToFit="1"/>
    </xf>
    <xf numFmtId="0" fontId="0" fillId="0" borderId="26" xfId="0" applyBorder="1" applyAlignment="1">
      <alignment horizontal="center" shrinkToFit="1"/>
    </xf>
    <xf numFmtId="0" fontId="0" fillId="0" borderId="0" xfId="0" applyBorder="1" applyAlignment="1">
      <alignment horizontal="center" shrinkToFit="1"/>
    </xf>
    <xf numFmtId="22" fontId="0" fillId="6" borderId="1" xfId="0" applyNumberFormat="1" applyFill="1" applyBorder="1" applyAlignment="1">
      <alignment horizontal="center" vertical="center" shrinkToFit="1"/>
    </xf>
  </cellXfs>
  <cellStyles count="3">
    <cellStyle name="Hyperlink" xfId="1" builtinId="8"/>
    <cellStyle name="Normal" xfId="0" builtinId="0"/>
    <cellStyle name="Normal 2" xfId="2"/>
  </cellStyles>
  <dxfs count="2">
    <dxf>
      <fill>
        <patternFill patternType="mediumGray">
          <fgColor theme="0" tint="-0.34998626667073579"/>
        </patternFill>
      </fill>
    </dxf>
    <dxf>
      <fill>
        <patternFill patternType="solid">
          <fgColor theme="0" tint="-0.34998626667073579"/>
          <bgColor theme="0" tint="-0.24994659260841701"/>
        </patternFill>
      </fill>
    </dxf>
  </dxfs>
  <tableStyles count="1" defaultTableStyle="TableStyleMedium2" defaultPivotStyle="PivotStyleLight16">
    <tableStyle name="MySqlDefault" pivot="0" table="0" count="0"/>
  </tableStyles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7</xdr:row>
          <xdr:rowOff>47625</xdr:rowOff>
        </xdr:from>
        <xdr:to>
          <xdr:col>2</xdr:col>
          <xdr:colOff>171450</xdr:colOff>
          <xdr:row>25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27</xdr:row>
          <xdr:rowOff>142875</xdr:rowOff>
        </xdr:from>
        <xdr:to>
          <xdr:col>54</xdr:col>
          <xdr:colOff>19050</xdr:colOff>
          <xdr:row>34</xdr:row>
          <xdr:rowOff>0</xdr:rowOff>
        </xdr:to>
        <xdr:sp macro="" textlink="">
          <xdr:nvSpPr>
            <xdr:cNvPr id="1554" name="Button 530" hidden="1">
              <a:extLst>
                <a:ext uri="{63B3BB69-23CF-44E3-9099-C40C66FF867C}">
                  <a14:compatExt spid="_x0000_s1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If you got a "Compile error: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User-defined type not defined", click here.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27</xdr:row>
          <xdr:rowOff>142875</xdr:rowOff>
        </xdr:from>
        <xdr:to>
          <xdr:col>2</xdr:col>
          <xdr:colOff>209550</xdr:colOff>
          <xdr:row>33</xdr:row>
          <xdr:rowOff>180975</xdr:rowOff>
        </xdr:to>
        <xdr:sp macro="" textlink="">
          <xdr:nvSpPr>
            <xdr:cNvPr id="1594" name="Button 570" hidden="1">
              <a:extLst>
                <a:ext uri="{63B3BB69-23CF-44E3-9099-C40C66FF867C}">
                  <a14:compatExt spid="_x0000_s1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ADDS XML in IE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(nerd stuff for troubleshooting)</a:t>
              </a:r>
            </a:p>
          </xdr:txBody>
        </xdr:sp>
        <xdr:clientData fPrintsWithSheet="0"/>
      </xdr:twoCellAnchor>
    </mc:Choice>
    <mc:Fallback/>
  </mc:AlternateContent>
  <xdr:twoCellAnchor>
    <xdr:from>
      <xdr:col>54</xdr:col>
      <xdr:colOff>32844</xdr:colOff>
      <xdr:row>5</xdr:row>
      <xdr:rowOff>137948</xdr:rowOff>
    </xdr:from>
    <xdr:to>
      <xdr:col>55</xdr:col>
      <xdr:colOff>394137</xdr:colOff>
      <xdr:row>25</xdr:row>
      <xdr:rowOff>137948</xdr:rowOff>
    </xdr:to>
    <xdr:sp macro="" textlink="">
      <xdr:nvSpPr>
        <xdr:cNvPr id="3" name="Right Brace 2"/>
        <xdr:cNvSpPr/>
      </xdr:nvSpPr>
      <xdr:spPr>
        <a:xfrm>
          <a:off x="7068206" y="893379"/>
          <a:ext cx="472965" cy="3021724"/>
        </a:xfrm>
        <a:prstGeom prst="rightBrace">
          <a:avLst>
            <a:gd name="adj1" fmla="val 8333"/>
            <a:gd name="adj2" fmla="val 53478"/>
          </a:avLst>
        </a:prstGeom>
        <a:ln w="1905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105104</xdr:colOff>
      <xdr:row>4</xdr:row>
      <xdr:rowOff>91965</xdr:rowOff>
    </xdr:from>
    <xdr:to>
      <xdr:col>55</xdr:col>
      <xdr:colOff>433552</xdr:colOff>
      <xdr:row>6</xdr:row>
      <xdr:rowOff>45983</xdr:rowOff>
    </xdr:to>
    <xdr:cxnSp macro="">
      <xdr:nvCxnSpPr>
        <xdr:cNvPr id="5" name="Straight Arrow Connector 4"/>
        <xdr:cNvCxnSpPr/>
      </xdr:nvCxnSpPr>
      <xdr:spPr>
        <a:xfrm>
          <a:off x="7140466" y="696310"/>
          <a:ext cx="440120" cy="256190"/>
        </a:xfrm>
        <a:prstGeom prst="straightConnector1">
          <a:avLst/>
        </a:prstGeom>
        <a:ln w="19050">
          <a:solidFill>
            <a:schemeClr val="bg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ore%20Master/Code/VBA/Archive/Fore%20Turn%20Scheme%20Build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urn Scheme"/>
      <sheetName val="Scheduling Board"/>
      <sheetName val="Old Monthly Turn Scheme"/>
      <sheetName val="SUN"/>
      <sheetName val="DropDownData"/>
    </sheetNames>
    <sheetDataSet>
      <sheetData sheetId="0">
        <row r="2">
          <cell r="C2">
            <v>42149</v>
          </cell>
          <cell r="E2">
            <v>42150</v>
          </cell>
          <cell r="G2">
            <v>42151</v>
          </cell>
          <cell r="I2">
            <v>42152</v>
          </cell>
          <cell r="K2">
            <v>42153</v>
          </cell>
        </row>
      </sheetData>
      <sheetData sheetId="1" refreshError="1"/>
      <sheetData sheetId="2" refreshError="1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3" Type="http://schemas.openxmlformats.org/officeDocument/2006/relationships/hyperlink" Target="http://www.e-publishing.af.mil/?txtSearchWord=11-238&amp;btnG.x=0&amp;btnG.y=0&amp;client=AFPW_EPubs&amp;proxystylesheet=AFPW_EPubs&amp;ie=UTF-8&amp;oe=UTF-8&amp;output=xml_no_dtd&amp;site=AFPW_EPubs" TargetMode="External"/><Relationship Id="rId7" Type="http://schemas.openxmlformats.org/officeDocument/2006/relationships/hyperlink" Target="https://www.daip.jcs.mil/daip/mobile/index" TargetMode="External"/><Relationship Id="rId12" Type="http://schemas.openxmlformats.org/officeDocument/2006/relationships/ctrlProp" Target="../ctrlProps/ctrlProp2.xml"/><Relationship Id="rId2" Type="http://schemas.openxmlformats.org/officeDocument/2006/relationships/hyperlink" Target="http://www.e-publishing.af.mil/?txtSearchWord=11-202V3&amp;btnG.x=0&amp;btnG.y=0&amp;client=AFPW_EPubs&amp;proxystylesheet=AFPW_EPubs&amp;ie=UTF-8&amp;oe=UTF-8&amp;output=xml_no_dtd&amp;site=AFPW_EPubs" TargetMode="External"/><Relationship Id="rId1" Type="http://schemas.openxmlformats.org/officeDocument/2006/relationships/hyperlink" Target="https://www.aviationweather.gov/taf/data?ids=KVAD%20KVLD%20KNIP%20KJAX%20KWRB%20KSAV%20KPAM%20KSVN%20KLSF%20KABY%20KTLH%20KGNV%20KDAB%20%20%20%20%20%20%20%20&amp;format=raw&amp;metars=on&amp;layout=on" TargetMode="External"/><Relationship Id="rId6" Type="http://schemas.openxmlformats.org/officeDocument/2006/relationships/hyperlink" Target="https://www.daip.jcs.mil/daip/mobile/index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s://www.notams.faa.gov/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https://notams.aim.faa.gov/notamSearch/" TargetMode="External"/><Relationship Id="rId9" Type="http://schemas.openxmlformats.org/officeDocument/2006/relationships/drawing" Target="../drawings/drawing1.xml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BQ36"/>
  <sheetViews>
    <sheetView showGridLines="0" tabSelected="1" zoomScale="145" zoomScaleNormal="145" workbookViewId="0"/>
  </sheetViews>
  <sheetFormatPr defaultColWidth="2.28515625" defaultRowHeight="15" x14ac:dyDescent="0.25"/>
  <cols>
    <col min="1" max="1" width="2.28515625" style="1"/>
    <col min="2" max="2" width="10.85546875" style="1" customWidth="1"/>
    <col min="3" max="3" width="4.7109375" style="1" customWidth="1"/>
    <col min="4" max="4" width="1.7109375" style="1" customWidth="1"/>
    <col min="5" max="5" width="6.140625" style="1" customWidth="1"/>
    <col min="6" max="6" width="1.7109375" style="1" customWidth="1"/>
    <col min="7" max="30" width="3.42578125" style="1" customWidth="1"/>
    <col min="31" max="54" width="1.7109375" style="1" hidden="1" customWidth="1"/>
    <col min="55" max="55" width="1.7109375" style="1" customWidth="1"/>
    <col min="56" max="56" width="7" style="1" customWidth="1"/>
    <col min="57" max="872" width="2.28515625" style="1" customWidth="1"/>
    <col min="873" max="16384" width="2.28515625" style="1"/>
  </cols>
  <sheetData>
    <row r="1" spans="2:69" ht="12" customHeight="1" x14ac:dyDescent="0.25"/>
    <row r="2" spans="2:69" ht="12" customHeight="1" x14ac:dyDescent="0.25">
      <c r="G2" s="116">
        <v>0</v>
      </c>
      <c r="H2" s="116"/>
      <c r="I2" s="116">
        <v>1</v>
      </c>
      <c r="J2" s="116"/>
      <c r="K2" s="116">
        <v>2</v>
      </c>
      <c r="L2" s="116"/>
      <c r="M2" s="116">
        <v>3</v>
      </c>
      <c r="N2" s="116"/>
      <c r="O2" s="116">
        <v>4</v>
      </c>
      <c r="P2" s="116"/>
      <c r="Q2" s="116">
        <v>5</v>
      </c>
      <c r="R2" s="116"/>
      <c r="S2" s="116">
        <v>6</v>
      </c>
      <c r="T2" s="116"/>
      <c r="U2" s="116">
        <v>7</v>
      </c>
      <c r="V2" s="116"/>
      <c r="W2" s="116">
        <v>8</v>
      </c>
      <c r="X2" s="116"/>
      <c r="Y2" s="116">
        <v>9</v>
      </c>
      <c r="Z2" s="116"/>
      <c r="AA2" s="116">
        <v>10</v>
      </c>
      <c r="AB2" s="116"/>
      <c r="AC2" s="116">
        <v>11</v>
      </c>
      <c r="AD2" s="116"/>
      <c r="AE2" s="116">
        <v>12</v>
      </c>
      <c r="AF2" s="116"/>
      <c r="AG2" s="116">
        <v>13</v>
      </c>
      <c r="AH2" s="116"/>
      <c r="AI2" s="116">
        <v>14</v>
      </c>
      <c r="AJ2" s="116"/>
      <c r="AK2" s="116">
        <v>15</v>
      </c>
      <c r="AL2" s="116"/>
      <c r="AM2" s="116">
        <v>16</v>
      </c>
      <c r="AN2" s="116"/>
      <c r="AO2" s="116">
        <v>17</v>
      </c>
      <c r="AP2" s="116"/>
      <c r="AQ2" s="116">
        <v>18</v>
      </c>
      <c r="AR2" s="116"/>
      <c r="AS2" s="116">
        <v>19</v>
      </c>
      <c r="AT2" s="116"/>
      <c r="AU2" s="116">
        <v>20</v>
      </c>
      <c r="AV2" s="116"/>
      <c r="AW2" s="116">
        <v>21</v>
      </c>
      <c r="AX2" s="116"/>
      <c r="AY2" s="116">
        <v>22</v>
      </c>
      <c r="AZ2" s="116"/>
      <c r="BA2" s="116">
        <v>23</v>
      </c>
      <c r="BB2" s="116"/>
      <c r="BC2" s="116"/>
      <c r="BD2" s="116"/>
    </row>
    <row r="3" spans="2:69" ht="12" customHeight="1" x14ac:dyDescent="0.25">
      <c r="C3" s="2"/>
      <c r="D3" s="2"/>
      <c r="G3" s="81" t="str">
        <f ca="1">HOUR(NOW())&amp;"L"</f>
        <v>20L</v>
      </c>
      <c r="H3" s="81"/>
      <c r="I3" s="81" t="str">
        <f ca="1">MOD(HOUR(NOW())+I2,24)&amp;"L"</f>
        <v>21L</v>
      </c>
      <c r="J3" s="81"/>
      <c r="K3" s="81" t="str">
        <f ca="1">MOD(HOUR(NOW())+K2,24)&amp;"L"</f>
        <v>22L</v>
      </c>
      <c r="L3" s="81"/>
      <c r="M3" s="81" t="str">
        <f ca="1">MOD(HOUR(NOW())+M2,24)&amp;"L"</f>
        <v>23L</v>
      </c>
      <c r="N3" s="81"/>
      <c r="O3" s="81" t="str">
        <f ca="1">MOD(HOUR(NOW())+O2,24)&amp;"L"</f>
        <v>0L</v>
      </c>
      <c r="P3" s="81"/>
      <c r="Q3" s="81" t="str">
        <f ca="1">MOD(HOUR(NOW())+Q2,24)&amp;"L"</f>
        <v>1L</v>
      </c>
      <c r="R3" s="81"/>
      <c r="S3" s="81" t="str">
        <f ca="1">MOD(HOUR(NOW())+S2,24)&amp;"L"</f>
        <v>2L</v>
      </c>
      <c r="T3" s="81"/>
      <c r="U3" s="81" t="str">
        <f ca="1">MOD(HOUR(NOW())+U2,24)&amp;"L"</f>
        <v>3L</v>
      </c>
      <c r="V3" s="81"/>
      <c r="W3" s="81" t="str">
        <f ca="1">MOD(HOUR(NOW())+W2,24)&amp;"L"</f>
        <v>4L</v>
      </c>
      <c r="X3" s="81"/>
      <c r="Y3" s="81" t="str">
        <f ca="1">MOD(HOUR(NOW())+Y2,24)&amp;"L"</f>
        <v>5L</v>
      </c>
      <c r="Z3" s="81"/>
      <c r="AA3" s="81" t="str">
        <f ca="1">MOD(HOUR(NOW())+AA2,24)&amp;"L"</f>
        <v>6L</v>
      </c>
      <c r="AB3" s="81"/>
      <c r="AC3" s="81" t="str">
        <f ca="1">MOD(HOUR(NOW())+AC2,24)&amp;"L"</f>
        <v>7L</v>
      </c>
      <c r="AD3" s="81"/>
      <c r="AE3" s="81" t="str">
        <f ca="1">MOD(HOUR(NOW())+AE2,24)&amp;"L"</f>
        <v>8L</v>
      </c>
      <c r="AF3" s="81"/>
      <c r="AG3" s="81" t="str">
        <f ca="1">MOD(HOUR(NOW())+AG2,24)&amp;"L"</f>
        <v>9L</v>
      </c>
      <c r="AH3" s="81"/>
      <c r="AI3" s="81" t="str">
        <f ca="1">MOD(HOUR(NOW())+AI2,24)&amp;"L"</f>
        <v>10L</v>
      </c>
      <c r="AJ3" s="81"/>
      <c r="AK3" s="81" t="str">
        <f ca="1">MOD(HOUR(NOW())+AK2,24)&amp;"L"</f>
        <v>11L</v>
      </c>
      <c r="AL3" s="81"/>
      <c r="AM3" s="81" t="str">
        <f ca="1">MOD(HOUR(NOW())+AM2,24)&amp;"L"</f>
        <v>12L</v>
      </c>
      <c r="AN3" s="81"/>
      <c r="AO3" s="81" t="str">
        <f ca="1">MOD(HOUR(NOW())+AO2,24)&amp;"L"</f>
        <v>13L</v>
      </c>
      <c r="AP3" s="81"/>
      <c r="AQ3" s="81" t="str">
        <f ca="1">MOD(HOUR(NOW())+AQ2,24)&amp;"L"</f>
        <v>14L</v>
      </c>
      <c r="AR3" s="81"/>
      <c r="AS3" s="81" t="str">
        <f ca="1">MOD(HOUR(NOW())+AS2,24)&amp;"L"</f>
        <v>15L</v>
      </c>
      <c r="AT3" s="81"/>
      <c r="AU3" s="81" t="str">
        <f ca="1">MOD(HOUR(NOW())+AU2,24)&amp;"L"</f>
        <v>16L</v>
      </c>
      <c r="AV3" s="81"/>
      <c r="AW3" s="81" t="str">
        <f ca="1">MOD(HOUR(NOW())+AW2,24)&amp;"L"</f>
        <v>17L</v>
      </c>
      <c r="AX3" s="81"/>
      <c r="AY3" s="81" t="str">
        <f ca="1">MOD(HOUR(NOW())+AY2,24)&amp;"L"</f>
        <v>18L</v>
      </c>
      <c r="AZ3" s="81"/>
      <c r="BA3" s="81" t="str">
        <f ca="1">MOD(HOUR(NOW())+BA2,24)&amp;"L"</f>
        <v>19L</v>
      </c>
      <c r="BB3" s="81"/>
      <c r="BC3" s="116"/>
      <c r="BD3" s="116"/>
      <c r="BE3" s="90" t="s">
        <v>10</v>
      </c>
      <c r="BF3" s="90"/>
      <c r="BG3" s="90"/>
      <c r="BH3" s="90"/>
      <c r="BI3" s="90"/>
      <c r="BJ3" s="90"/>
      <c r="BK3" s="90"/>
      <c r="BL3" s="90"/>
      <c r="BM3" s="90"/>
      <c r="BN3" s="90"/>
      <c r="BO3" s="90"/>
      <c r="BP3" s="90"/>
      <c r="BQ3" s="90"/>
    </row>
    <row r="4" spans="2:69" ht="12" customHeight="1" x14ac:dyDescent="0.25">
      <c r="B4" s="3" t="s">
        <v>147</v>
      </c>
      <c r="C4" s="4">
        <v>-5</v>
      </c>
      <c r="D4" s="30"/>
      <c r="E4" s="5"/>
      <c r="G4" s="114" t="str">
        <f ca="1">MOD(HOUR(NOW())-$C$4+G2,24)&amp;"Z"</f>
        <v>1Z</v>
      </c>
      <c r="H4" s="115"/>
      <c r="I4" s="114" t="str">
        <f ca="1">MOD(HOUR(NOW())-$C$4+I2,24)&amp;"Z"</f>
        <v>2Z</v>
      </c>
      <c r="J4" s="115"/>
      <c r="K4" s="114" t="str">
        <f t="shared" ref="K4" ca="1" si="0">MOD(HOUR(NOW())-$C$4+K2,24)&amp;"Z"</f>
        <v>3Z</v>
      </c>
      <c r="L4" s="115"/>
      <c r="M4" s="114" t="str">
        <f t="shared" ref="M4" ca="1" si="1">MOD(HOUR(NOW())-$C$4+M2,24)&amp;"Z"</f>
        <v>4Z</v>
      </c>
      <c r="N4" s="115"/>
      <c r="O4" s="114" t="str">
        <f t="shared" ref="O4" ca="1" si="2">MOD(HOUR(NOW())-$C$4+O2,24)&amp;"Z"</f>
        <v>5Z</v>
      </c>
      <c r="P4" s="115"/>
      <c r="Q4" s="114" t="str">
        <f t="shared" ref="Q4" ca="1" si="3">MOD(HOUR(NOW())-$C$4+Q2,24)&amp;"Z"</f>
        <v>6Z</v>
      </c>
      <c r="R4" s="115"/>
      <c r="S4" s="114" t="str">
        <f t="shared" ref="S4" ca="1" si="4">MOD(HOUR(NOW())-$C$4+S2,24)&amp;"Z"</f>
        <v>7Z</v>
      </c>
      <c r="T4" s="115"/>
      <c r="U4" s="114" t="str">
        <f t="shared" ref="U4" ca="1" si="5">MOD(HOUR(NOW())-$C$4+U2,24)&amp;"Z"</f>
        <v>8Z</v>
      </c>
      <c r="V4" s="115"/>
      <c r="W4" s="114" t="str">
        <f t="shared" ref="W4" ca="1" si="6">MOD(HOUR(NOW())-$C$4+W2,24)&amp;"Z"</f>
        <v>9Z</v>
      </c>
      <c r="X4" s="115"/>
      <c r="Y4" s="114" t="str">
        <f t="shared" ref="Y4" ca="1" si="7">MOD(HOUR(NOW())-$C$4+Y2,24)&amp;"Z"</f>
        <v>10Z</v>
      </c>
      <c r="Z4" s="115"/>
      <c r="AA4" s="114" t="str">
        <f t="shared" ref="AA4" ca="1" si="8">MOD(HOUR(NOW())-$C$4+AA2,24)&amp;"Z"</f>
        <v>11Z</v>
      </c>
      <c r="AB4" s="115"/>
      <c r="AC4" s="114" t="str">
        <f t="shared" ref="AC4" ca="1" si="9">MOD(HOUR(NOW())-$C$4+AC2,24)&amp;"Z"</f>
        <v>12Z</v>
      </c>
      <c r="AD4" s="115"/>
      <c r="AE4" s="114" t="str">
        <f t="shared" ref="AE4" ca="1" si="10">MOD(HOUR(NOW())-$C$4+AE2,24)&amp;"Z"</f>
        <v>13Z</v>
      </c>
      <c r="AF4" s="115"/>
      <c r="AG4" s="114" t="str">
        <f t="shared" ref="AG4" ca="1" si="11">MOD(HOUR(NOW())-$C$4+AG2,24)&amp;"Z"</f>
        <v>14Z</v>
      </c>
      <c r="AH4" s="115"/>
      <c r="AI4" s="114" t="str">
        <f t="shared" ref="AI4" ca="1" si="12">MOD(HOUR(NOW())-$C$4+AI2,24)&amp;"Z"</f>
        <v>15Z</v>
      </c>
      <c r="AJ4" s="115"/>
      <c r="AK4" s="114" t="str">
        <f t="shared" ref="AK4" ca="1" si="13">MOD(HOUR(NOW())-$C$4+AK2,24)&amp;"Z"</f>
        <v>16Z</v>
      </c>
      <c r="AL4" s="115"/>
      <c r="AM4" s="114" t="str">
        <f t="shared" ref="AM4" ca="1" si="14">MOD(HOUR(NOW())-$C$4+AM2,24)&amp;"Z"</f>
        <v>17Z</v>
      </c>
      <c r="AN4" s="115"/>
      <c r="AO4" s="114" t="str">
        <f t="shared" ref="AO4" ca="1" si="15">MOD(HOUR(NOW())-$C$4+AO2,24)&amp;"Z"</f>
        <v>18Z</v>
      </c>
      <c r="AP4" s="115"/>
      <c r="AQ4" s="114" t="str">
        <f t="shared" ref="AQ4" ca="1" si="16">MOD(HOUR(NOW())-$C$4+AQ2,24)&amp;"Z"</f>
        <v>19Z</v>
      </c>
      <c r="AR4" s="115"/>
      <c r="AS4" s="114" t="str">
        <f t="shared" ref="AS4" ca="1" si="17">MOD(HOUR(NOW())-$C$4+AS2,24)&amp;"Z"</f>
        <v>20Z</v>
      </c>
      <c r="AT4" s="115"/>
      <c r="AU4" s="114" t="str">
        <f t="shared" ref="AU4" ca="1" si="18">MOD(HOUR(NOW())-$C$4+AU2,24)&amp;"Z"</f>
        <v>21Z</v>
      </c>
      <c r="AV4" s="115"/>
      <c r="AW4" s="114" t="str">
        <f t="shared" ref="AW4" ca="1" si="19">MOD(HOUR(NOW())-$C$4+AW2,24)&amp;"Z"</f>
        <v>22Z</v>
      </c>
      <c r="AX4" s="115"/>
      <c r="AY4" s="114" t="str">
        <f t="shared" ref="AY4" ca="1" si="20">MOD(HOUR(NOW())-$C$4+AY2,24)&amp;"Z"</f>
        <v>23Z</v>
      </c>
      <c r="AZ4" s="115"/>
      <c r="BA4" s="114" t="str">
        <f t="shared" ref="BA4" ca="1" si="21">MOD(HOUR(NOW())-$C$4+BA2,24)&amp;"Z"</f>
        <v>0Z</v>
      </c>
      <c r="BB4" s="115"/>
      <c r="BC4" s="117"/>
      <c r="BD4" s="118"/>
      <c r="BE4" s="136" t="s">
        <v>171</v>
      </c>
      <c r="BF4" s="91"/>
      <c r="BG4" s="91"/>
      <c r="BH4" s="91"/>
      <c r="BI4" s="91"/>
      <c r="BJ4" s="91"/>
      <c r="BK4" s="91"/>
      <c r="BL4" s="91"/>
      <c r="BM4" s="91"/>
      <c r="BN4" s="91"/>
      <c r="BO4" s="91"/>
      <c r="BP4" s="91"/>
      <c r="BQ4" s="91"/>
    </row>
    <row r="5" spans="2:69" ht="12" customHeight="1" thickBot="1" x14ac:dyDescent="0.3">
      <c r="B5" s="3" t="s">
        <v>148</v>
      </c>
      <c r="C5" s="3">
        <f ca="1">IF(MOD(HOUR(NOW())-$C$4,24)&lt;HOUR(NOW()),DAY(TODAY()+1),DAY(TODAY()))</f>
        <v>4</v>
      </c>
      <c r="D5" s="30"/>
      <c r="E5" s="27" t="s">
        <v>21</v>
      </c>
      <c r="F5" s="68"/>
      <c r="G5" s="88">
        <f t="shared" ref="G5:G25" ca="1" si="22">G$27</f>
        <v>42739.041666666664</v>
      </c>
      <c r="H5" s="109"/>
      <c r="I5" s="110">
        <f t="shared" ref="I5:I26" ca="1" si="23">I$27</f>
        <v>42739.083333333328</v>
      </c>
      <c r="J5" s="87"/>
      <c r="K5" s="87">
        <f t="shared" ref="K5:K25" ca="1" si="24">K$27</f>
        <v>42739.124999999993</v>
      </c>
      <c r="L5" s="87"/>
      <c r="M5" s="87">
        <f t="shared" ref="M5:M25" ca="1" si="25">M$27</f>
        <v>42739.166666666657</v>
      </c>
      <c r="N5" s="87"/>
      <c r="O5" s="87">
        <f t="shared" ref="O5:O25" ca="1" si="26">O$27</f>
        <v>42739.208333333321</v>
      </c>
      <c r="P5" s="87"/>
      <c r="Q5" s="87">
        <f t="shared" ref="Q5:Q25" ca="1" si="27">Q$27</f>
        <v>42739.249999999985</v>
      </c>
      <c r="R5" s="87"/>
      <c r="S5" s="87">
        <f t="shared" ref="S5:S25" ca="1" si="28">S$27</f>
        <v>42739.29166666665</v>
      </c>
      <c r="T5" s="87"/>
      <c r="U5" s="87">
        <f t="shared" ref="U5:U25" ca="1" si="29">U$27</f>
        <v>42739.333333333314</v>
      </c>
      <c r="V5" s="87"/>
      <c r="W5" s="87">
        <f t="shared" ref="W5:W25" ca="1" si="30">W$27</f>
        <v>42739.374999999978</v>
      </c>
      <c r="X5" s="87"/>
      <c r="Y5" s="87">
        <f t="shared" ref="Y5:Y25" ca="1" si="31">Y$27</f>
        <v>42739.416666666642</v>
      </c>
      <c r="Z5" s="87"/>
      <c r="AA5" s="87">
        <f t="shared" ref="AA5:AA25" ca="1" si="32">AA$27</f>
        <v>42739.458333333307</v>
      </c>
      <c r="AB5" s="87"/>
      <c r="AC5" s="87">
        <f t="shared" ref="AC5:AC25" ca="1" si="33">AC$27</f>
        <v>42739.499999999971</v>
      </c>
      <c r="AD5" s="87"/>
      <c r="AE5" s="87">
        <f t="shared" ref="AE5:AE25" ca="1" si="34">AE$27</f>
        <v>42739.541666666635</v>
      </c>
      <c r="AF5" s="87"/>
      <c r="AG5" s="87">
        <f t="shared" ref="AG5:AG25" ca="1" si="35">AG$27</f>
        <v>42739.583333333299</v>
      </c>
      <c r="AH5" s="87"/>
      <c r="AI5" s="87">
        <f t="shared" ref="AI5:AI25" ca="1" si="36">AI$27</f>
        <v>42739.624999999964</v>
      </c>
      <c r="AJ5" s="87"/>
      <c r="AK5" s="87">
        <f t="shared" ref="AK5:AK25" ca="1" si="37">AK$27</f>
        <v>42739.666666666628</v>
      </c>
      <c r="AL5" s="87"/>
      <c r="AM5" s="87">
        <f t="shared" ref="AM5:AM25" ca="1" si="38">AM$27</f>
        <v>42739.708333333292</v>
      </c>
      <c r="AN5" s="87"/>
      <c r="AO5" s="87">
        <f t="shared" ref="AO5:AO25" ca="1" si="39">AO$27</f>
        <v>42739.749999999956</v>
      </c>
      <c r="AP5" s="87"/>
      <c r="AQ5" s="87">
        <f t="shared" ref="AQ5:AQ25" ca="1" si="40">AQ$27</f>
        <v>42739.791666666621</v>
      </c>
      <c r="AR5" s="87"/>
      <c r="AS5" s="87">
        <f t="shared" ref="AS5:AS25" ca="1" si="41">AS$27</f>
        <v>42739.833333333285</v>
      </c>
      <c r="AT5" s="87"/>
      <c r="AU5" s="87">
        <f t="shared" ref="AU5:AU25" ca="1" si="42">AU$27</f>
        <v>42739.874999999949</v>
      </c>
      <c r="AV5" s="87"/>
      <c r="AW5" s="87">
        <f t="shared" ref="AW5:AW25" ca="1" si="43">AW$27</f>
        <v>42739.916666666613</v>
      </c>
      <c r="AX5" s="87"/>
      <c r="AY5" s="87">
        <f t="shared" ref="AY5:AY25" ca="1" si="44">AY$27</f>
        <v>42739.958333333278</v>
      </c>
      <c r="AZ5" s="87"/>
      <c r="BA5" s="88">
        <f t="shared" ref="BA5:BA25" ca="1" si="45">BA$27</f>
        <v>42739.999999999942</v>
      </c>
      <c r="BB5" s="87"/>
      <c r="BC5" s="5"/>
      <c r="BE5" s="92">
        <v>42738.873599537037</v>
      </c>
      <c r="BF5" s="93"/>
      <c r="BG5" s="93"/>
      <c r="BH5" s="93"/>
      <c r="BI5" s="93"/>
      <c r="BJ5" s="93"/>
      <c r="BK5" s="93"/>
      <c r="BL5" s="93"/>
      <c r="BM5" s="93"/>
      <c r="BN5" s="93"/>
      <c r="BO5" s="93"/>
      <c r="BP5" s="93"/>
      <c r="BQ5" s="94"/>
    </row>
    <row r="6" spans="2:69" ht="12" customHeight="1" thickBot="1" x14ac:dyDescent="0.3">
      <c r="B6" s="28" t="str">
        <f>homeStationID&amp;" sunrise:"</f>
        <v>KVAD sunrise:</v>
      </c>
      <c r="C6" s="28" t="str">
        <f ca="1">SunriseString</f>
        <v>0731L</v>
      </c>
      <c r="D6" s="29"/>
      <c r="E6" s="6"/>
      <c r="F6" s="30"/>
      <c r="G6" s="113">
        <f t="shared" ca="1" si="22"/>
        <v>42739.041666666664</v>
      </c>
      <c r="H6" s="120"/>
      <c r="I6" s="108">
        <f t="shared" ca="1" si="23"/>
        <v>42739.083333333328</v>
      </c>
      <c r="J6" s="113"/>
      <c r="K6" s="113">
        <f t="shared" ca="1" si="24"/>
        <v>42739.124999999993</v>
      </c>
      <c r="L6" s="113"/>
      <c r="M6" s="113">
        <f t="shared" ca="1" si="25"/>
        <v>42739.166666666657</v>
      </c>
      <c r="N6" s="113"/>
      <c r="O6" s="113">
        <f t="shared" ca="1" si="26"/>
        <v>42739.208333333321</v>
      </c>
      <c r="P6" s="113"/>
      <c r="Q6" s="113">
        <f t="shared" ca="1" si="27"/>
        <v>42739.249999999985</v>
      </c>
      <c r="R6" s="113"/>
      <c r="S6" s="113">
        <f t="shared" ca="1" si="28"/>
        <v>42739.29166666665</v>
      </c>
      <c r="T6" s="113"/>
      <c r="U6" s="113">
        <f t="shared" ca="1" si="29"/>
        <v>42739.333333333314</v>
      </c>
      <c r="V6" s="113"/>
      <c r="W6" s="113">
        <f t="shared" ca="1" si="30"/>
        <v>42739.374999999978</v>
      </c>
      <c r="X6" s="113"/>
      <c r="Y6" s="113">
        <f t="shared" ca="1" si="31"/>
        <v>42739.416666666642</v>
      </c>
      <c r="Z6" s="113"/>
      <c r="AA6" s="113">
        <f t="shared" ca="1" si="32"/>
        <v>42739.458333333307</v>
      </c>
      <c r="AB6" s="113"/>
      <c r="AC6" s="113">
        <f t="shared" ca="1" si="33"/>
        <v>42739.499999999971</v>
      </c>
      <c r="AD6" s="113"/>
      <c r="AE6" s="113">
        <f t="shared" ca="1" si="34"/>
        <v>42739.541666666635</v>
      </c>
      <c r="AF6" s="113"/>
      <c r="AG6" s="113">
        <f t="shared" ca="1" si="35"/>
        <v>42739.583333333299</v>
      </c>
      <c r="AH6" s="113"/>
      <c r="AI6" s="113">
        <f t="shared" ca="1" si="36"/>
        <v>42739.624999999964</v>
      </c>
      <c r="AJ6" s="113"/>
      <c r="AK6" s="113">
        <f t="shared" ca="1" si="37"/>
        <v>42739.666666666628</v>
      </c>
      <c r="AL6" s="113"/>
      <c r="AM6" s="113">
        <f t="shared" ca="1" si="38"/>
        <v>42739.708333333292</v>
      </c>
      <c r="AN6" s="113"/>
      <c r="AO6" s="113">
        <f t="shared" ca="1" si="39"/>
        <v>42739.749999999956</v>
      </c>
      <c r="AP6" s="113"/>
      <c r="AQ6" s="113">
        <f t="shared" ca="1" si="40"/>
        <v>42739.791666666621</v>
      </c>
      <c r="AR6" s="113"/>
      <c r="AS6" s="113">
        <f t="shared" ca="1" si="41"/>
        <v>42739.833333333285</v>
      </c>
      <c r="AT6" s="113"/>
      <c r="AU6" s="113">
        <f t="shared" ca="1" si="42"/>
        <v>42739.874999999949</v>
      </c>
      <c r="AV6" s="113"/>
      <c r="AW6" s="113">
        <f t="shared" ca="1" si="43"/>
        <v>42739.916666666613</v>
      </c>
      <c r="AX6" s="113"/>
      <c r="AY6" s="113">
        <f t="shared" ca="1" si="44"/>
        <v>42739.958333333278</v>
      </c>
      <c r="AZ6" s="113"/>
      <c r="BA6" s="113">
        <f t="shared" ca="1" si="45"/>
        <v>42739.999999999942</v>
      </c>
      <c r="BB6" s="113"/>
      <c r="BC6" s="5"/>
      <c r="BE6" s="95"/>
      <c r="BF6" s="96"/>
      <c r="BG6" s="96"/>
      <c r="BH6" s="96"/>
      <c r="BI6" s="96"/>
      <c r="BJ6" s="96"/>
      <c r="BK6" s="96"/>
      <c r="BL6" s="96"/>
      <c r="BM6" s="96"/>
      <c r="BN6" s="96"/>
      <c r="BO6" s="96"/>
      <c r="BP6" s="96"/>
      <c r="BQ6" s="97"/>
    </row>
    <row r="7" spans="2:69" ht="12" customHeight="1" x14ac:dyDescent="0.25">
      <c r="B7" s="28" t="str">
        <f>homeStationID&amp;" sunset:"</f>
        <v>KVAD sunset:</v>
      </c>
      <c r="C7" s="28" t="str">
        <f ca="1">SunsetString</f>
        <v>1743L</v>
      </c>
      <c r="D7" s="67"/>
      <c r="E7" s="65" t="str">
        <f ca="1">IF(INDEX('Setup Data'!$A$3:$O$36,ROWS($E$7:E7),MATCH(homeStationID,homeStations,0))=0,"",INDEX('Setup Data'!$A$3:$O$36,ROWS($E$7:E7),MATCH(homeStationID,homeStations,0)))</f>
        <v>KVLD</v>
      </c>
      <c r="F7" s="68"/>
      <c r="G7" s="88">
        <f t="shared" ca="1" si="22"/>
        <v>42739.041666666664</v>
      </c>
      <c r="H7" s="109"/>
      <c r="I7" s="119">
        <f t="shared" ca="1" si="23"/>
        <v>42739.083333333328</v>
      </c>
      <c r="J7" s="87"/>
      <c r="K7" s="88">
        <f t="shared" ca="1" si="24"/>
        <v>42739.124999999993</v>
      </c>
      <c r="L7" s="87"/>
      <c r="M7" s="88">
        <f t="shared" ca="1" si="25"/>
        <v>42739.166666666657</v>
      </c>
      <c r="N7" s="87"/>
      <c r="O7" s="88">
        <f t="shared" ca="1" si="26"/>
        <v>42739.208333333321</v>
      </c>
      <c r="P7" s="87"/>
      <c r="Q7" s="88">
        <f t="shared" ca="1" si="27"/>
        <v>42739.249999999985</v>
      </c>
      <c r="R7" s="87"/>
      <c r="S7" s="88">
        <f t="shared" ca="1" si="28"/>
        <v>42739.29166666665</v>
      </c>
      <c r="T7" s="87"/>
      <c r="U7" s="88">
        <f t="shared" ca="1" si="29"/>
        <v>42739.333333333314</v>
      </c>
      <c r="V7" s="87"/>
      <c r="W7" s="88">
        <f t="shared" ca="1" si="30"/>
        <v>42739.374999999978</v>
      </c>
      <c r="X7" s="87"/>
      <c r="Y7" s="112">
        <f t="shared" ca="1" si="31"/>
        <v>42739.416666666642</v>
      </c>
      <c r="Z7" s="87"/>
      <c r="AA7" s="112">
        <f t="shared" ca="1" si="32"/>
        <v>42739.458333333307</v>
      </c>
      <c r="AB7" s="87"/>
      <c r="AC7" s="112">
        <f t="shared" ca="1" si="33"/>
        <v>42739.499999999971</v>
      </c>
      <c r="AD7" s="87"/>
      <c r="AE7" s="112">
        <f t="shared" ca="1" si="34"/>
        <v>42739.541666666635</v>
      </c>
      <c r="AF7" s="87"/>
      <c r="AG7" s="88">
        <f t="shared" ca="1" si="35"/>
        <v>42739.583333333299</v>
      </c>
      <c r="AH7" s="87"/>
      <c r="AI7" s="88">
        <f t="shared" ca="1" si="36"/>
        <v>42739.624999999964</v>
      </c>
      <c r="AJ7" s="87"/>
      <c r="AK7" s="88">
        <f t="shared" ca="1" si="37"/>
        <v>42739.666666666628</v>
      </c>
      <c r="AL7" s="87"/>
      <c r="AM7" s="88">
        <f t="shared" ca="1" si="38"/>
        <v>42739.708333333292</v>
      </c>
      <c r="AN7" s="87"/>
      <c r="AO7" s="88">
        <f t="shared" ca="1" si="39"/>
        <v>42739.749999999956</v>
      </c>
      <c r="AP7" s="87"/>
      <c r="AQ7" s="88">
        <f t="shared" ca="1" si="40"/>
        <v>42739.791666666621</v>
      </c>
      <c r="AR7" s="87"/>
      <c r="AS7" s="88">
        <f t="shared" ca="1" si="41"/>
        <v>42739.833333333285</v>
      </c>
      <c r="AT7" s="87"/>
      <c r="AU7" s="88">
        <f t="shared" ca="1" si="42"/>
        <v>42739.874999999949</v>
      </c>
      <c r="AV7" s="87"/>
      <c r="AW7" s="88">
        <f t="shared" ca="1" si="43"/>
        <v>42739.916666666613</v>
      </c>
      <c r="AX7" s="87"/>
      <c r="AY7" s="88">
        <f t="shared" ca="1" si="44"/>
        <v>42739.958333333278</v>
      </c>
      <c r="AZ7" s="87"/>
      <c r="BA7" s="88">
        <f t="shared" ca="1" si="45"/>
        <v>42739.999999999942</v>
      </c>
      <c r="BB7" s="87"/>
      <c r="BC7" s="5"/>
      <c r="BE7" s="98" t="str">
        <f>"Legend - Homestation (" &amp; homeStationID &amp; ")"</f>
        <v>Legend - Homestation (KVAD)</v>
      </c>
      <c r="BF7" s="99"/>
      <c r="BG7" s="99"/>
      <c r="BH7" s="99"/>
      <c r="BI7" s="99"/>
      <c r="BJ7" s="99"/>
      <c r="BK7" s="99"/>
      <c r="BL7" s="99"/>
      <c r="BM7" s="99"/>
      <c r="BN7" s="99"/>
      <c r="BO7" s="99"/>
      <c r="BP7" s="99"/>
      <c r="BQ7" s="100"/>
    </row>
    <row r="8" spans="2:69" ht="12" customHeight="1" x14ac:dyDescent="0.25">
      <c r="E8" s="65" t="str">
        <f ca="1">IF(INDEX('Setup Data'!$A$3:$O$36,ROWS($E$7:E8),MATCH(homeStationID,homeStations,0))=0,"",INDEX('Setup Data'!$A$3:$O$36,ROWS($E$7:E8),MATCH(homeStationID,homeStations,0)))</f>
        <v>KNIP</v>
      </c>
      <c r="F8" s="68"/>
      <c r="G8" s="88">
        <f t="shared" ca="1" si="22"/>
        <v>42739.041666666664</v>
      </c>
      <c r="H8" s="109"/>
      <c r="I8" s="119">
        <f t="shared" ca="1" si="23"/>
        <v>42739.083333333328</v>
      </c>
      <c r="J8" s="87"/>
      <c r="K8" s="88">
        <f t="shared" ca="1" si="24"/>
        <v>42739.124999999993</v>
      </c>
      <c r="L8" s="87"/>
      <c r="M8" s="88">
        <f t="shared" ca="1" si="25"/>
        <v>42739.166666666657</v>
      </c>
      <c r="N8" s="87"/>
      <c r="O8" s="88">
        <f t="shared" ca="1" si="26"/>
        <v>42739.208333333321</v>
      </c>
      <c r="P8" s="87"/>
      <c r="Q8" s="88">
        <f t="shared" ca="1" si="27"/>
        <v>42739.249999999985</v>
      </c>
      <c r="R8" s="87"/>
      <c r="S8" s="112">
        <f t="shared" ca="1" si="28"/>
        <v>42739.29166666665</v>
      </c>
      <c r="T8" s="87"/>
      <c r="U8" s="112">
        <f t="shared" ca="1" si="29"/>
        <v>42739.333333333314</v>
      </c>
      <c r="V8" s="87"/>
      <c r="W8" s="112">
        <f t="shared" ca="1" si="30"/>
        <v>42739.374999999978</v>
      </c>
      <c r="X8" s="87"/>
      <c r="Y8" s="112">
        <f t="shared" ca="1" si="31"/>
        <v>42739.416666666642</v>
      </c>
      <c r="Z8" s="87"/>
      <c r="AA8" s="112">
        <f t="shared" ca="1" si="32"/>
        <v>42739.458333333307</v>
      </c>
      <c r="AB8" s="87"/>
      <c r="AC8" s="112">
        <f t="shared" ca="1" si="33"/>
        <v>42739.499999999971</v>
      </c>
      <c r="AD8" s="87"/>
      <c r="AE8" s="112">
        <f t="shared" ca="1" si="34"/>
        <v>42739.541666666635</v>
      </c>
      <c r="AF8" s="87"/>
      <c r="AG8" s="112">
        <f t="shared" ca="1" si="35"/>
        <v>42739.583333333299</v>
      </c>
      <c r="AH8" s="87"/>
      <c r="AI8" s="88">
        <f t="shared" ca="1" si="36"/>
        <v>42739.624999999964</v>
      </c>
      <c r="AJ8" s="87"/>
      <c r="AK8" s="88">
        <f t="shared" ca="1" si="37"/>
        <v>42739.666666666628</v>
      </c>
      <c r="AL8" s="87"/>
      <c r="AM8" s="88">
        <f t="shared" ca="1" si="38"/>
        <v>42739.708333333292</v>
      </c>
      <c r="AN8" s="87"/>
      <c r="AO8" s="88">
        <f t="shared" ca="1" si="39"/>
        <v>42739.749999999956</v>
      </c>
      <c r="AP8" s="87"/>
      <c r="AQ8" s="88">
        <f t="shared" ca="1" si="40"/>
        <v>42739.791666666621</v>
      </c>
      <c r="AR8" s="87"/>
      <c r="AS8" s="88">
        <f t="shared" ca="1" si="41"/>
        <v>42739.833333333285</v>
      </c>
      <c r="AT8" s="87"/>
      <c r="AU8" s="88">
        <f t="shared" ca="1" si="42"/>
        <v>42739.874999999949</v>
      </c>
      <c r="AV8" s="87"/>
      <c r="AW8" s="88">
        <f t="shared" ca="1" si="43"/>
        <v>42739.916666666613</v>
      </c>
      <c r="AX8" s="87"/>
      <c r="AY8" s="87">
        <f t="shared" ca="1" si="44"/>
        <v>42739.958333333278</v>
      </c>
      <c r="AZ8" s="87"/>
      <c r="BA8" s="87">
        <f t="shared" ca="1" si="45"/>
        <v>42739.999999999942</v>
      </c>
      <c r="BB8" s="87"/>
      <c r="BC8" s="5"/>
      <c r="BE8" s="80" t="s">
        <v>0</v>
      </c>
      <c r="BF8" s="81"/>
      <c r="BG8" s="81"/>
      <c r="BH8" s="81"/>
      <c r="BI8" s="81"/>
      <c r="BJ8" s="81"/>
      <c r="BK8" s="81"/>
      <c r="BL8" s="81" t="s">
        <v>1</v>
      </c>
      <c r="BM8" s="81"/>
      <c r="BN8" s="81"/>
      <c r="BO8" s="81"/>
      <c r="BP8" s="81"/>
      <c r="BQ8" s="86"/>
    </row>
    <row r="9" spans="2:69" ht="12" customHeight="1" x14ac:dyDescent="0.25">
      <c r="E9" s="65" t="str">
        <f ca="1">IF(INDEX('Setup Data'!$A$3:$O$36,ROWS($E$7:E9),MATCH(homeStationID,homeStations,0))=0,"",INDEX('Setup Data'!$A$3:$O$36,ROWS($E$7:E9),MATCH(homeStationID,homeStations,0)))</f>
        <v>KJAX</v>
      </c>
      <c r="F9" s="68"/>
      <c r="G9" s="88">
        <f t="shared" ca="1" si="22"/>
        <v>42739.041666666664</v>
      </c>
      <c r="H9" s="109"/>
      <c r="I9" s="119">
        <f t="shared" ca="1" si="23"/>
        <v>42739.083333333328</v>
      </c>
      <c r="J9" s="87"/>
      <c r="K9" s="88">
        <f t="shared" ca="1" si="24"/>
        <v>42739.124999999993</v>
      </c>
      <c r="L9" s="87"/>
      <c r="M9" s="88">
        <f t="shared" ca="1" si="25"/>
        <v>42739.166666666657</v>
      </c>
      <c r="N9" s="87"/>
      <c r="O9" s="88">
        <f t="shared" ca="1" si="26"/>
        <v>42739.208333333321</v>
      </c>
      <c r="P9" s="87"/>
      <c r="Q9" s="88">
        <f t="shared" ca="1" si="27"/>
        <v>42739.249999999985</v>
      </c>
      <c r="R9" s="87"/>
      <c r="S9" s="88">
        <f t="shared" ca="1" si="28"/>
        <v>42739.29166666665</v>
      </c>
      <c r="T9" s="87"/>
      <c r="U9" s="88">
        <f t="shared" ca="1" si="29"/>
        <v>42739.333333333314</v>
      </c>
      <c r="V9" s="87"/>
      <c r="W9" s="88">
        <f t="shared" ca="1" si="30"/>
        <v>42739.374999999978</v>
      </c>
      <c r="X9" s="87"/>
      <c r="Y9" s="88">
        <f t="shared" ca="1" si="31"/>
        <v>42739.416666666642</v>
      </c>
      <c r="Z9" s="87"/>
      <c r="AA9" s="88">
        <f t="shared" ca="1" si="32"/>
        <v>42739.458333333307</v>
      </c>
      <c r="AB9" s="87"/>
      <c r="AC9" s="88">
        <f t="shared" ca="1" si="33"/>
        <v>42739.499999999971</v>
      </c>
      <c r="AD9" s="87"/>
      <c r="AE9" s="88">
        <f t="shared" ca="1" si="34"/>
        <v>42739.541666666635</v>
      </c>
      <c r="AF9" s="87"/>
      <c r="AG9" s="88">
        <f t="shared" ca="1" si="35"/>
        <v>42739.583333333299</v>
      </c>
      <c r="AH9" s="87"/>
      <c r="AI9" s="88">
        <f t="shared" ca="1" si="36"/>
        <v>42739.624999999964</v>
      </c>
      <c r="AJ9" s="87"/>
      <c r="AK9" s="88">
        <f t="shared" ca="1" si="37"/>
        <v>42739.666666666628</v>
      </c>
      <c r="AL9" s="87"/>
      <c r="AM9" s="88">
        <f t="shared" ca="1" si="38"/>
        <v>42739.708333333292</v>
      </c>
      <c r="AN9" s="87"/>
      <c r="AO9" s="88">
        <f t="shared" ca="1" si="39"/>
        <v>42739.749999999956</v>
      </c>
      <c r="AP9" s="87"/>
      <c r="AQ9" s="88">
        <f t="shared" ca="1" si="40"/>
        <v>42739.791666666621</v>
      </c>
      <c r="AR9" s="87"/>
      <c r="AS9" s="88">
        <f t="shared" ca="1" si="41"/>
        <v>42739.833333333285</v>
      </c>
      <c r="AT9" s="87"/>
      <c r="AU9" s="88">
        <f t="shared" ca="1" si="42"/>
        <v>42739.874999999949</v>
      </c>
      <c r="AV9" s="87"/>
      <c r="AW9" s="88">
        <f t="shared" ca="1" si="43"/>
        <v>42739.916666666613</v>
      </c>
      <c r="AX9" s="87"/>
      <c r="AY9" s="88">
        <f t="shared" ca="1" si="44"/>
        <v>42739.958333333278</v>
      </c>
      <c r="AZ9" s="87"/>
      <c r="BA9" s="88">
        <f t="shared" ca="1" si="45"/>
        <v>42739.999999999942</v>
      </c>
      <c r="BB9" s="87"/>
      <c r="BC9" s="5"/>
      <c r="BE9" s="73" t="s">
        <v>2</v>
      </c>
      <c r="BF9" s="74"/>
      <c r="BG9" s="74"/>
      <c r="BH9" s="74"/>
      <c r="BI9" s="74"/>
      <c r="BJ9" s="74"/>
      <c r="BK9" s="74"/>
      <c r="BL9" s="74"/>
      <c r="BM9" s="74"/>
      <c r="BN9" s="74"/>
      <c r="BO9" s="74"/>
      <c r="BP9" s="74"/>
      <c r="BQ9" s="75"/>
    </row>
    <row r="10" spans="2:69" ht="12" customHeight="1" x14ac:dyDescent="0.25">
      <c r="E10" s="65" t="str">
        <f ca="1">IF(INDEX('Setup Data'!$A$3:$O$36,ROWS($E$7:E10),MATCH(homeStationID,homeStations,0))=0,"",INDEX('Setup Data'!$A$3:$O$36,ROWS($E$7:E10),MATCH(homeStationID,homeStations,0)))</f>
        <v>KWRB</v>
      </c>
      <c r="F10" s="68"/>
      <c r="G10" s="88">
        <f t="shared" ca="1" si="22"/>
        <v>42739.041666666664</v>
      </c>
      <c r="H10" s="109"/>
      <c r="I10" s="119">
        <f t="shared" ca="1" si="23"/>
        <v>42739.083333333328</v>
      </c>
      <c r="J10" s="87"/>
      <c r="K10" s="88">
        <f t="shared" ca="1" si="24"/>
        <v>42739.124999999993</v>
      </c>
      <c r="L10" s="87"/>
      <c r="M10" s="88">
        <f t="shared" ca="1" si="25"/>
        <v>42739.166666666657</v>
      </c>
      <c r="N10" s="87"/>
      <c r="O10" s="88">
        <f t="shared" ca="1" si="26"/>
        <v>42739.208333333321</v>
      </c>
      <c r="P10" s="87"/>
      <c r="Q10" s="88">
        <f t="shared" ca="1" si="27"/>
        <v>42739.249999999985</v>
      </c>
      <c r="R10" s="87"/>
      <c r="S10" s="88">
        <f t="shared" ca="1" si="28"/>
        <v>42739.29166666665</v>
      </c>
      <c r="T10" s="87"/>
      <c r="U10" s="112">
        <f t="shared" ca="1" si="29"/>
        <v>42739.333333333314</v>
      </c>
      <c r="V10" s="87"/>
      <c r="W10" s="112">
        <f t="shared" ca="1" si="30"/>
        <v>42739.374999999978</v>
      </c>
      <c r="X10" s="87"/>
      <c r="Y10" s="112">
        <f t="shared" ca="1" si="31"/>
        <v>42739.416666666642</v>
      </c>
      <c r="Z10" s="87"/>
      <c r="AA10" s="112">
        <f t="shared" ca="1" si="32"/>
        <v>42739.458333333307</v>
      </c>
      <c r="AB10" s="87"/>
      <c r="AC10" s="88">
        <f t="shared" ca="1" si="33"/>
        <v>42739.499999999971</v>
      </c>
      <c r="AD10" s="87"/>
      <c r="AE10" s="88">
        <f t="shared" ca="1" si="34"/>
        <v>42739.541666666635</v>
      </c>
      <c r="AF10" s="87"/>
      <c r="AG10" s="88">
        <f t="shared" ca="1" si="35"/>
        <v>42739.583333333299</v>
      </c>
      <c r="AH10" s="87"/>
      <c r="AI10" s="88">
        <f t="shared" ca="1" si="36"/>
        <v>42739.624999999964</v>
      </c>
      <c r="AJ10" s="87"/>
      <c r="AK10" s="88">
        <f t="shared" ca="1" si="37"/>
        <v>42739.666666666628</v>
      </c>
      <c r="AL10" s="87"/>
      <c r="AM10" s="88">
        <f t="shared" ca="1" si="38"/>
        <v>42739.708333333292</v>
      </c>
      <c r="AN10" s="87"/>
      <c r="AO10" s="88">
        <f t="shared" ca="1" si="39"/>
        <v>42739.749999999956</v>
      </c>
      <c r="AP10" s="87"/>
      <c r="AQ10" s="88">
        <f t="shared" ca="1" si="40"/>
        <v>42739.791666666621</v>
      </c>
      <c r="AR10" s="87"/>
      <c r="AS10" s="88">
        <f t="shared" ca="1" si="41"/>
        <v>42739.833333333285</v>
      </c>
      <c r="AT10" s="87"/>
      <c r="AU10" s="88">
        <f t="shared" ca="1" si="42"/>
        <v>42739.874999999949</v>
      </c>
      <c r="AV10" s="87"/>
      <c r="AW10" s="88">
        <f t="shared" ca="1" si="43"/>
        <v>42739.916666666613</v>
      </c>
      <c r="AX10" s="87"/>
      <c r="AY10" s="88">
        <f t="shared" ca="1" si="44"/>
        <v>42739.958333333278</v>
      </c>
      <c r="AZ10" s="87"/>
      <c r="BA10" s="88">
        <f t="shared" ca="1" si="45"/>
        <v>42739.999999999942</v>
      </c>
      <c r="BB10" s="87"/>
      <c r="BC10" s="5"/>
      <c r="BE10" s="82">
        <v>2000</v>
      </c>
      <c r="BF10" s="83"/>
      <c r="BG10" s="83"/>
      <c r="BH10" s="83"/>
      <c r="BI10" s="83"/>
      <c r="BJ10" s="83"/>
      <c r="BK10" s="83"/>
      <c r="BL10" s="83">
        <v>3</v>
      </c>
      <c r="BM10" s="83"/>
      <c r="BN10" s="83"/>
      <c r="BO10" s="83"/>
      <c r="BP10" s="83"/>
      <c r="BQ10" s="104"/>
    </row>
    <row r="11" spans="2:69" ht="12" customHeight="1" x14ac:dyDescent="0.25">
      <c r="E11" s="65" t="str">
        <f ca="1">IF(INDEX('Setup Data'!$A$3:$O$36,ROWS($E$7:E11),MATCH(homeStationID,homeStations,0))=0,"",INDEX('Setup Data'!$A$3:$O$36,ROWS($E$7:E11),MATCH(homeStationID,homeStations,0)))</f>
        <v>KSAV</v>
      </c>
      <c r="F11" s="68"/>
      <c r="G11" s="88">
        <f t="shared" ca="1" si="22"/>
        <v>42739.041666666664</v>
      </c>
      <c r="H11" s="109"/>
      <c r="I11" s="119">
        <f t="shared" ca="1" si="23"/>
        <v>42739.083333333328</v>
      </c>
      <c r="J11" s="87"/>
      <c r="K11" s="88">
        <f t="shared" ca="1" si="24"/>
        <v>42739.124999999993</v>
      </c>
      <c r="L11" s="87"/>
      <c r="M11" s="88">
        <f t="shared" ca="1" si="25"/>
        <v>42739.166666666657</v>
      </c>
      <c r="N11" s="87"/>
      <c r="O11" s="88">
        <f t="shared" ca="1" si="26"/>
        <v>42739.208333333321</v>
      </c>
      <c r="P11" s="87"/>
      <c r="Q11" s="88">
        <f t="shared" ca="1" si="27"/>
        <v>42739.249999999985</v>
      </c>
      <c r="R11" s="87"/>
      <c r="S11" s="88">
        <f t="shared" ca="1" si="28"/>
        <v>42739.29166666665</v>
      </c>
      <c r="T11" s="87"/>
      <c r="U11" s="88">
        <f t="shared" ca="1" si="29"/>
        <v>42739.333333333314</v>
      </c>
      <c r="V11" s="87"/>
      <c r="W11" s="88">
        <f t="shared" ca="1" si="30"/>
        <v>42739.374999999978</v>
      </c>
      <c r="X11" s="87"/>
      <c r="Y11" s="88">
        <f t="shared" ca="1" si="31"/>
        <v>42739.416666666642</v>
      </c>
      <c r="Z11" s="87"/>
      <c r="AA11" s="88">
        <f t="shared" ca="1" si="32"/>
        <v>42739.458333333307</v>
      </c>
      <c r="AB11" s="87"/>
      <c r="AC11" s="88">
        <f t="shared" ca="1" si="33"/>
        <v>42739.499999999971</v>
      </c>
      <c r="AD11" s="87"/>
      <c r="AE11" s="88">
        <f t="shared" ca="1" si="34"/>
        <v>42739.541666666635</v>
      </c>
      <c r="AF11" s="87"/>
      <c r="AG11" s="88">
        <f t="shared" ca="1" si="35"/>
        <v>42739.583333333299</v>
      </c>
      <c r="AH11" s="87"/>
      <c r="AI11" s="88">
        <f t="shared" ca="1" si="36"/>
        <v>42739.624999999964</v>
      </c>
      <c r="AJ11" s="87"/>
      <c r="AK11" s="88">
        <f t="shared" ca="1" si="37"/>
        <v>42739.666666666628</v>
      </c>
      <c r="AL11" s="87"/>
      <c r="AM11" s="88">
        <f t="shared" ca="1" si="38"/>
        <v>42739.708333333292</v>
      </c>
      <c r="AN11" s="87"/>
      <c r="AO11" s="88">
        <f t="shared" ca="1" si="39"/>
        <v>42739.749999999956</v>
      </c>
      <c r="AP11" s="87"/>
      <c r="AQ11" s="88">
        <f t="shared" ca="1" si="40"/>
        <v>42739.791666666621</v>
      </c>
      <c r="AR11" s="87"/>
      <c r="AS11" s="88">
        <f t="shared" ca="1" si="41"/>
        <v>42739.833333333285</v>
      </c>
      <c r="AT11" s="87"/>
      <c r="AU11" s="88">
        <f t="shared" ca="1" si="42"/>
        <v>42739.874999999949</v>
      </c>
      <c r="AV11" s="87"/>
      <c r="AW11" s="88">
        <f t="shared" ca="1" si="43"/>
        <v>42739.916666666613</v>
      </c>
      <c r="AX11" s="87"/>
      <c r="AY11" s="88">
        <f t="shared" ca="1" si="44"/>
        <v>42739.958333333278</v>
      </c>
      <c r="AZ11" s="87"/>
      <c r="BA11" s="88">
        <f t="shared" ca="1" si="45"/>
        <v>42739.999999999942</v>
      </c>
      <c r="BB11" s="87"/>
      <c r="BC11" s="5"/>
      <c r="BE11" s="76" t="s">
        <v>7</v>
      </c>
      <c r="BF11" s="76"/>
      <c r="BG11" s="76"/>
      <c r="BH11" s="76"/>
      <c r="BI11" s="76"/>
      <c r="BJ11" s="76"/>
      <c r="BK11" s="76"/>
      <c r="BL11" s="76"/>
      <c r="BM11" s="76"/>
      <c r="BN11" s="76"/>
      <c r="BO11" s="76"/>
      <c r="BP11" s="76"/>
      <c r="BQ11" s="76"/>
    </row>
    <row r="12" spans="2:69" ht="12" customHeight="1" x14ac:dyDescent="0.25">
      <c r="E12" s="65" t="str">
        <f ca="1">IF(INDEX('Setup Data'!$A$3:$O$36,ROWS($E$7:E12),MATCH(homeStationID,homeStations,0))=0,"",INDEX('Setup Data'!$A$3:$O$36,ROWS($E$7:E12),MATCH(homeStationID,homeStations,0)))</f>
        <v>KPAM</v>
      </c>
      <c r="F12" s="68"/>
      <c r="G12" s="88">
        <f t="shared" ca="1" si="22"/>
        <v>42739.041666666664</v>
      </c>
      <c r="H12" s="109"/>
      <c r="I12" s="119">
        <f t="shared" ca="1" si="23"/>
        <v>42739.083333333328</v>
      </c>
      <c r="J12" s="87"/>
      <c r="K12" s="88">
        <f t="shared" ca="1" si="24"/>
        <v>42739.124999999993</v>
      </c>
      <c r="L12" s="87"/>
      <c r="M12" s="88">
        <f t="shared" ca="1" si="25"/>
        <v>42739.166666666657</v>
      </c>
      <c r="N12" s="87"/>
      <c r="O12" s="88">
        <f t="shared" ca="1" si="26"/>
        <v>42739.208333333321</v>
      </c>
      <c r="P12" s="87"/>
      <c r="Q12" s="88">
        <f t="shared" ca="1" si="27"/>
        <v>42739.249999999985</v>
      </c>
      <c r="R12" s="87"/>
      <c r="S12" s="88">
        <f t="shared" ca="1" si="28"/>
        <v>42739.29166666665</v>
      </c>
      <c r="T12" s="87"/>
      <c r="U12" s="88">
        <f t="shared" ca="1" si="29"/>
        <v>42739.333333333314</v>
      </c>
      <c r="V12" s="87"/>
      <c r="W12" s="88">
        <f t="shared" ca="1" si="30"/>
        <v>42739.374999999978</v>
      </c>
      <c r="X12" s="87"/>
      <c r="Y12" s="88">
        <f t="shared" ca="1" si="31"/>
        <v>42739.416666666642</v>
      </c>
      <c r="Z12" s="87"/>
      <c r="AA12" s="88">
        <f t="shared" ca="1" si="32"/>
        <v>42739.458333333307</v>
      </c>
      <c r="AB12" s="87"/>
      <c r="AC12" s="88">
        <f t="shared" ca="1" si="33"/>
        <v>42739.499999999971</v>
      </c>
      <c r="AD12" s="87"/>
      <c r="AE12" s="88">
        <f t="shared" ca="1" si="34"/>
        <v>42739.541666666635</v>
      </c>
      <c r="AF12" s="87"/>
      <c r="AG12" s="88">
        <f t="shared" ca="1" si="35"/>
        <v>42739.583333333299</v>
      </c>
      <c r="AH12" s="87"/>
      <c r="AI12" s="88">
        <f t="shared" ca="1" si="36"/>
        <v>42739.624999999964</v>
      </c>
      <c r="AJ12" s="87"/>
      <c r="AK12" s="88">
        <f t="shared" ca="1" si="37"/>
        <v>42739.666666666628</v>
      </c>
      <c r="AL12" s="87"/>
      <c r="AM12" s="88">
        <f t="shared" ca="1" si="38"/>
        <v>42739.708333333292</v>
      </c>
      <c r="AN12" s="87"/>
      <c r="AO12" s="88">
        <f t="shared" ca="1" si="39"/>
        <v>42739.749999999956</v>
      </c>
      <c r="AP12" s="87"/>
      <c r="AQ12" s="88">
        <f t="shared" ca="1" si="40"/>
        <v>42739.791666666621</v>
      </c>
      <c r="AR12" s="87"/>
      <c r="AS12" s="88">
        <f t="shared" ca="1" si="41"/>
        <v>42739.833333333285</v>
      </c>
      <c r="AT12" s="87"/>
      <c r="AU12" s="88">
        <f t="shared" ca="1" si="42"/>
        <v>42739.874999999949</v>
      </c>
      <c r="AV12" s="87"/>
      <c r="AW12" s="88">
        <f t="shared" ca="1" si="43"/>
        <v>42739.916666666613</v>
      </c>
      <c r="AX12" s="87"/>
      <c r="AY12" s="88">
        <f t="shared" ca="1" si="44"/>
        <v>42739.958333333278</v>
      </c>
      <c r="AZ12" s="87"/>
      <c r="BA12" s="88">
        <f t="shared" ca="1" si="45"/>
        <v>42739.999999999942</v>
      </c>
      <c r="BB12" s="87"/>
      <c r="BC12" s="5"/>
      <c r="BE12" s="124" t="s">
        <v>169</v>
      </c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</row>
    <row r="13" spans="2:69" ht="12" customHeight="1" x14ac:dyDescent="0.25">
      <c r="E13" s="65" t="str">
        <f ca="1">IF(INDEX('Setup Data'!$A$3:$O$36,ROWS($E$7:E13),MATCH(homeStationID,homeStations,0))=0,"",INDEX('Setup Data'!$A$3:$O$36,ROWS($E$7:E13),MATCH(homeStationID,homeStations,0)))</f>
        <v>KSVN</v>
      </c>
      <c r="F13" s="68"/>
      <c r="G13" s="88">
        <f t="shared" ca="1" si="22"/>
        <v>42739.041666666664</v>
      </c>
      <c r="H13" s="109"/>
      <c r="I13" s="119">
        <f t="shared" ca="1" si="23"/>
        <v>42739.083333333328</v>
      </c>
      <c r="J13" s="87"/>
      <c r="K13" s="88">
        <f t="shared" ca="1" si="24"/>
        <v>42739.124999999993</v>
      </c>
      <c r="L13" s="87"/>
      <c r="M13" s="88">
        <f t="shared" ca="1" si="25"/>
        <v>42739.166666666657</v>
      </c>
      <c r="N13" s="87"/>
      <c r="O13" s="88">
        <f t="shared" ca="1" si="26"/>
        <v>42739.208333333321</v>
      </c>
      <c r="P13" s="87"/>
      <c r="Q13" s="88">
        <f t="shared" ca="1" si="27"/>
        <v>42739.249999999985</v>
      </c>
      <c r="R13" s="87"/>
      <c r="S13" s="88">
        <f t="shared" ca="1" si="28"/>
        <v>42739.29166666665</v>
      </c>
      <c r="T13" s="87"/>
      <c r="U13" s="88">
        <f t="shared" ca="1" si="29"/>
        <v>42739.333333333314</v>
      </c>
      <c r="V13" s="87"/>
      <c r="W13" s="88">
        <f t="shared" ca="1" si="30"/>
        <v>42739.374999999978</v>
      </c>
      <c r="X13" s="87"/>
      <c r="Y13" s="88">
        <f t="shared" ca="1" si="31"/>
        <v>42739.416666666642</v>
      </c>
      <c r="Z13" s="87"/>
      <c r="AA13" s="88">
        <f t="shared" ca="1" si="32"/>
        <v>42739.458333333307</v>
      </c>
      <c r="AB13" s="87"/>
      <c r="AC13" s="88">
        <f t="shared" ca="1" si="33"/>
        <v>42739.499999999971</v>
      </c>
      <c r="AD13" s="87"/>
      <c r="AE13" s="88">
        <f t="shared" ca="1" si="34"/>
        <v>42739.541666666635</v>
      </c>
      <c r="AF13" s="87"/>
      <c r="AG13" s="88">
        <f t="shared" ca="1" si="35"/>
        <v>42739.583333333299</v>
      </c>
      <c r="AH13" s="87"/>
      <c r="AI13" s="88">
        <f t="shared" ca="1" si="36"/>
        <v>42739.624999999964</v>
      </c>
      <c r="AJ13" s="87"/>
      <c r="AK13" s="88">
        <f t="shared" ca="1" si="37"/>
        <v>42739.666666666628</v>
      </c>
      <c r="AL13" s="87"/>
      <c r="AM13" s="88">
        <f t="shared" ca="1" si="38"/>
        <v>42739.708333333292</v>
      </c>
      <c r="AN13" s="87"/>
      <c r="AO13" s="88">
        <f t="shared" ca="1" si="39"/>
        <v>42739.749999999956</v>
      </c>
      <c r="AP13" s="87"/>
      <c r="AQ13" s="88">
        <f t="shared" ca="1" si="40"/>
        <v>42739.791666666621</v>
      </c>
      <c r="AR13" s="87"/>
      <c r="AS13" s="88">
        <f t="shared" ca="1" si="41"/>
        <v>42739.833333333285</v>
      </c>
      <c r="AT13" s="87"/>
      <c r="AU13" s="88">
        <f t="shared" ca="1" si="42"/>
        <v>42739.874999999949</v>
      </c>
      <c r="AV13" s="87"/>
      <c r="AW13" s="88">
        <f t="shared" ca="1" si="43"/>
        <v>42739.916666666613</v>
      </c>
      <c r="AX13" s="87"/>
      <c r="AY13" s="88">
        <f t="shared" ca="1" si="44"/>
        <v>42739.958333333278</v>
      </c>
      <c r="AZ13" s="87"/>
      <c r="BA13" s="88">
        <f t="shared" ca="1" si="45"/>
        <v>42739.999999999942</v>
      </c>
      <c r="BB13" s="87"/>
      <c r="BC13" s="5"/>
      <c r="BE13" s="84">
        <v>500</v>
      </c>
      <c r="BF13" s="85"/>
      <c r="BG13" s="85"/>
      <c r="BH13" s="85"/>
      <c r="BI13" s="85"/>
      <c r="BJ13" s="85"/>
      <c r="BK13" s="85"/>
      <c r="BL13" s="105">
        <v>1.5</v>
      </c>
      <c r="BM13" s="105"/>
      <c r="BN13" s="105"/>
      <c r="BO13" s="105"/>
      <c r="BP13" s="105"/>
      <c r="BQ13" s="106"/>
    </row>
    <row r="14" spans="2:69" ht="12" customHeight="1" x14ac:dyDescent="0.25">
      <c r="E14" s="65" t="str">
        <f ca="1">IF(INDEX('Setup Data'!$A$3:$O$36,ROWS($E$7:E14),MATCH(homeStationID,homeStations,0))=0,"",INDEX('Setup Data'!$A$3:$O$36,ROWS($E$7:E14),MATCH(homeStationID,homeStations,0)))</f>
        <v>KLSF</v>
      </c>
      <c r="F14" s="68"/>
      <c r="G14" s="88">
        <f t="shared" ca="1" si="22"/>
        <v>42739.041666666664</v>
      </c>
      <c r="H14" s="109"/>
      <c r="I14" s="119">
        <f t="shared" ca="1" si="23"/>
        <v>42739.083333333328</v>
      </c>
      <c r="J14" s="87"/>
      <c r="K14" s="88">
        <f t="shared" ca="1" si="24"/>
        <v>42739.124999999993</v>
      </c>
      <c r="L14" s="87"/>
      <c r="M14" s="88">
        <f t="shared" ca="1" si="25"/>
        <v>42739.166666666657</v>
      </c>
      <c r="N14" s="87"/>
      <c r="O14" s="88">
        <f t="shared" ca="1" si="26"/>
        <v>42739.208333333321</v>
      </c>
      <c r="P14" s="87"/>
      <c r="Q14" s="88">
        <f t="shared" ca="1" si="27"/>
        <v>42739.249999999985</v>
      </c>
      <c r="R14" s="87"/>
      <c r="S14" s="88">
        <f t="shared" ca="1" si="28"/>
        <v>42739.29166666665</v>
      </c>
      <c r="T14" s="87"/>
      <c r="U14" s="88">
        <f t="shared" ca="1" si="29"/>
        <v>42739.333333333314</v>
      </c>
      <c r="V14" s="87"/>
      <c r="W14" s="88">
        <f t="shared" ca="1" si="30"/>
        <v>42739.374999999978</v>
      </c>
      <c r="X14" s="87"/>
      <c r="Y14" s="88">
        <f t="shared" ca="1" si="31"/>
        <v>42739.416666666642</v>
      </c>
      <c r="Z14" s="87"/>
      <c r="AA14" s="88">
        <f t="shared" ca="1" si="32"/>
        <v>42739.458333333307</v>
      </c>
      <c r="AB14" s="87"/>
      <c r="AC14" s="88">
        <f t="shared" ca="1" si="33"/>
        <v>42739.499999999971</v>
      </c>
      <c r="AD14" s="87"/>
      <c r="AE14" s="88">
        <f t="shared" ca="1" si="34"/>
        <v>42739.541666666635</v>
      </c>
      <c r="AF14" s="87"/>
      <c r="AG14" s="88">
        <f t="shared" ca="1" si="35"/>
        <v>42739.583333333299</v>
      </c>
      <c r="AH14" s="87"/>
      <c r="AI14" s="88">
        <f t="shared" ca="1" si="36"/>
        <v>42739.624999999964</v>
      </c>
      <c r="AJ14" s="87"/>
      <c r="AK14" s="88">
        <f t="shared" ca="1" si="37"/>
        <v>42739.666666666628</v>
      </c>
      <c r="AL14" s="87"/>
      <c r="AM14" s="88">
        <f t="shared" ca="1" si="38"/>
        <v>42739.708333333292</v>
      </c>
      <c r="AN14" s="87"/>
      <c r="AO14" s="88">
        <f t="shared" ca="1" si="39"/>
        <v>42739.749999999956</v>
      </c>
      <c r="AP14" s="87"/>
      <c r="AQ14" s="88">
        <f t="shared" ca="1" si="40"/>
        <v>42739.791666666621</v>
      </c>
      <c r="AR14" s="87"/>
      <c r="AS14" s="88">
        <f t="shared" ca="1" si="41"/>
        <v>42739.833333333285</v>
      </c>
      <c r="AT14" s="87"/>
      <c r="AU14" s="88">
        <f t="shared" ca="1" si="42"/>
        <v>42739.874999999949</v>
      </c>
      <c r="AV14" s="87"/>
      <c r="AW14" s="88">
        <f t="shared" ca="1" si="43"/>
        <v>42739.916666666613</v>
      </c>
      <c r="AX14" s="87"/>
      <c r="AY14" s="88">
        <f t="shared" ca="1" si="44"/>
        <v>42739.958333333278</v>
      </c>
      <c r="AZ14" s="87"/>
      <c r="BA14" s="112">
        <f t="shared" ca="1" si="45"/>
        <v>42739.999999999942</v>
      </c>
      <c r="BB14" s="87"/>
      <c r="BC14" s="5"/>
      <c r="BE14" s="77" t="s">
        <v>3</v>
      </c>
      <c r="BF14" s="78"/>
      <c r="BG14" s="78"/>
      <c r="BH14" s="78"/>
      <c r="BI14" s="78"/>
      <c r="BJ14" s="78"/>
      <c r="BK14" s="78"/>
      <c r="BL14" s="78"/>
      <c r="BM14" s="78"/>
      <c r="BN14" s="78"/>
      <c r="BO14" s="78"/>
      <c r="BP14" s="78"/>
      <c r="BQ14" s="79"/>
    </row>
    <row r="15" spans="2:69" ht="12" customHeight="1" x14ac:dyDescent="0.25">
      <c r="E15" s="65" t="str">
        <f ca="1">IF(INDEX('Setup Data'!$A$3:$O$36,ROWS($E$7:E15),MATCH(homeStationID,homeStations,0))=0,"",INDEX('Setup Data'!$A$3:$O$36,ROWS($E$7:E15),MATCH(homeStationID,homeStations,0)))</f>
        <v>KABY</v>
      </c>
      <c r="F15" s="68"/>
      <c r="G15" s="88">
        <f t="shared" ca="1" si="22"/>
        <v>42739.041666666664</v>
      </c>
      <c r="H15" s="109"/>
      <c r="I15" s="119">
        <f t="shared" ca="1" si="23"/>
        <v>42739.083333333328</v>
      </c>
      <c r="J15" s="87"/>
      <c r="K15" s="88">
        <f t="shared" ca="1" si="24"/>
        <v>42739.124999999993</v>
      </c>
      <c r="L15" s="87"/>
      <c r="M15" s="88">
        <f t="shared" ca="1" si="25"/>
        <v>42739.166666666657</v>
      </c>
      <c r="N15" s="87"/>
      <c r="O15" s="88">
        <f t="shared" ca="1" si="26"/>
        <v>42739.208333333321</v>
      </c>
      <c r="P15" s="87"/>
      <c r="Q15" s="88">
        <f t="shared" ca="1" si="27"/>
        <v>42739.249999999985</v>
      </c>
      <c r="R15" s="87"/>
      <c r="S15" s="88">
        <f t="shared" ca="1" si="28"/>
        <v>42739.29166666665</v>
      </c>
      <c r="T15" s="87"/>
      <c r="U15" s="88">
        <f t="shared" ca="1" si="29"/>
        <v>42739.333333333314</v>
      </c>
      <c r="V15" s="87"/>
      <c r="W15" s="88">
        <f t="shared" ca="1" si="30"/>
        <v>42739.374999999978</v>
      </c>
      <c r="X15" s="87"/>
      <c r="Y15" s="88">
        <f t="shared" ca="1" si="31"/>
        <v>42739.416666666642</v>
      </c>
      <c r="Z15" s="87"/>
      <c r="AA15" s="88">
        <f t="shared" ca="1" si="32"/>
        <v>42739.458333333307</v>
      </c>
      <c r="AB15" s="87"/>
      <c r="AC15" s="88">
        <f t="shared" ca="1" si="33"/>
        <v>42739.499999999971</v>
      </c>
      <c r="AD15" s="87"/>
      <c r="AE15" s="88">
        <f t="shared" ca="1" si="34"/>
        <v>42739.541666666635</v>
      </c>
      <c r="AF15" s="87"/>
      <c r="AG15" s="88">
        <f t="shared" ca="1" si="35"/>
        <v>42739.583333333299</v>
      </c>
      <c r="AH15" s="87"/>
      <c r="AI15" s="88">
        <f t="shared" ca="1" si="36"/>
        <v>42739.624999999964</v>
      </c>
      <c r="AJ15" s="87"/>
      <c r="AK15" s="88">
        <f t="shared" ca="1" si="37"/>
        <v>42739.666666666628</v>
      </c>
      <c r="AL15" s="87"/>
      <c r="AM15" s="88">
        <f t="shared" ca="1" si="38"/>
        <v>42739.708333333292</v>
      </c>
      <c r="AN15" s="87"/>
      <c r="AO15" s="88">
        <f t="shared" ca="1" si="39"/>
        <v>42739.749999999956</v>
      </c>
      <c r="AP15" s="87"/>
      <c r="AQ15" s="88">
        <f t="shared" ca="1" si="40"/>
        <v>42739.791666666621</v>
      </c>
      <c r="AR15" s="87"/>
      <c r="AS15" s="88">
        <f t="shared" ca="1" si="41"/>
        <v>42739.833333333285</v>
      </c>
      <c r="AT15" s="87"/>
      <c r="AU15" s="88">
        <f t="shared" ca="1" si="42"/>
        <v>42739.874999999949</v>
      </c>
      <c r="AV15" s="87"/>
      <c r="AW15" s="88">
        <f t="shared" ca="1" si="43"/>
        <v>42739.916666666613</v>
      </c>
      <c r="AX15" s="87"/>
      <c r="AY15" s="88">
        <f t="shared" ca="1" si="44"/>
        <v>42739.958333333278</v>
      </c>
      <c r="AZ15" s="87"/>
      <c r="BA15" s="111">
        <f t="shared" ca="1" si="45"/>
        <v>42739.999999999942</v>
      </c>
      <c r="BB15" s="87"/>
      <c r="BC15" s="5"/>
    </row>
    <row r="16" spans="2:69" ht="12" customHeight="1" thickBot="1" x14ac:dyDescent="0.3">
      <c r="E16" s="65" t="str">
        <f ca="1">IF(INDEX('Setup Data'!$A$3:$O$36,ROWS($E$7:E16),MATCH(homeStationID,homeStations,0))=0,"",INDEX('Setup Data'!$A$3:$O$36,ROWS($E$7:E16),MATCH(homeStationID,homeStations,0)))</f>
        <v>KTLH</v>
      </c>
      <c r="F16" s="68"/>
      <c r="G16" s="88">
        <f t="shared" ca="1" si="22"/>
        <v>42739.041666666664</v>
      </c>
      <c r="H16" s="109"/>
      <c r="I16" s="119">
        <f t="shared" ca="1" si="23"/>
        <v>42739.083333333328</v>
      </c>
      <c r="J16" s="87"/>
      <c r="K16" s="88">
        <f t="shared" ca="1" si="24"/>
        <v>42739.124999999993</v>
      </c>
      <c r="L16" s="87"/>
      <c r="M16" s="88">
        <f t="shared" ca="1" si="25"/>
        <v>42739.166666666657</v>
      </c>
      <c r="N16" s="87"/>
      <c r="O16" s="88">
        <f t="shared" ca="1" si="26"/>
        <v>42739.208333333321</v>
      </c>
      <c r="P16" s="87"/>
      <c r="Q16" s="88">
        <f t="shared" ca="1" si="27"/>
        <v>42739.249999999985</v>
      </c>
      <c r="R16" s="87"/>
      <c r="S16" s="88">
        <f t="shared" ca="1" si="28"/>
        <v>42739.29166666665</v>
      </c>
      <c r="T16" s="87"/>
      <c r="U16" s="88">
        <f t="shared" ca="1" si="29"/>
        <v>42739.333333333314</v>
      </c>
      <c r="V16" s="87"/>
      <c r="W16" s="88">
        <f t="shared" ca="1" si="30"/>
        <v>42739.374999999978</v>
      </c>
      <c r="X16" s="87"/>
      <c r="Y16" s="88">
        <f t="shared" ca="1" si="31"/>
        <v>42739.416666666642</v>
      </c>
      <c r="Z16" s="87"/>
      <c r="AA16" s="88">
        <f t="shared" ca="1" si="32"/>
        <v>42739.458333333307</v>
      </c>
      <c r="AB16" s="87"/>
      <c r="AC16" s="88">
        <f t="shared" ca="1" si="33"/>
        <v>42739.499999999971</v>
      </c>
      <c r="AD16" s="87"/>
      <c r="AE16" s="88">
        <f t="shared" ca="1" si="34"/>
        <v>42739.541666666635</v>
      </c>
      <c r="AF16" s="87"/>
      <c r="AG16" s="88">
        <f t="shared" ca="1" si="35"/>
        <v>42739.583333333299</v>
      </c>
      <c r="AH16" s="87"/>
      <c r="AI16" s="88">
        <f t="shared" ca="1" si="36"/>
        <v>42739.624999999964</v>
      </c>
      <c r="AJ16" s="87"/>
      <c r="AK16" s="88">
        <f t="shared" ca="1" si="37"/>
        <v>42739.666666666628</v>
      </c>
      <c r="AL16" s="87"/>
      <c r="AM16" s="88">
        <f t="shared" ca="1" si="38"/>
        <v>42739.708333333292</v>
      </c>
      <c r="AN16" s="87"/>
      <c r="AO16" s="88">
        <f t="shared" ca="1" si="39"/>
        <v>42739.749999999956</v>
      </c>
      <c r="AP16" s="87"/>
      <c r="AQ16" s="88">
        <f t="shared" ca="1" si="40"/>
        <v>42739.791666666621</v>
      </c>
      <c r="AR16" s="87"/>
      <c r="AS16" s="88">
        <f t="shared" ca="1" si="41"/>
        <v>42739.833333333285</v>
      </c>
      <c r="AT16" s="87"/>
      <c r="AU16" s="88">
        <f t="shared" ca="1" si="42"/>
        <v>42739.874999999949</v>
      </c>
      <c r="AV16" s="87"/>
      <c r="AW16" s="88">
        <f t="shared" ca="1" si="43"/>
        <v>42739.916666666613</v>
      </c>
      <c r="AX16" s="87"/>
      <c r="AY16" s="88">
        <f t="shared" ca="1" si="44"/>
        <v>42739.958333333278</v>
      </c>
      <c r="AZ16" s="87"/>
      <c r="BA16" s="88">
        <f t="shared" ca="1" si="45"/>
        <v>42739.999999999942</v>
      </c>
      <c r="BB16" s="87"/>
      <c r="BC16" s="5"/>
    </row>
    <row r="17" spans="5:69" ht="12" customHeight="1" x14ac:dyDescent="0.25">
      <c r="E17" s="65" t="str">
        <f ca="1">IF(INDEX('Setup Data'!$A$3:$O$36,ROWS($E$7:E17),MATCH(homeStationID,homeStations,0))=0,"",INDEX('Setup Data'!$A$3:$O$36,ROWS($E$7:E17),MATCH(homeStationID,homeStations,0)))</f>
        <v>KGNV</v>
      </c>
      <c r="F17" s="68"/>
      <c r="G17" s="88">
        <f t="shared" ca="1" si="22"/>
        <v>42739.041666666664</v>
      </c>
      <c r="H17" s="109"/>
      <c r="I17" s="119">
        <f t="shared" ca="1" si="23"/>
        <v>42739.083333333328</v>
      </c>
      <c r="J17" s="87"/>
      <c r="K17" s="88">
        <f t="shared" ca="1" si="24"/>
        <v>42739.124999999993</v>
      </c>
      <c r="L17" s="87"/>
      <c r="M17" s="88">
        <f t="shared" ca="1" si="25"/>
        <v>42739.166666666657</v>
      </c>
      <c r="N17" s="87"/>
      <c r="O17" s="88">
        <f t="shared" ca="1" si="26"/>
        <v>42739.208333333321</v>
      </c>
      <c r="P17" s="87"/>
      <c r="Q17" s="88">
        <f t="shared" ca="1" si="27"/>
        <v>42739.249999999985</v>
      </c>
      <c r="R17" s="87"/>
      <c r="S17" s="88">
        <f t="shared" ca="1" si="28"/>
        <v>42739.29166666665</v>
      </c>
      <c r="T17" s="87"/>
      <c r="U17" s="88">
        <f t="shared" ca="1" si="29"/>
        <v>42739.333333333314</v>
      </c>
      <c r="V17" s="87"/>
      <c r="W17" s="88">
        <f t="shared" ca="1" si="30"/>
        <v>42739.374999999978</v>
      </c>
      <c r="X17" s="87"/>
      <c r="Y17" s="88">
        <f t="shared" ca="1" si="31"/>
        <v>42739.416666666642</v>
      </c>
      <c r="Z17" s="87"/>
      <c r="AA17" s="88">
        <f t="shared" ca="1" si="32"/>
        <v>42739.458333333307</v>
      </c>
      <c r="AB17" s="87"/>
      <c r="AC17" s="88">
        <f t="shared" ca="1" si="33"/>
        <v>42739.499999999971</v>
      </c>
      <c r="AD17" s="87"/>
      <c r="AE17" s="88">
        <f t="shared" ca="1" si="34"/>
        <v>42739.541666666635</v>
      </c>
      <c r="AF17" s="87"/>
      <c r="AG17" s="88">
        <f t="shared" ca="1" si="35"/>
        <v>42739.583333333299</v>
      </c>
      <c r="AH17" s="87"/>
      <c r="AI17" s="88">
        <f t="shared" ca="1" si="36"/>
        <v>42739.624999999964</v>
      </c>
      <c r="AJ17" s="87"/>
      <c r="AK17" s="88">
        <f t="shared" ca="1" si="37"/>
        <v>42739.666666666628</v>
      </c>
      <c r="AL17" s="87"/>
      <c r="AM17" s="88">
        <f t="shared" ca="1" si="38"/>
        <v>42739.708333333292</v>
      </c>
      <c r="AN17" s="87"/>
      <c r="AO17" s="88">
        <f t="shared" ca="1" si="39"/>
        <v>42739.749999999956</v>
      </c>
      <c r="AP17" s="87"/>
      <c r="AQ17" s="88">
        <f t="shared" ca="1" si="40"/>
        <v>42739.791666666621</v>
      </c>
      <c r="AR17" s="87"/>
      <c r="AS17" s="88">
        <f t="shared" ca="1" si="41"/>
        <v>42739.833333333285</v>
      </c>
      <c r="AT17" s="87"/>
      <c r="AU17" s="88">
        <f t="shared" ca="1" si="42"/>
        <v>42739.874999999949</v>
      </c>
      <c r="AV17" s="87"/>
      <c r="AW17" s="88">
        <f t="shared" ca="1" si="43"/>
        <v>42739.916666666613</v>
      </c>
      <c r="AX17" s="87"/>
      <c r="AY17" s="88">
        <f t="shared" ca="1" si="44"/>
        <v>42739.958333333278</v>
      </c>
      <c r="AZ17" s="87"/>
      <c r="BA17" s="88">
        <f t="shared" ca="1" si="45"/>
        <v>42739.999999999942</v>
      </c>
      <c r="BB17" s="87"/>
      <c r="BC17" s="5"/>
      <c r="BE17" s="101" t="s">
        <v>107</v>
      </c>
      <c r="BF17" s="102"/>
      <c r="BG17" s="102"/>
      <c r="BH17" s="102"/>
      <c r="BI17" s="102"/>
      <c r="BJ17" s="102"/>
      <c r="BK17" s="102"/>
      <c r="BL17" s="102"/>
      <c r="BM17" s="102"/>
      <c r="BN17" s="102"/>
      <c r="BO17" s="102"/>
      <c r="BP17" s="102"/>
      <c r="BQ17" s="103"/>
    </row>
    <row r="18" spans="5:69" ht="12" customHeight="1" x14ac:dyDescent="0.25">
      <c r="E18" s="65" t="str">
        <f ca="1">IF(INDEX('Setup Data'!$A$3:$O$36,ROWS($E$7:E18),MATCH(homeStationID,homeStations,0))=0,"",INDEX('Setup Data'!$A$3:$O$36,ROWS($E$7:E18),MATCH(homeStationID,homeStations,0)))</f>
        <v>KDAB</v>
      </c>
      <c r="F18" s="68"/>
      <c r="G18" s="88">
        <f t="shared" ca="1" si="22"/>
        <v>42739.041666666664</v>
      </c>
      <c r="H18" s="109"/>
      <c r="I18" s="119">
        <f t="shared" ca="1" si="23"/>
        <v>42739.083333333328</v>
      </c>
      <c r="J18" s="87"/>
      <c r="K18" s="88">
        <f t="shared" ca="1" si="24"/>
        <v>42739.124999999993</v>
      </c>
      <c r="L18" s="87"/>
      <c r="M18" s="112">
        <f t="shared" ca="1" si="25"/>
        <v>42739.166666666657</v>
      </c>
      <c r="N18" s="87"/>
      <c r="O18" s="112">
        <f t="shared" ca="1" si="26"/>
        <v>42739.208333333321</v>
      </c>
      <c r="P18" s="87"/>
      <c r="Q18" s="112">
        <f t="shared" ca="1" si="27"/>
        <v>42739.249999999985</v>
      </c>
      <c r="R18" s="87"/>
      <c r="S18" s="112">
        <f t="shared" ca="1" si="28"/>
        <v>42739.29166666665</v>
      </c>
      <c r="T18" s="87"/>
      <c r="U18" s="112">
        <f t="shared" ca="1" si="29"/>
        <v>42739.333333333314</v>
      </c>
      <c r="V18" s="87"/>
      <c r="W18" s="112">
        <f t="shared" ca="1" si="30"/>
        <v>42739.374999999978</v>
      </c>
      <c r="X18" s="87"/>
      <c r="Y18" s="112">
        <f t="shared" ca="1" si="31"/>
        <v>42739.416666666642</v>
      </c>
      <c r="Z18" s="87"/>
      <c r="AA18" s="112">
        <f t="shared" ca="1" si="32"/>
        <v>42739.458333333307</v>
      </c>
      <c r="AB18" s="87"/>
      <c r="AC18" s="112">
        <f t="shared" ca="1" si="33"/>
        <v>42739.499999999971</v>
      </c>
      <c r="AD18" s="87"/>
      <c r="AE18" s="112">
        <f t="shared" ca="1" si="34"/>
        <v>42739.541666666635</v>
      </c>
      <c r="AF18" s="87"/>
      <c r="AG18" s="88">
        <f t="shared" ca="1" si="35"/>
        <v>42739.583333333299</v>
      </c>
      <c r="AH18" s="87"/>
      <c r="AI18" s="88">
        <f t="shared" ca="1" si="36"/>
        <v>42739.624999999964</v>
      </c>
      <c r="AJ18" s="87"/>
      <c r="AK18" s="88">
        <f t="shared" ca="1" si="37"/>
        <v>42739.666666666628</v>
      </c>
      <c r="AL18" s="87"/>
      <c r="AM18" s="88">
        <f t="shared" ca="1" si="38"/>
        <v>42739.708333333292</v>
      </c>
      <c r="AN18" s="87"/>
      <c r="AO18" s="88">
        <f t="shared" ca="1" si="39"/>
        <v>42739.749999999956</v>
      </c>
      <c r="AP18" s="87"/>
      <c r="AQ18" s="88">
        <f t="shared" ca="1" si="40"/>
        <v>42739.791666666621</v>
      </c>
      <c r="AR18" s="87"/>
      <c r="AS18" s="88">
        <f t="shared" ca="1" si="41"/>
        <v>42739.833333333285</v>
      </c>
      <c r="AT18" s="87"/>
      <c r="AU18" s="88">
        <f t="shared" ca="1" si="42"/>
        <v>42739.874999999949</v>
      </c>
      <c r="AV18" s="87"/>
      <c r="AW18" s="88">
        <f t="shared" ca="1" si="43"/>
        <v>42739.916666666613</v>
      </c>
      <c r="AX18" s="87"/>
      <c r="AY18" s="88">
        <f t="shared" ca="1" si="44"/>
        <v>42739.958333333278</v>
      </c>
      <c r="AZ18" s="87"/>
      <c r="BA18" s="88">
        <f t="shared" ca="1" si="45"/>
        <v>42739.999999999942</v>
      </c>
      <c r="BB18" s="87"/>
      <c r="BC18" s="5"/>
      <c r="BE18" s="80" t="s">
        <v>0</v>
      </c>
      <c r="BF18" s="81"/>
      <c r="BG18" s="81"/>
      <c r="BH18" s="81"/>
      <c r="BI18" s="81"/>
      <c r="BJ18" s="81"/>
      <c r="BK18" s="81"/>
      <c r="BL18" s="81" t="s">
        <v>1</v>
      </c>
      <c r="BM18" s="81"/>
      <c r="BN18" s="81"/>
      <c r="BO18" s="81"/>
      <c r="BP18" s="81"/>
      <c r="BQ18" s="86"/>
    </row>
    <row r="19" spans="5:69" ht="12" customHeight="1" x14ac:dyDescent="0.25">
      <c r="E19" s="65" t="str">
        <f ca="1">IF(INDEX('Setup Data'!$A$3:$O$36,ROWS($E$7:E19),MATCH(homeStationID,homeStations,0))=0,"",INDEX('Setup Data'!$A$3:$O$36,ROWS($E$7:E19),MATCH(homeStationID,homeStations,0)))</f>
        <v/>
      </c>
      <c r="F19" s="68"/>
      <c r="G19" s="87">
        <f t="shared" ca="1" si="22"/>
        <v>42739.041666666664</v>
      </c>
      <c r="H19" s="109"/>
      <c r="I19" s="110">
        <f t="shared" ca="1" si="23"/>
        <v>42739.083333333328</v>
      </c>
      <c r="J19" s="87"/>
      <c r="K19" s="87">
        <f t="shared" ca="1" si="24"/>
        <v>42739.124999999993</v>
      </c>
      <c r="L19" s="87"/>
      <c r="M19" s="87">
        <f t="shared" ca="1" si="25"/>
        <v>42739.166666666657</v>
      </c>
      <c r="N19" s="87"/>
      <c r="O19" s="87">
        <f t="shared" ca="1" si="26"/>
        <v>42739.208333333321</v>
      </c>
      <c r="P19" s="87"/>
      <c r="Q19" s="87">
        <f t="shared" ca="1" si="27"/>
        <v>42739.249999999985</v>
      </c>
      <c r="R19" s="87"/>
      <c r="S19" s="87">
        <f t="shared" ca="1" si="28"/>
        <v>42739.29166666665</v>
      </c>
      <c r="T19" s="87"/>
      <c r="U19" s="87">
        <f t="shared" ca="1" si="29"/>
        <v>42739.333333333314</v>
      </c>
      <c r="V19" s="87"/>
      <c r="W19" s="87">
        <f t="shared" ca="1" si="30"/>
        <v>42739.374999999978</v>
      </c>
      <c r="X19" s="87"/>
      <c r="Y19" s="87">
        <f t="shared" ca="1" si="31"/>
        <v>42739.416666666642</v>
      </c>
      <c r="Z19" s="87"/>
      <c r="AA19" s="87">
        <f t="shared" ca="1" si="32"/>
        <v>42739.458333333307</v>
      </c>
      <c r="AB19" s="87"/>
      <c r="AC19" s="87">
        <f t="shared" ca="1" si="33"/>
        <v>42739.499999999971</v>
      </c>
      <c r="AD19" s="87"/>
      <c r="AE19" s="87">
        <f t="shared" ca="1" si="34"/>
        <v>42739.541666666635</v>
      </c>
      <c r="AF19" s="87"/>
      <c r="AG19" s="87">
        <f t="shared" ca="1" si="35"/>
        <v>42739.583333333299</v>
      </c>
      <c r="AH19" s="87"/>
      <c r="AI19" s="87">
        <f t="shared" ca="1" si="36"/>
        <v>42739.624999999964</v>
      </c>
      <c r="AJ19" s="87"/>
      <c r="AK19" s="87">
        <f t="shared" ca="1" si="37"/>
        <v>42739.666666666628</v>
      </c>
      <c r="AL19" s="87"/>
      <c r="AM19" s="87">
        <f t="shared" ca="1" si="38"/>
        <v>42739.708333333292</v>
      </c>
      <c r="AN19" s="87"/>
      <c r="AO19" s="87">
        <f t="shared" ca="1" si="39"/>
        <v>42739.749999999956</v>
      </c>
      <c r="AP19" s="87"/>
      <c r="AQ19" s="87">
        <f t="shared" ca="1" si="40"/>
        <v>42739.791666666621</v>
      </c>
      <c r="AR19" s="87"/>
      <c r="AS19" s="87">
        <f t="shared" ca="1" si="41"/>
        <v>42739.833333333285</v>
      </c>
      <c r="AT19" s="87"/>
      <c r="AU19" s="87">
        <f t="shared" ca="1" si="42"/>
        <v>42739.874999999949</v>
      </c>
      <c r="AV19" s="87"/>
      <c r="AW19" s="87">
        <f t="shared" ca="1" si="43"/>
        <v>42739.916666666613</v>
      </c>
      <c r="AX19" s="87"/>
      <c r="AY19" s="87">
        <f t="shared" ca="1" si="44"/>
        <v>42739.958333333278</v>
      </c>
      <c r="AZ19" s="87"/>
      <c r="BA19" s="87">
        <f t="shared" ca="1" si="45"/>
        <v>42739.999999999942</v>
      </c>
      <c r="BB19" s="87"/>
      <c r="BC19" s="5"/>
      <c r="BE19" s="125" t="s">
        <v>5</v>
      </c>
      <c r="BF19" s="126"/>
      <c r="BG19" s="126"/>
      <c r="BH19" s="126"/>
      <c r="BI19" s="126"/>
      <c r="BJ19" s="126"/>
      <c r="BK19" s="126"/>
      <c r="BL19" s="126"/>
      <c r="BM19" s="126"/>
      <c r="BN19" s="126"/>
      <c r="BO19" s="126"/>
      <c r="BP19" s="126"/>
      <c r="BQ19" s="127"/>
    </row>
    <row r="20" spans="5:69" ht="12" customHeight="1" x14ac:dyDescent="0.25">
      <c r="E20" s="65" t="str">
        <f ca="1">IF(INDEX('Setup Data'!$A$3:$O$36,ROWS($E$7:E20),MATCH(homeStationID,homeStations,0))=0,"",INDEX('Setup Data'!$A$3:$O$36,ROWS($E$7:E20),MATCH(homeStationID,homeStations,0)))</f>
        <v/>
      </c>
      <c r="F20" s="68"/>
      <c r="G20" s="87">
        <f t="shared" ca="1" si="22"/>
        <v>42739.041666666664</v>
      </c>
      <c r="H20" s="109"/>
      <c r="I20" s="110">
        <f t="shared" ca="1" si="23"/>
        <v>42739.083333333328</v>
      </c>
      <c r="J20" s="87"/>
      <c r="K20" s="87">
        <f t="shared" ca="1" si="24"/>
        <v>42739.124999999993</v>
      </c>
      <c r="L20" s="87"/>
      <c r="M20" s="87">
        <f t="shared" ca="1" si="25"/>
        <v>42739.166666666657</v>
      </c>
      <c r="N20" s="87"/>
      <c r="O20" s="87">
        <f t="shared" ca="1" si="26"/>
        <v>42739.208333333321</v>
      </c>
      <c r="P20" s="87"/>
      <c r="Q20" s="87">
        <f t="shared" ca="1" si="27"/>
        <v>42739.249999999985</v>
      </c>
      <c r="R20" s="87"/>
      <c r="S20" s="87">
        <f t="shared" ca="1" si="28"/>
        <v>42739.29166666665</v>
      </c>
      <c r="T20" s="87"/>
      <c r="U20" s="87">
        <f t="shared" ca="1" si="29"/>
        <v>42739.333333333314</v>
      </c>
      <c r="V20" s="87"/>
      <c r="W20" s="87">
        <f t="shared" ca="1" si="30"/>
        <v>42739.374999999978</v>
      </c>
      <c r="X20" s="87"/>
      <c r="Y20" s="87">
        <f t="shared" ca="1" si="31"/>
        <v>42739.416666666642</v>
      </c>
      <c r="Z20" s="87"/>
      <c r="AA20" s="87">
        <f t="shared" ca="1" si="32"/>
        <v>42739.458333333307</v>
      </c>
      <c r="AB20" s="87"/>
      <c r="AC20" s="87">
        <f t="shared" ca="1" si="33"/>
        <v>42739.499999999971</v>
      </c>
      <c r="AD20" s="87"/>
      <c r="AE20" s="87">
        <f t="shared" ca="1" si="34"/>
        <v>42739.541666666635</v>
      </c>
      <c r="AF20" s="87"/>
      <c r="AG20" s="87">
        <f t="shared" ca="1" si="35"/>
        <v>42739.583333333299</v>
      </c>
      <c r="AH20" s="87"/>
      <c r="AI20" s="87">
        <f t="shared" ca="1" si="36"/>
        <v>42739.624999999964</v>
      </c>
      <c r="AJ20" s="87"/>
      <c r="AK20" s="87">
        <f t="shared" ca="1" si="37"/>
        <v>42739.666666666628</v>
      </c>
      <c r="AL20" s="87"/>
      <c r="AM20" s="87">
        <f t="shared" ca="1" si="38"/>
        <v>42739.708333333292</v>
      </c>
      <c r="AN20" s="87"/>
      <c r="AO20" s="87">
        <f t="shared" ca="1" si="39"/>
        <v>42739.749999999956</v>
      </c>
      <c r="AP20" s="87"/>
      <c r="AQ20" s="87">
        <f t="shared" ca="1" si="40"/>
        <v>42739.791666666621</v>
      </c>
      <c r="AR20" s="87"/>
      <c r="AS20" s="87">
        <f t="shared" ca="1" si="41"/>
        <v>42739.833333333285</v>
      </c>
      <c r="AT20" s="87"/>
      <c r="AU20" s="87">
        <f t="shared" ca="1" si="42"/>
        <v>42739.874999999949</v>
      </c>
      <c r="AV20" s="87"/>
      <c r="AW20" s="87">
        <f t="shared" ca="1" si="43"/>
        <v>42739.916666666613</v>
      </c>
      <c r="AX20" s="87"/>
      <c r="AY20" s="87">
        <f t="shared" ca="1" si="44"/>
        <v>42739.958333333278</v>
      </c>
      <c r="AZ20" s="87"/>
      <c r="BA20" s="87">
        <f t="shared" ca="1" si="45"/>
        <v>42739.999999999942</v>
      </c>
      <c r="BB20" s="87"/>
      <c r="BC20" s="5"/>
      <c r="BE20" s="123">
        <v>1000</v>
      </c>
      <c r="BF20" s="121"/>
      <c r="BG20" s="121"/>
      <c r="BH20" s="121"/>
      <c r="BI20" s="121"/>
      <c r="BJ20" s="121"/>
      <c r="BK20" s="121"/>
      <c r="BL20" s="121">
        <v>2</v>
      </c>
      <c r="BM20" s="121"/>
      <c r="BN20" s="121"/>
      <c r="BO20" s="121"/>
      <c r="BP20" s="121"/>
      <c r="BQ20" s="122"/>
    </row>
    <row r="21" spans="5:69" ht="12" customHeight="1" x14ac:dyDescent="0.25">
      <c r="E21" s="65" t="str">
        <f ca="1">IF(INDEX('Setup Data'!$A$3:$O$36,ROWS($E$7:E21),MATCH(homeStationID,homeStations,0))=0,"",INDEX('Setup Data'!$A$3:$O$36,ROWS($E$7:E21),MATCH(homeStationID,homeStations,0)))</f>
        <v/>
      </c>
      <c r="F21" s="68"/>
      <c r="G21" s="87">
        <f t="shared" ca="1" si="22"/>
        <v>42739.041666666664</v>
      </c>
      <c r="H21" s="109"/>
      <c r="I21" s="110">
        <f t="shared" ca="1" si="23"/>
        <v>42739.083333333328</v>
      </c>
      <c r="J21" s="87"/>
      <c r="K21" s="87">
        <f t="shared" ca="1" si="24"/>
        <v>42739.124999999993</v>
      </c>
      <c r="L21" s="87"/>
      <c r="M21" s="87">
        <f t="shared" ca="1" si="25"/>
        <v>42739.166666666657</v>
      </c>
      <c r="N21" s="87"/>
      <c r="O21" s="87">
        <f t="shared" ca="1" si="26"/>
        <v>42739.208333333321</v>
      </c>
      <c r="P21" s="87"/>
      <c r="Q21" s="87">
        <f t="shared" ca="1" si="27"/>
        <v>42739.249999999985</v>
      </c>
      <c r="R21" s="87"/>
      <c r="S21" s="87">
        <f t="shared" ca="1" si="28"/>
        <v>42739.29166666665</v>
      </c>
      <c r="T21" s="87"/>
      <c r="U21" s="87">
        <f t="shared" ca="1" si="29"/>
        <v>42739.333333333314</v>
      </c>
      <c r="V21" s="87"/>
      <c r="W21" s="87">
        <f t="shared" ca="1" si="30"/>
        <v>42739.374999999978</v>
      </c>
      <c r="X21" s="87"/>
      <c r="Y21" s="87">
        <f t="shared" ca="1" si="31"/>
        <v>42739.416666666642</v>
      </c>
      <c r="Z21" s="87"/>
      <c r="AA21" s="87">
        <f t="shared" ca="1" si="32"/>
        <v>42739.458333333307</v>
      </c>
      <c r="AB21" s="87"/>
      <c r="AC21" s="87">
        <f t="shared" ca="1" si="33"/>
        <v>42739.499999999971</v>
      </c>
      <c r="AD21" s="87"/>
      <c r="AE21" s="87">
        <f t="shared" ca="1" si="34"/>
        <v>42739.541666666635</v>
      </c>
      <c r="AF21" s="87"/>
      <c r="AG21" s="87">
        <f t="shared" ca="1" si="35"/>
        <v>42739.583333333299</v>
      </c>
      <c r="AH21" s="87"/>
      <c r="AI21" s="87">
        <f t="shared" ca="1" si="36"/>
        <v>42739.624999999964</v>
      </c>
      <c r="AJ21" s="87"/>
      <c r="AK21" s="87">
        <f t="shared" ca="1" si="37"/>
        <v>42739.666666666628</v>
      </c>
      <c r="AL21" s="87"/>
      <c r="AM21" s="87">
        <f t="shared" ca="1" si="38"/>
        <v>42739.708333333292</v>
      </c>
      <c r="AN21" s="87"/>
      <c r="AO21" s="87">
        <f t="shared" ca="1" si="39"/>
        <v>42739.749999999956</v>
      </c>
      <c r="AP21" s="87"/>
      <c r="AQ21" s="87">
        <f t="shared" ca="1" si="40"/>
        <v>42739.791666666621</v>
      </c>
      <c r="AR21" s="87"/>
      <c r="AS21" s="87">
        <f t="shared" ca="1" si="41"/>
        <v>42739.833333333285</v>
      </c>
      <c r="AT21" s="87"/>
      <c r="AU21" s="87">
        <f t="shared" ca="1" si="42"/>
        <v>42739.874999999949</v>
      </c>
      <c r="AV21" s="87"/>
      <c r="AW21" s="87">
        <f t="shared" ca="1" si="43"/>
        <v>42739.916666666613</v>
      </c>
      <c r="AX21" s="87"/>
      <c r="AY21" s="87">
        <f t="shared" ca="1" si="44"/>
        <v>42739.958333333278</v>
      </c>
      <c r="AZ21" s="87"/>
      <c r="BA21" s="87">
        <f t="shared" ca="1" si="45"/>
        <v>42739.999999999942</v>
      </c>
      <c r="BB21" s="87"/>
      <c r="BC21" s="5"/>
      <c r="BE21" s="128" t="s">
        <v>6</v>
      </c>
      <c r="BF21" s="129"/>
      <c r="BG21" s="129"/>
      <c r="BH21" s="129"/>
      <c r="BI21" s="129"/>
      <c r="BJ21" s="129"/>
      <c r="BK21" s="129"/>
      <c r="BL21" s="129"/>
      <c r="BM21" s="129"/>
      <c r="BN21" s="129"/>
      <c r="BO21" s="129"/>
      <c r="BP21" s="129"/>
      <c r="BQ21" s="130"/>
    </row>
    <row r="22" spans="5:69" ht="12" customHeight="1" thickBot="1" x14ac:dyDescent="0.3">
      <c r="E22" s="65" t="str">
        <f ca="1">IF(INDEX('Setup Data'!$A$3:$O$36,ROWS($E$7:E22),MATCH(homeStationID,homeStations,0))=0,"",INDEX('Setup Data'!$A$3:$O$36,ROWS($E$7:E22),MATCH(homeStationID,homeStations,0)))</f>
        <v/>
      </c>
      <c r="F22" s="68"/>
      <c r="G22" s="87">
        <f t="shared" ca="1" si="22"/>
        <v>42739.041666666664</v>
      </c>
      <c r="H22" s="109"/>
      <c r="I22" s="110">
        <f t="shared" ca="1" si="23"/>
        <v>42739.083333333328</v>
      </c>
      <c r="J22" s="87"/>
      <c r="K22" s="87">
        <f t="shared" ca="1" si="24"/>
        <v>42739.124999999993</v>
      </c>
      <c r="L22" s="87"/>
      <c r="M22" s="87">
        <f t="shared" ca="1" si="25"/>
        <v>42739.166666666657</v>
      </c>
      <c r="N22" s="87"/>
      <c r="O22" s="87">
        <f t="shared" ca="1" si="26"/>
        <v>42739.208333333321</v>
      </c>
      <c r="P22" s="87"/>
      <c r="Q22" s="87">
        <f t="shared" ca="1" si="27"/>
        <v>42739.249999999985</v>
      </c>
      <c r="R22" s="87"/>
      <c r="S22" s="87">
        <f t="shared" ca="1" si="28"/>
        <v>42739.29166666665</v>
      </c>
      <c r="T22" s="87"/>
      <c r="U22" s="87">
        <f t="shared" ca="1" si="29"/>
        <v>42739.333333333314</v>
      </c>
      <c r="V22" s="87"/>
      <c r="W22" s="87">
        <f t="shared" ca="1" si="30"/>
        <v>42739.374999999978</v>
      </c>
      <c r="X22" s="87"/>
      <c r="Y22" s="87">
        <f t="shared" ca="1" si="31"/>
        <v>42739.416666666642</v>
      </c>
      <c r="Z22" s="87"/>
      <c r="AA22" s="87">
        <f t="shared" ca="1" si="32"/>
        <v>42739.458333333307</v>
      </c>
      <c r="AB22" s="87"/>
      <c r="AC22" s="87">
        <f t="shared" ca="1" si="33"/>
        <v>42739.499999999971</v>
      </c>
      <c r="AD22" s="87"/>
      <c r="AE22" s="87">
        <f t="shared" ca="1" si="34"/>
        <v>42739.541666666635</v>
      </c>
      <c r="AF22" s="87"/>
      <c r="AG22" s="87">
        <f t="shared" ca="1" si="35"/>
        <v>42739.583333333299</v>
      </c>
      <c r="AH22" s="87"/>
      <c r="AI22" s="87">
        <f t="shared" ca="1" si="36"/>
        <v>42739.624999999964</v>
      </c>
      <c r="AJ22" s="87"/>
      <c r="AK22" s="87">
        <f t="shared" ca="1" si="37"/>
        <v>42739.666666666628</v>
      </c>
      <c r="AL22" s="87"/>
      <c r="AM22" s="87">
        <f t="shared" ca="1" si="38"/>
        <v>42739.708333333292</v>
      </c>
      <c r="AN22" s="87"/>
      <c r="AO22" s="87">
        <f t="shared" ca="1" si="39"/>
        <v>42739.749999999956</v>
      </c>
      <c r="AP22" s="87"/>
      <c r="AQ22" s="87">
        <f t="shared" ca="1" si="40"/>
        <v>42739.791666666621</v>
      </c>
      <c r="AR22" s="87"/>
      <c r="AS22" s="87">
        <f t="shared" ca="1" si="41"/>
        <v>42739.833333333285</v>
      </c>
      <c r="AT22" s="87"/>
      <c r="AU22" s="87">
        <f t="shared" ca="1" si="42"/>
        <v>42739.874999999949</v>
      </c>
      <c r="AV22" s="87"/>
      <c r="AW22" s="87">
        <f t="shared" ca="1" si="43"/>
        <v>42739.916666666613</v>
      </c>
      <c r="AX22" s="87"/>
      <c r="AY22" s="87">
        <f t="shared" ca="1" si="44"/>
        <v>42739.958333333278</v>
      </c>
      <c r="AZ22" s="87"/>
      <c r="BA22" s="111">
        <f t="shared" ca="1" si="45"/>
        <v>42739.999999999942</v>
      </c>
      <c r="BB22" s="87"/>
      <c r="BC22" s="5"/>
      <c r="BE22" s="131" t="s">
        <v>4</v>
      </c>
      <c r="BF22" s="132"/>
      <c r="BG22" s="132"/>
      <c r="BH22" s="132"/>
      <c r="BI22" s="132"/>
      <c r="BJ22" s="132"/>
      <c r="BK22" s="132"/>
      <c r="BL22" s="132"/>
      <c r="BM22" s="132"/>
      <c r="BN22" s="132"/>
      <c r="BO22" s="132"/>
      <c r="BP22" s="132"/>
      <c r="BQ22" s="133"/>
    </row>
    <row r="23" spans="5:69" ht="12" customHeight="1" x14ac:dyDescent="0.25">
      <c r="E23" s="65" t="str">
        <f ca="1">IF(INDEX('Setup Data'!$A$3:$O$36,ROWS($E$7:E23),MATCH(homeStationID,homeStations,0))=0,"",INDEX('Setup Data'!$A$3:$O$36,ROWS($E$7:E23),MATCH(homeStationID,homeStations,0)))</f>
        <v/>
      </c>
      <c r="F23" s="68"/>
      <c r="G23" s="87">
        <f t="shared" ca="1" si="22"/>
        <v>42739.041666666664</v>
      </c>
      <c r="H23" s="109"/>
      <c r="I23" s="110">
        <f t="shared" ca="1" si="23"/>
        <v>42739.083333333328</v>
      </c>
      <c r="J23" s="87"/>
      <c r="K23" s="87">
        <f t="shared" ca="1" si="24"/>
        <v>42739.124999999993</v>
      </c>
      <c r="L23" s="87"/>
      <c r="M23" s="87">
        <f t="shared" ca="1" si="25"/>
        <v>42739.166666666657</v>
      </c>
      <c r="N23" s="87"/>
      <c r="O23" s="87">
        <f t="shared" ca="1" si="26"/>
        <v>42739.208333333321</v>
      </c>
      <c r="P23" s="87"/>
      <c r="Q23" s="87">
        <f t="shared" ca="1" si="27"/>
        <v>42739.249999999985</v>
      </c>
      <c r="R23" s="87"/>
      <c r="S23" s="87">
        <f t="shared" ca="1" si="28"/>
        <v>42739.29166666665</v>
      </c>
      <c r="T23" s="87"/>
      <c r="U23" s="87">
        <f t="shared" ca="1" si="29"/>
        <v>42739.333333333314</v>
      </c>
      <c r="V23" s="87"/>
      <c r="W23" s="87">
        <f t="shared" ca="1" si="30"/>
        <v>42739.374999999978</v>
      </c>
      <c r="X23" s="87"/>
      <c r="Y23" s="87">
        <f t="shared" ca="1" si="31"/>
        <v>42739.416666666642</v>
      </c>
      <c r="Z23" s="87"/>
      <c r="AA23" s="87">
        <f t="shared" ca="1" si="32"/>
        <v>42739.458333333307</v>
      </c>
      <c r="AB23" s="87"/>
      <c r="AC23" s="87">
        <f t="shared" ca="1" si="33"/>
        <v>42739.499999999971</v>
      </c>
      <c r="AD23" s="87"/>
      <c r="AE23" s="87">
        <f t="shared" ca="1" si="34"/>
        <v>42739.541666666635</v>
      </c>
      <c r="AF23" s="87"/>
      <c r="AG23" s="87">
        <f t="shared" ca="1" si="35"/>
        <v>42739.583333333299</v>
      </c>
      <c r="AH23" s="87"/>
      <c r="AI23" s="87">
        <f t="shared" ca="1" si="36"/>
        <v>42739.624999999964</v>
      </c>
      <c r="AJ23" s="87"/>
      <c r="AK23" s="87">
        <f t="shared" ca="1" si="37"/>
        <v>42739.666666666628</v>
      </c>
      <c r="AL23" s="87"/>
      <c r="AM23" s="87">
        <f t="shared" ca="1" si="38"/>
        <v>42739.708333333292</v>
      </c>
      <c r="AN23" s="87"/>
      <c r="AO23" s="87">
        <f t="shared" ca="1" si="39"/>
        <v>42739.749999999956</v>
      </c>
      <c r="AP23" s="87"/>
      <c r="AQ23" s="87">
        <f t="shared" ca="1" si="40"/>
        <v>42739.791666666621</v>
      </c>
      <c r="AR23" s="87"/>
      <c r="AS23" s="87">
        <f t="shared" ca="1" si="41"/>
        <v>42739.833333333285</v>
      </c>
      <c r="AT23" s="87"/>
      <c r="AU23" s="87">
        <f t="shared" ca="1" si="42"/>
        <v>42739.874999999949</v>
      </c>
      <c r="AV23" s="87"/>
      <c r="AW23" s="87">
        <f t="shared" ca="1" si="43"/>
        <v>42739.916666666613</v>
      </c>
      <c r="AX23" s="87"/>
      <c r="AY23" s="87">
        <f t="shared" ca="1" si="44"/>
        <v>42739.958333333278</v>
      </c>
      <c r="AZ23" s="87"/>
      <c r="BA23" s="88">
        <f t="shared" ca="1" si="45"/>
        <v>42739.999999999942</v>
      </c>
      <c r="BB23" s="87"/>
      <c r="BC23" s="5"/>
    </row>
    <row r="24" spans="5:69" ht="12" customHeight="1" x14ac:dyDescent="0.25">
      <c r="E24" s="65" t="str">
        <f ca="1">IF(INDEX('Setup Data'!$A$3:$O$36,ROWS($E$7:E24),MATCH(homeStationID,homeStations,0))=0,"",INDEX('Setup Data'!$A$3:$O$36,ROWS($E$7:E24),MATCH(homeStationID,homeStations,0)))</f>
        <v/>
      </c>
      <c r="F24" s="68"/>
      <c r="G24" s="87">
        <f t="shared" ca="1" si="22"/>
        <v>42739.041666666664</v>
      </c>
      <c r="H24" s="109"/>
      <c r="I24" s="110">
        <f t="shared" ca="1" si="23"/>
        <v>42739.083333333328</v>
      </c>
      <c r="J24" s="87"/>
      <c r="K24" s="87">
        <f t="shared" ca="1" si="24"/>
        <v>42739.124999999993</v>
      </c>
      <c r="L24" s="87"/>
      <c r="M24" s="87">
        <f t="shared" ca="1" si="25"/>
        <v>42739.166666666657</v>
      </c>
      <c r="N24" s="87"/>
      <c r="O24" s="87">
        <f t="shared" ca="1" si="26"/>
        <v>42739.208333333321</v>
      </c>
      <c r="P24" s="87"/>
      <c r="Q24" s="87">
        <f t="shared" ca="1" si="27"/>
        <v>42739.249999999985</v>
      </c>
      <c r="R24" s="87"/>
      <c r="S24" s="87">
        <f t="shared" ca="1" si="28"/>
        <v>42739.29166666665</v>
      </c>
      <c r="T24" s="87"/>
      <c r="U24" s="87">
        <f t="shared" ca="1" si="29"/>
        <v>42739.333333333314</v>
      </c>
      <c r="V24" s="87"/>
      <c r="W24" s="87">
        <f t="shared" ca="1" si="30"/>
        <v>42739.374999999978</v>
      </c>
      <c r="X24" s="87"/>
      <c r="Y24" s="87">
        <f t="shared" ca="1" si="31"/>
        <v>42739.416666666642</v>
      </c>
      <c r="Z24" s="87"/>
      <c r="AA24" s="87">
        <f t="shared" ca="1" si="32"/>
        <v>42739.458333333307</v>
      </c>
      <c r="AB24" s="87"/>
      <c r="AC24" s="87">
        <f t="shared" ca="1" si="33"/>
        <v>42739.499999999971</v>
      </c>
      <c r="AD24" s="87"/>
      <c r="AE24" s="87">
        <f t="shared" ca="1" si="34"/>
        <v>42739.541666666635</v>
      </c>
      <c r="AF24" s="87"/>
      <c r="AG24" s="87">
        <f t="shared" ca="1" si="35"/>
        <v>42739.583333333299</v>
      </c>
      <c r="AH24" s="87"/>
      <c r="AI24" s="87">
        <f t="shared" ca="1" si="36"/>
        <v>42739.624999999964</v>
      </c>
      <c r="AJ24" s="87"/>
      <c r="AK24" s="87">
        <f t="shared" ca="1" si="37"/>
        <v>42739.666666666628</v>
      </c>
      <c r="AL24" s="87"/>
      <c r="AM24" s="87">
        <f t="shared" ca="1" si="38"/>
        <v>42739.708333333292</v>
      </c>
      <c r="AN24" s="87"/>
      <c r="AO24" s="87">
        <f t="shared" ca="1" si="39"/>
        <v>42739.749999999956</v>
      </c>
      <c r="AP24" s="87"/>
      <c r="AQ24" s="87">
        <f t="shared" ca="1" si="40"/>
        <v>42739.791666666621</v>
      </c>
      <c r="AR24" s="87"/>
      <c r="AS24" s="87">
        <f t="shared" ca="1" si="41"/>
        <v>42739.833333333285</v>
      </c>
      <c r="AT24" s="87"/>
      <c r="AU24" s="87">
        <f t="shared" ca="1" si="42"/>
        <v>42739.874999999949</v>
      </c>
      <c r="AV24" s="87"/>
      <c r="AW24" s="87">
        <f t="shared" ca="1" si="43"/>
        <v>42739.916666666613</v>
      </c>
      <c r="AX24" s="87"/>
      <c r="AY24" s="87">
        <f t="shared" ca="1" si="44"/>
        <v>42739.958333333278</v>
      </c>
      <c r="AZ24" s="87"/>
      <c r="BA24" s="87">
        <f t="shared" ca="1" si="45"/>
        <v>42739.999999999942</v>
      </c>
      <c r="BB24" s="87"/>
      <c r="BC24" s="5"/>
      <c r="BE24" s="70" t="s">
        <v>170</v>
      </c>
      <c r="BF24" s="70"/>
      <c r="BG24" s="70"/>
      <c r="BH24" s="70"/>
      <c r="BI24" s="70"/>
      <c r="BJ24" s="70"/>
      <c r="BK24" s="70"/>
      <c r="BL24" s="70"/>
      <c r="BM24" s="70"/>
      <c r="BN24" s="70"/>
      <c r="BO24" s="70"/>
      <c r="BP24" s="70"/>
      <c r="BQ24" s="70"/>
    </row>
    <row r="25" spans="5:69" ht="12" customHeight="1" x14ac:dyDescent="0.25">
      <c r="E25" s="65" t="str">
        <f ca="1">IF(INDEX('Setup Data'!$A$3:$O$36,ROWS($E$7:E25),MATCH(homeStationID,homeStations,0))=0,"",INDEX('Setup Data'!$A$3:$O$36,ROWS($E$7:E25),MATCH(homeStationID,homeStations,0)))</f>
        <v/>
      </c>
      <c r="F25" s="68"/>
      <c r="G25" s="87">
        <f t="shared" ca="1" si="22"/>
        <v>42739.041666666664</v>
      </c>
      <c r="H25" s="109"/>
      <c r="I25" s="110">
        <f t="shared" ca="1" si="23"/>
        <v>42739.083333333328</v>
      </c>
      <c r="J25" s="87"/>
      <c r="K25" s="87">
        <f t="shared" ca="1" si="24"/>
        <v>42739.124999999993</v>
      </c>
      <c r="L25" s="87"/>
      <c r="M25" s="87">
        <f t="shared" ca="1" si="25"/>
        <v>42739.166666666657</v>
      </c>
      <c r="N25" s="87"/>
      <c r="O25" s="87">
        <f t="shared" ca="1" si="26"/>
        <v>42739.208333333321</v>
      </c>
      <c r="P25" s="87"/>
      <c r="Q25" s="87">
        <f t="shared" ca="1" si="27"/>
        <v>42739.249999999985</v>
      </c>
      <c r="R25" s="87"/>
      <c r="S25" s="87">
        <f t="shared" ca="1" si="28"/>
        <v>42739.29166666665</v>
      </c>
      <c r="T25" s="87"/>
      <c r="U25" s="87">
        <f t="shared" ca="1" si="29"/>
        <v>42739.333333333314</v>
      </c>
      <c r="V25" s="87"/>
      <c r="W25" s="87">
        <f t="shared" ca="1" si="30"/>
        <v>42739.374999999978</v>
      </c>
      <c r="X25" s="87"/>
      <c r="Y25" s="87">
        <f t="shared" ca="1" si="31"/>
        <v>42739.416666666642</v>
      </c>
      <c r="Z25" s="87"/>
      <c r="AA25" s="87">
        <f t="shared" ca="1" si="32"/>
        <v>42739.458333333307</v>
      </c>
      <c r="AB25" s="87"/>
      <c r="AC25" s="87">
        <f t="shared" ca="1" si="33"/>
        <v>42739.499999999971</v>
      </c>
      <c r="AD25" s="87"/>
      <c r="AE25" s="87">
        <f t="shared" ca="1" si="34"/>
        <v>42739.541666666635</v>
      </c>
      <c r="AF25" s="87"/>
      <c r="AG25" s="87">
        <f t="shared" ca="1" si="35"/>
        <v>42739.583333333299</v>
      </c>
      <c r="AH25" s="87"/>
      <c r="AI25" s="87">
        <f t="shared" ca="1" si="36"/>
        <v>42739.624999999964</v>
      </c>
      <c r="AJ25" s="87"/>
      <c r="AK25" s="87">
        <f t="shared" ca="1" si="37"/>
        <v>42739.666666666628</v>
      </c>
      <c r="AL25" s="87"/>
      <c r="AM25" s="87">
        <f t="shared" ca="1" si="38"/>
        <v>42739.708333333292</v>
      </c>
      <c r="AN25" s="87"/>
      <c r="AO25" s="87">
        <f t="shared" ca="1" si="39"/>
        <v>42739.749999999956</v>
      </c>
      <c r="AP25" s="87"/>
      <c r="AQ25" s="87">
        <f t="shared" ca="1" si="40"/>
        <v>42739.791666666621</v>
      </c>
      <c r="AR25" s="87"/>
      <c r="AS25" s="87">
        <f t="shared" ca="1" si="41"/>
        <v>42739.833333333285</v>
      </c>
      <c r="AT25" s="87"/>
      <c r="AU25" s="87">
        <f t="shared" ca="1" si="42"/>
        <v>42739.874999999949</v>
      </c>
      <c r="AV25" s="87"/>
      <c r="AW25" s="87">
        <f t="shared" ca="1" si="43"/>
        <v>42739.916666666613</v>
      </c>
      <c r="AX25" s="87"/>
      <c r="AY25" s="87">
        <f t="shared" ca="1" si="44"/>
        <v>42739.958333333278</v>
      </c>
      <c r="AZ25" s="87"/>
      <c r="BA25" s="87">
        <f t="shared" ca="1" si="45"/>
        <v>42739.999999999942</v>
      </c>
      <c r="BB25" s="87"/>
      <c r="BC25" s="5"/>
      <c r="BE25" s="70"/>
      <c r="BF25" s="70"/>
      <c r="BG25" s="70"/>
      <c r="BH25" s="70"/>
      <c r="BI25" s="70"/>
      <c r="BJ25" s="70"/>
      <c r="BK25" s="70"/>
      <c r="BL25" s="70"/>
      <c r="BM25" s="70"/>
      <c r="BN25" s="70"/>
      <c r="BO25" s="70"/>
      <c r="BP25" s="70"/>
      <c r="BQ25" s="70"/>
    </row>
    <row r="26" spans="5:69" ht="12" customHeight="1" x14ac:dyDescent="0.25">
      <c r="E26" s="65" t="str">
        <f ca="1">IF(INDEX('Setup Data'!$A$3:$O$36,ROWS($E$7:E26),MATCH(homeStationID,homeStations,0))=0,"",INDEX('Setup Data'!$A$3:$O$36,ROWS($E$7:E26),MATCH(homeStationID,homeStations,0)))</f>
        <v/>
      </c>
      <c r="F26" s="68"/>
      <c r="G26" s="87">
        <f ca="1">G$27</f>
        <v>42739.041666666664</v>
      </c>
      <c r="H26" s="109"/>
      <c r="I26" s="110">
        <f t="shared" ca="1" si="23"/>
        <v>42739.083333333328</v>
      </c>
      <c r="J26" s="87"/>
      <c r="K26" s="87">
        <f ca="1">K$27</f>
        <v>42739.124999999993</v>
      </c>
      <c r="L26" s="87"/>
      <c r="M26" s="87">
        <f ca="1">M$27</f>
        <v>42739.166666666657</v>
      </c>
      <c r="N26" s="87"/>
      <c r="O26" s="87">
        <f ca="1">O$27</f>
        <v>42739.208333333321</v>
      </c>
      <c r="P26" s="87"/>
      <c r="Q26" s="87">
        <f ca="1">Q$27</f>
        <v>42739.249999999985</v>
      </c>
      <c r="R26" s="87"/>
      <c r="S26" s="87">
        <f ca="1">S$27</f>
        <v>42739.29166666665</v>
      </c>
      <c r="T26" s="87"/>
      <c r="U26" s="87">
        <f ca="1">U$27</f>
        <v>42739.333333333314</v>
      </c>
      <c r="V26" s="87"/>
      <c r="W26" s="87">
        <f ca="1">W$27</f>
        <v>42739.374999999978</v>
      </c>
      <c r="X26" s="87"/>
      <c r="Y26" s="87">
        <f ca="1">Y$27</f>
        <v>42739.416666666642</v>
      </c>
      <c r="Z26" s="87"/>
      <c r="AA26" s="87">
        <f ca="1">AA$27</f>
        <v>42739.458333333307</v>
      </c>
      <c r="AB26" s="87"/>
      <c r="AC26" s="87">
        <f ca="1">AC$27</f>
        <v>42739.499999999971</v>
      </c>
      <c r="AD26" s="87"/>
      <c r="AE26" s="87">
        <f ca="1">AE$27</f>
        <v>42739.541666666635</v>
      </c>
      <c r="AF26" s="87"/>
      <c r="AG26" s="87">
        <f ca="1">AG$27</f>
        <v>42739.583333333299</v>
      </c>
      <c r="AH26" s="87"/>
      <c r="AI26" s="87">
        <f ca="1">AI$27</f>
        <v>42739.624999999964</v>
      </c>
      <c r="AJ26" s="87"/>
      <c r="AK26" s="87">
        <f ca="1">AK$27</f>
        <v>42739.666666666628</v>
      </c>
      <c r="AL26" s="87"/>
      <c r="AM26" s="87">
        <f ca="1">AM$27</f>
        <v>42739.708333333292</v>
      </c>
      <c r="AN26" s="87"/>
      <c r="AO26" s="87">
        <f ca="1">AO$27</f>
        <v>42739.749999999956</v>
      </c>
      <c r="AP26" s="87"/>
      <c r="AQ26" s="87">
        <f ca="1">AQ$27</f>
        <v>42739.791666666621</v>
      </c>
      <c r="AR26" s="87"/>
      <c r="AS26" s="87">
        <f ca="1">AS$27</f>
        <v>42739.833333333285</v>
      </c>
      <c r="AT26" s="87"/>
      <c r="AU26" s="87">
        <f ca="1">AU$27</f>
        <v>42739.874999999949</v>
      </c>
      <c r="AV26" s="87"/>
      <c r="AW26" s="87">
        <f ca="1">AW$27</f>
        <v>42739.916666666613</v>
      </c>
      <c r="AX26" s="87"/>
      <c r="AY26" s="87">
        <f ca="1">AY$27</f>
        <v>42739.958333333278</v>
      </c>
      <c r="AZ26" s="87"/>
      <c r="BA26" s="87">
        <f ca="1">BA$27</f>
        <v>42739.999999999942</v>
      </c>
      <c r="BB26" s="87"/>
      <c r="BC26" s="5"/>
      <c r="BE26" s="70"/>
      <c r="BF26" s="70"/>
      <c r="BG26" s="70"/>
      <c r="BH26" s="70"/>
      <c r="BI26" s="70"/>
      <c r="BJ26" s="70"/>
      <c r="BK26" s="70"/>
      <c r="BL26" s="70"/>
      <c r="BM26" s="70"/>
      <c r="BN26" s="70"/>
      <c r="BO26" s="70"/>
      <c r="BP26" s="70"/>
      <c r="BQ26" s="70"/>
    </row>
    <row r="27" spans="5:69" ht="12" customHeight="1" x14ac:dyDescent="0.25">
      <c r="E27" s="5"/>
      <c r="F27" s="5"/>
      <c r="G27" s="107">
        <f ca="1">DATE(YEAR(TODAY()),MONTH(TODAY()),$C$5)+TIME(MOD(HOUR(NOW())-$C$4,24),0,0)</f>
        <v>42739.041666666664</v>
      </c>
      <c r="H27" s="108"/>
      <c r="I27" s="107">
        <f ca="1">G27+(1/24)</f>
        <v>42739.083333333328</v>
      </c>
      <c r="J27" s="108"/>
      <c r="K27" s="107">
        <f ca="1">I27+(1/24)</f>
        <v>42739.124999999993</v>
      </c>
      <c r="L27" s="108"/>
      <c r="M27" s="107">
        <f ca="1">K27+(1/24)</f>
        <v>42739.166666666657</v>
      </c>
      <c r="N27" s="108"/>
      <c r="O27" s="107">
        <f ca="1">M27+(1/24)</f>
        <v>42739.208333333321</v>
      </c>
      <c r="P27" s="108"/>
      <c r="Q27" s="107">
        <f ca="1">O27+(1/24)</f>
        <v>42739.249999999985</v>
      </c>
      <c r="R27" s="108"/>
      <c r="S27" s="107">
        <f ca="1">Q27+(1/24)</f>
        <v>42739.29166666665</v>
      </c>
      <c r="T27" s="108"/>
      <c r="U27" s="107">
        <f ca="1">S27+(1/24)</f>
        <v>42739.333333333314</v>
      </c>
      <c r="V27" s="108"/>
      <c r="W27" s="107">
        <f ca="1">U27+(1/24)</f>
        <v>42739.374999999978</v>
      </c>
      <c r="X27" s="108"/>
      <c r="Y27" s="107">
        <f ca="1">W27+(1/24)</f>
        <v>42739.416666666642</v>
      </c>
      <c r="Z27" s="108"/>
      <c r="AA27" s="107">
        <f ca="1">Y27+(1/24)</f>
        <v>42739.458333333307</v>
      </c>
      <c r="AB27" s="108"/>
      <c r="AC27" s="107">
        <f ca="1">AA27+(1/24)</f>
        <v>42739.499999999971</v>
      </c>
      <c r="AD27" s="108"/>
      <c r="AE27" s="107">
        <f ca="1">AC27+(1/24)</f>
        <v>42739.541666666635</v>
      </c>
      <c r="AF27" s="108"/>
      <c r="AG27" s="107">
        <f ca="1">AE27+(1/24)</f>
        <v>42739.583333333299</v>
      </c>
      <c r="AH27" s="108"/>
      <c r="AI27" s="107">
        <f ca="1">AG27+(1/24)</f>
        <v>42739.624999999964</v>
      </c>
      <c r="AJ27" s="108"/>
      <c r="AK27" s="107">
        <f ca="1">AI27+(1/24)</f>
        <v>42739.666666666628</v>
      </c>
      <c r="AL27" s="108"/>
      <c r="AM27" s="107">
        <f ca="1">AK27+(1/24)</f>
        <v>42739.708333333292</v>
      </c>
      <c r="AN27" s="108"/>
      <c r="AO27" s="107">
        <f ca="1">AM27+(1/24)</f>
        <v>42739.749999999956</v>
      </c>
      <c r="AP27" s="108"/>
      <c r="AQ27" s="107">
        <f ca="1">AO27+(1/24)</f>
        <v>42739.791666666621</v>
      </c>
      <c r="AR27" s="108"/>
      <c r="AS27" s="107">
        <f ca="1">AQ27+(1/24)</f>
        <v>42739.833333333285</v>
      </c>
      <c r="AT27" s="108"/>
      <c r="AU27" s="107">
        <f ca="1">AS27+(1/24)</f>
        <v>42739.874999999949</v>
      </c>
      <c r="AV27" s="108"/>
      <c r="AW27" s="107">
        <f ca="1">AU27+(1/24)</f>
        <v>42739.916666666613</v>
      </c>
      <c r="AX27" s="108"/>
      <c r="AY27" s="107">
        <f ca="1">AW27+(1/24)</f>
        <v>42739.958333333278</v>
      </c>
      <c r="AZ27" s="108"/>
      <c r="BA27" s="107">
        <f ca="1">AY27+(1/24)</f>
        <v>42739.999999999942</v>
      </c>
      <c r="BB27" s="108"/>
      <c r="BC27" s="5"/>
      <c r="BE27" s="70"/>
      <c r="BF27" s="70"/>
      <c r="BG27" s="70"/>
      <c r="BH27" s="70"/>
      <c r="BI27" s="70"/>
      <c r="BJ27" s="70"/>
      <c r="BK27" s="70"/>
      <c r="BL27" s="70"/>
      <c r="BM27" s="70"/>
      <c r="BN27" s="70"/>
      <c r="BO27" s="70"/>
      <c r="BP27" s="70"/>
      <c r="BQ27" s="70"/>
    </row>
    <row r="28" spans="5:69" ht="12" customHeight="1" x14ac:dyDescent="0.25"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89"/>
      <c r="AB28" s="89"/>
      <c r="AC28" s="89"/>
      <c r="AD28" s="89"/>
      <c r="AE28" s="89"/>
      <c r="AF28" s="89"/>
      <c r="AG28" s="89"/>
      <c r="AH28" s="89"/>
      <c r="AI28" s="89"/>
      <c r="AJ28" s="89"/>
      <c r="AK28" s="89"/>
      <c r="AL28" s="89"/>
      <c r="AM28" s="89"/>
      <c r="AN28" s="89"/>
      <c r="AO28" s="89"/>
      <c r="AP28" s="89"/>
      <c r="AQ28" s="89"/>
      <c r="AR28" s="89"/>
      <c r="AS28" s="89"/>
      <c r="AT28" s="89"/>
      <c r="AU28" s="89"/>
      <c r="AV28" s="89"/>
      <c r="AW28" s="89"/>
      <c r="AX28" s="89"/>
      <c r="AY28" s="89"/>
      <c r="AZ28" s="89"/>
      <c r="BA28" s="89"/>
      <c r="BB28" s="89"/>
      <c r="BE28" s="70"/>
      <c r="BF28" s="70"/>
      <c r="BG28" s="70"/>
      <c r="BH28" s="70"/>
      <c r="BI28" s="70"/>
      <c r="BJ28" s="70"/>
      <c r="BK28" s="70"/>
      <c r="BL28" s="70"/>
      <c r="BM28" s="70"/>
      <c r="BN28" s="70"/>
      <c r="BO28" s="70"/>
      <c r="BP28" s="70"/>
      <c r="BQ28" s="70"/>
    </row>
    <row r="29" spans="5:69" ht="12" customHeight="1" x14ac:dyDescent="0.25">
      <c r="E29" s="69" t="s">
        <v>109</v>
      </c>
      <c r="F29" s="69"/>
      <c r="G29" s="69"/>
      <c r="H29" s="69"/>
      <c r="I29" s="69"/>
      <c r="J29" s="69"/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69"/>
      <c r="X29" s="69"/>
      <c r="Y29" s="69"/>
      <c r="Z29" s="69"/>
      <c r="AA29" s="69"/>
      <c r="AB29" s="69"/>
      <c r="AC29" s="69"/>
      <c r="AD29" s="69"/>
      <c r="AE29" s="69"/>
      <c r="AF29" s="69"/>
      <c r="AG29" s="69"/>
      <c r="AH29" s="69"/>
      <c r="AI29" s="69"/>
      <c r="AJ29" s="69"/>
      <c r="AK29" s="69"/>
      <c r="AL29" s="69"/>
      <c r="AM29" s="69"/>
      <c r="AN29" s="69"/>
      <c r="AO29" s="69"/>
      <c r="AP29" s="69"/>
      <c r="AQ29" s="69"/>
      <c r="AR29" s="69"/>
      <c r="AS29" s="69"/>
      <c r="AT29" s="69"/>
      <c r="AU29" s="69"/>
      <c r="AV29" s="69"/>
      <c r="AW29" s="69"/>
      <c r="AX29" s="69"/>
      <c r="AY29" s="69"/>
      <c r="AZ29" s="69"/>
      <c r="BA29" s="69"/>
      <c r="BB29" s="69"/>
      <c r="BE29" s="70"/>
      <c r="BF29" s="70"/>
      <c r="BG29" s="70"/>
      <c r="BH29" s="70"/>
      <c r="BI29" s="70"/>
      <c r="BJ29" s="70"/>
      <c r="BK29" s="70"/>
      <c r="BL29" s="70"/>
      <c r="BM29" s="70"/>
      <c r="BN29" s="70"/>
      <c r="BO29" s="70"/>
      <c r="BP29" s="70"/>
      <c r="BQ29" s="70"/>
    </row>
    <row r="30" spans="5:69" ht="12" customHeight="1" x14ac:dyDescent="0.25">
      <c r="E30" s="69" t="s">
        <v>9</v>
      </c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/>
      <c r="Q30" s="69"/>
      <c r="R30" s="69"/>
      <c r="S30" s="69"/>
      <c r="T30" s="69"/>
      <c r="U30" s="69"/>
      <c r="V30" s="69"/>
      <c r="W30" s="69"/>
      <c r="X30" s="69"/>
      <c r="Y30" s="69"/>
      <c r="Z30" s="69"/>
      <c r="AA30" s="69"/>
      <c r="AB30" s="69"/>
      <c r="AC30" s="69"/>
      <c r="AD30" s="69"/>
      <c r="AE30" s="69"/>
      <c r="AF30" s="69"/>
      <c r="AG30" s="69"/>
      <c r="AH30" s="69"/>
      <c r="AI30" s="69"/>
      <c r="AJ30" s="69"/>
      <c r="AK30" s="69"/>
      <c r="AL30" s="69"/>
      <c r="AM30" s="69"/>
      <c r="AN30" s="69"/>
      <c r="AO30" s="69"/>
      <c r="AP30" s="69"/>
      <c r="AQ30" s="69"/>
      <c r="AR30" s="69"/>
      <c r="AS30" s="69"/>
      <c r="AT30" s="69"/>
      <c r="AU30" s="69"/>
      <c r="AV30" s="69"/>
      <c r="AW30" s="69"/>
      <c r="AX30" s="69"/>
      <c r="AY30" s="69"/>
      <c r="AZ30" s="69"/>
      <c r="BA30" s="69"/>
      <c r="BB30" s="69"/>
      <c r="BE30" s="70"/>
      <c r="BF30" s="70"/>
      <c r="BG30" s="70"/>
      <c r="BH30" s="70"/>
      <c r="BI30" s="70"/>
      <c r="BJ30" s="70"/>
      <c r="BK30" s="70"/>
      <c r="BL30" s="70"/>
      <c r="BM30" s="70"/>
      <c r="BN30" s="70"/>
      <c r="BO30" s="70"/>
      <c r="BP30" s="70"/>
      <c r="BQ30" s="70"/>
    </row>
    <row r="31" spans="5:69" x14ac:dyDescent="0.25">
      <c r="E31" s="69" t="s">
        <v>8</v>
      </c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69"/>
      <c r="AB31" s="69"/>
      <c r="AC31" s="69"/>
      <c r="AD31" s="69"/>
      <c r="AE31" s="69"/>
      <c r="AF31" s="69"/>
      <c r="AG31" s="69"/>
      <c r="AH31" s="69"/>
      <c r="AI31" s="69"/>
      <c r="AJ31" s="69"/>
      <c r="AK31" s="69"/>
      <c r="AL31" s="69"/>
      <c r="AM31" s="69"/>
      <c r="AN31" s="69"/>
      <c r="AO31" s="69"/>
      <c r="AP31" s="69"/>
      <c r="AQ31" s="69"/>
      <c r="AR31" s="69"/>
      <c r="AS31" s="69"/>
      <c r="AT31" s="69"/>
      <c r="AU31" s="69"/>
      <c r="AV31" s="69"/>
      <c r="AW31" s="69"/>
      <c r="AX31" s="69"/>
      <c r="AY31" s="69"/>
      <c r="AZ31" s="69"/>
      <c r="BA31" s="69"/>
      <c r="BB31" s="69"/>
      <c r="BE31" s="70"/>
      <c r="BF31" s="70"/>
      <c r="BG31" s="70"/>
      <c r="BH31" s="70"/>
      <c r="BI31" s="70"/>
      <c r="BJ31" s="70"/>
      <c r="BK31" s="70"/>
      <c r="BL31" s="70"/>
      <c r="BM31" s="70"/>
      <c r="BN31" s="70"/>
      <c r="BO31" s="70"/>
      <c r="BP31" s="70"/>
      <c r="BQ31" s="70"/>
    </row>
    <row r="32" spans="5:69" x14ac:dyDescent="0.25">
      <c r="E32" s="69" t="s">
        <v>110</v>
      </c>
      <c r="F32" s="69"/>
      <c r="G32" s="69"/>
      <c r="H32" s="69"/>
      <c r="I32" s="69"/>
      <c r="J32" s="69"/>
      <c r="K32" s="69"/>
      <c r="L32" s="69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  <c r="AA32" s="69"/>
      <c r="AB32" s="69"/>
      <c r="AC32" s="69"/>
      <c r="AD32" s="69"/>
      <c r="AE32" s="69"/>
      <c r="AF32" s="69"/>
      <c r="AG32" s="69"/>
      <c r="AH32" s="69"/>
      <c r="AI32" s="69"/>
      <c r="AJ32" s="69"/>
      <c r="AK32" s="69"/>
      <c r="AL32" s="69"/>
      <c r="AM32" s="69"/>
      <c r="AN32" s="69"/>
      <c r="AO32" s="69"/>
      <c r="AP32" s="69"/>
      <c r="AQ32" s="69"/>
      <c r="AR32" s="69"/>
      <c r="AS32" s="69"/>
      <c r="AT32" s="69"/>
      <c r="AU32" s="69"/>
      <c r="AV32" s="69"/>
      <c r="AW32" s="69"/>
      <c r="AX32" s="69"/>
      <c r="AY32" s="69"/>
      <c r="AZ32" s="69"/>
      <c r="BA32" s="69"/>
      <c r="BB32" s="69"/>
      <c r="BE32" s="70"/>
      <c r="BF32" s="70"/>
      <c r="BG32" s="70"/>
      <c r="BH32" s="70"/>
      <c r="BI32" s="70"/>
      <c r="BJ32" s="70"/>
      <c r="BK32" s="70"/>
      <c r="BL32" s="70"/>
      <c r="BM32" s="70"/>
      <c r="BN32" s="70"/>
      <c r="BO32" s="70"/>
      <c r="BP32" s="70"/>
      <c r="BQ32" s="70"/>
    </row>
    <row r="33" spans="5:69" x14ac:dyDescent="0.25">
      <c r="E33" s="69" t="s">
        <v>111</v>
      </c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E33" s="70"/>
      <c r="BF33" s="70"/>
      <c r="BG33" s="70"/>
      <c r="BH33" s="70"/>
      <c r="BI33" s="70"/>
      <c r="BJ33" s="70"/>
      <c r="BK33" s="70"/>
      <c r="BL33" s="70"/>
      <c r="BM33" s="70"/>
      <c r="BN33" s="70"/>
      <c r="BO33" s="70"/>
      <c r="BP33" s="70"/>
      <c r="BQ33" s="70"/>
    </row>
    <row r="34" spans="5:69" x14ac:dyDescent="0.25">
      <c r="E34" s="69" t="s">
        <v>11</v>
      </c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  <c r="AC34" s="69"/>
      <c r="AD34" s="69"/>
      <c r="AE34" s="69"/>
      <c r="AF34" s="69"/>
      <c r="AG34" s="69"/>
      <c r="AH34" s="69"/>
      <c r="AI34" s="69"/>
      <c r="AJ34" s="69"/>
      <c r="AK34" s="69"/>
      <c r="AL34" s="69"/>
      <c r="AM34" s="69"/>
      <c r="AN34" s="69"/>
      <c r="AO34" s="69"/>
      <c r="AP34" s="69"/>
      <c r="AQ34" s="69"/>
      <c r="AR34" s="69"/>
      <c r="AS34" s="69"/>
      <c r="AT34" s="69"/>
      <c r="AU34" s="69"/>
      <c r="AV34" s="69"/>
      <c r="AW34" s="69"/>
      <c r="AX34" s="69"/>
      <c r="AY34" s="69"/>
      <c r="AZ34" s="69"/>
      <c r="BA34" s="69"/>
      <c r="BB34" s="69"/>
    </row>
    <row r="35" spans="5:69" x14ac:dyDescent="0.25"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1"/>
      <c r="AL35" s="71"/>
      <c r="AM35" s="71"/>
      <c r="AN35" s="71"/>
      <c r="AO35" s="71"/>
      <c r="AP35" s="71"/>
      <c r="AQ35" s="71"/>
      <c r="AR35" s="71"/>
      <c r="AS35" s="71"/>
      <c r="AT35" s="71"/>
      <c r="AU35" s="71"/>
      <c r="AV35" s="71"/>
      <c r="AW35" s="71"/>
      <c r="AX35" s="71"/>
      <c r="AY35" s="71"/>
      <c r="AZ35" s="71"/>
      <c r="BA35" s="71"/>
      <c r="BB35" s="71"/>
    </row>
    <row r="36" spans="5:69" x14ac:dyDescent="0.25"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2"/>
      <c r="AF36" s="72"/>
      <c r="AG36" s="72"/>
      <c r="AH36" s="72"/>
      <c r="AI36" s="72"/>
      <c r="AJ36" s="72"/>
      <c r="AK36" s="72"/>
      <c r="AL36" s="72"/>
      <c r="AM36" s="72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</row>
  </sheetData>
  <sheetProtection sheet="1" objects="1" scenarios="1"/>
  <protectedRanges>
    <protectedRange sqref="E5" name="homeStationID"/>
    <protectedRange sqref="BL10 BL13 BL20 BE10:BG10 BQ10 BE13:BG13 BQ13 BE20:BG20 BQ20" name="Custom Mins"/>
    <protectedRange sqref="C4:D4" name="zuluOffset"/>
  </protectedRanges>
  <mergeCells count="683">
    <mergeCell ref="E29:BB29"/>
    <mergeCell ref="E30:BB30"/>
    <mergeCell ref="E31:BB31"/>
    <mergeCell ref="E32:BB32"/>
    <mergeCell ref="E34:BB34"/>
    <mergeCell ref="BE12:BQ12"/>
    <mergeCell ref="BE19:BQ19"/>
    <mergeCell ref="BE21:BQ21"/>
    <mergeCell ref="BE22:BQ22"/>
    <mergeCell ref="AE13:AF13"/>
    <mergeCell ref="AG13:AH13"/>
    <mergeCell ref="W13:X13"/>
    <mergeCell ref="Y13:Z13"/>
    <mergeCell ref="AA16:AB16"/>
    <mergeCell ref="AC16:AD16"/>
    <mergeCell ref="AE16:AF16"/>
    <mergeCell ref="AG16:AH16"/>
    <mergeCell ref="W16:X16"/>
    <mergeCell ref="Y16:Z16"/>
    <mergeCell ref="AG14:AH14"/>
    <mergeCell ref="AA15:AB15"/>
    <mergeCell ref="BA27:BB27"/>
    <mergeCell ref="AM27:AN27"/>
    <mergeCell ref="AO27:AP27"/>
    <mergeCell ref="AK11:AL11"/>
    <mergeCell ref="AM11:AN11"/>
    <mergeCell ref="AO11:AP11"/>
    <mergeCell ref="AK10:AL10"/>
    <mergeCell ref="AM10:AN10"/>
    <mergeCell ref="AO10:AP10"/>
    <mergeCell ref="AQ10:AR10"/>
    <mergeCell ref="BL20:BQ20"/>
    <mergeCell ref="BE20:BK20"/>
    <mergeCell ref="BA10:BB10"/>
    <mergeCell ref="BA11:BB11"/>
    <mergeCell ref="AK12:AL12"/>
    <mergeCell ref="AM12:AN12"/>
    <mergeCell ref="AO12:AP12"/>
    <mergeCell ref="BA12:BB12"/>
    <mergeCell ref="AK13:AL13"/>
    <mergeCell ref="AM13:AN13"/>
    <mergeCell ref="AO13:AP13"/>
    <mergeCell ref="AS13:AT13"/>
    <mergeCell ref="AU13:AV13"/>
    <mergeCell ref="AW13:AX13"/>
    <mergeCell ref="AY13:AZ13"/>
    <mergeCell ref="BA13:BB13"/>
    <mergeCell ref="AK14:AL14"/>
    <mergeCell ref="BA8:BB8"/>
    <mergeCell ref="AS9:AT9"/>
    <mergeCell ref="AU9:AV9"/>
    <mergeCell ref="AW9:AX9"/>
    <mergeCell ref="AY9:AZ9"/>
    <mergeCell ref="BA9:BB9"/>
    <mergeCell ref="AO8:AP8"/>
    <mergeCell ref="AQ8:AR8"/>
    <mergeCell ref="AK9:AL9"/>
    <mergeCell ref="AM9:AN9"/>
    <mergeCell ref="AO9:AP9"/>
    <mergeCell ref="AQ9:AR9"/>
    <mergeCell ref="AQ27:AR27"/>
    <mergeCell ref="AS27:AT27"/>
    <mergeCell ref="AU27:AV27"/>
    <mergeCell ref="AW27:AX27"/>
    <mergeCell ref="AY27:AZ27"/>
    <mergeCell ref="AS8:AT8"/>
    <mergeCell ref="AU8:AV8"/>
    <mergeCell ref="AW8:AX8"/>
    <mergeCell ref="AY8:AZ8"/>
    <mergeCell ref="AS10:AT10"/>
    <mergeCell ref="AU10:AV10"/>
    <mergeCell ref="AW10:AX10"/>
    <mergeCell ref="AY10:AZ10"/>
    <mergeCell ref="AQ11:AR11"/>
    <mergeCell ref="AS11:AT11"/>
    <mergeCell ref="AU11:AV11"/>
    <mergeCell ref="AW11:AX11"/>
    <mergeCell ref="AY11:AZ11"/>
    <mergeCell ref="AQ12:AR12"/>
    <mergeCell ref="AS12:AT12"/>
    <mergeCell ref="AU12:AV12"/>
    <mergeCell ref="AW12:AX12"/>
    <mergeCell ref="AY12:AZ12"/>
    <mergeCell ref="AQ13:AR13"/>
    <mergeCell ref="AA13:AB13"/>
    <mergeCell ref="AC13:AD13"/>
    <mergeCell ref="AI6:AJ6"/>
    <mergeCell ref="AI7:AJ7"/>
    <mergeCell ref="AI12:AJ12"/>
    <mergeCell ref="AI16:AJ16"/>
    <mergeCell ref="AI18:AJ18"/>
    <mergeCell ref="AK6:AL6"/>
    <mergeCell ref="AM6:AN6"/>
    <mergeCell ref="AI13:AJ13"/>
    <mergeCell ref="AI14:AJ14"/>
    <mergeCell ref="AI15:AJ15"/>
    <mergeCell ref="AI17:AJ17"/>
    <mergeCell ref="AK8:AL8"/>
    <mergeCell ref="AM8:AN8"/>
    <mergeCell ref="AE8:AF8"/>
    <mergeCell ref="AG8:AH8"/>
    <mergeCell ref="AI8:AJ8"/>
    <mergeCell ref="AC8:AD8"/>
    <mergeCell ref="AI11:AJ11"/>
    <mergeCell ref="AI9:AJ9"/>
    <mergeCell ref="AC9:AD9"/>
    <mergeCell ref="AE9:AF9"/>
    <mergeCell ref="AG9:AH9"/>
    <mergeCell ref="W8:X8"/>
    <mergeCell ref="Y8:Z8"/>
    <mergeCell ref="AA8:AB8"/>
    <mergeCell ref="AG11:AH11"/>
    <mergeCell ref="AG12:AH12"/>
    <mergeCell ref="Q27:R27"/>
    <mergeCell ref="S27:T27"/>
    <mergeCell ref="U27:V27"/>
    <mergeCell ref="W27:X27"/>
    <mergeCell ref="Y27:Z27"/>
    <mergeCell ref="AA27:AB27"/>
    <mergeCell ref="AC27:AD27"/>
    <mergeCell ref="AE27:AF27"/>
    <mergeCell ref="AG27:AH27"/>
    <mergeCell ref="W9:X9"/>
    <mergeCell ref="Y9:Z9"/>
    <mergeCell ref="Y11:Z11"/>
    <mergeCell ref="AA11:AB11"/>
    <mergeCell ref="AC11:AD11"/>
    <mergeCell ref="AE11:AF11"/>
    <mergeCell ref="AA10:AB10"/>
    <mergeCell ref="AC10:AD10"/>
    <mergeCell ref="AE10:AF10"/>
    <mergeCell ref="AA9:AB9"/>
    <mergeCell ref="G3:H3"/>
    <mergeCell ref="I3:J3"/>
    <mergeCell ref="K3:L3"/>
    <mergeCell ref="M3:N3"/>
    <mergeCell ref="O3:P3"/>
    <mergeCell ref="G27:H27"/>
    <mergeCell ref="I27:J27"/>
    <mergeCell ref="K27:L27"/>
    <mergeCell ref="M27:N27"/>
    <mergeCell ref="O27:P27"/>
    <mergeCell ref="G5:H5"/>
    <mergeCell ref="G6:H6"/>
    <mergeCell ref="G7:H7"/>
    <mergeCell ref="G8:H8"/>
    <mergeCell ref="K5:L5"/>
    <mergeCell ref="M5:N5"/>
    <mergeCell ref="O5:P5"/>
    <mergeCell ref="G16:H16"/>
    <mergeCell ref="G17:H17"/>
    <mergeCell ref="G18:H18"/>
    <mergeCell ref="G19:H19"/>
    <mergeCell ref="I9:J9"/>
    <mergeCell ref="K9:L9"/>
    <mergeCell ref="M9:N9"/>
    <mergeCell ref="AC3:AD3"/>
    <mergeCell ref="AE3:AF3"/>
    <mergeCell ref="AG3:AH3"/>
    <mergeCell ref="AI3:AJ3"/>
    <mergeCell ref="I4:J4"/>
    <mergeCell ref="K4:L4"/>
    <mergeCell ref="M4:N4"/>
    <mergeCell ref="O4:P4"/>
    <mergeCell ref="Q4:R4"/>
    <mergeCell ref="S4:T4"/>
    <mergeCell ref="Q3:R3"/>
    <mergeCell ref="S3:T3"/>
    <mergeCell ref="U3:V3"/>
    <mergeCell ref="W3:X3"/>
    <mergeCell ref="Y3:Z3"/>
    <mergeCell ref="AA3:AB3"/>
    <mergeCell ref="AG4:AH4"/>
    <mergeCell ref="AI4:AJ4"/>
    <mergeCell ref="U4:V4"/>
    <mergeCell ref="W4:X4"/>
    <mergeCell ref="Y4:Z4"/>
    <mergeCell ref="AA4:AB4"/>
    <mergeCell ref="AC4:AD4"/>
    <mergeCell ref="AE4:AF4"/>
    <mergeCell ref="G4:H4"/>
    <mergeCell ref="G15:H15"/>
    <mergeCell ref="I5:J5"/>
    <mergeCell ref="G9:H9"/>
    <mergeCell ref="G10:H10"/>
    <mergeCell ref="G11:H11"/>
    <mergeCell ref="G12:H12"/>
    <mergeCell ref="G13:H13"/>
    <mergeCell ref="G14:H14"/>
    <mergeCell ref="I10:J10"/>
    <mergeCell ref="I12:J12"/>
    <mergeCell ref="I14:J14"/>
    <mergeCell ref="I7:J7"/>
    <mergeCell ref="I6:J6"/>
    <mergeCell ref="I13:J13"/>
    <mergeCell ref="I15:J15"/>
    <mergeCell ref="AG5:AH5"/>
    <mergeCell ref="AA7:AB7"/>
    <mergeCell ref="AC7:AD7"/>
    <mergeCell ref="AE7:AF7"/>
    <mergeCell ref="AG7:AH7"/>
    <mergeCell ref="W5:X5"/>
    <mergeCell ref="Y5:Z5"/>
    <mergeCell ref="AA5:AB5"/>
    <mergeCell ref="AC5:AD5"/>
    <mergeCell ref="W6:X6"/>
    <mergeCell ref="Y6:Z6"/>
    <mergeCell ref="AA6:AB6"/>
    <mergeCell ref="AC6:AD6"/>
    <mergeCell ref="AE6:AF6"/>
    <mergeCell ref="AG6:AH6"/>
    <mergeCell ref="AE5:AF5"/>
    <mergeCell ref="W7:X7"/>
    <mergeCell ref="Y7:Z7"/>
    <mergeCell ref="S5:T5"/>
    <mergeCell ref="U5:V5"/>
    <mergeCell ref="I8:J8"/>
    <mergeCell ref="K8:L8"/>
    <mergeCell ref="M8:N8"/>
    <mergeCell ref="O8:P8"/>
    <mergeCell ref="Q8:R8"/>
    <mergeCell ref="K7:L7"/>
    <mergeCell ref="M7:N7"/>
    <mergeCell ref="O7:P7"/>
    <mergeCell ref="Q7:R7"/>
    <mergeCell ref="S7:T7"/>
    <mergeCell ref="U7:V7"/>
    <mergeCell ref="Q5:R5"/>
    <mergeCell ref="K6:L6"/>
    <mergeCell ref="U8:V8"/>
    <mergeCell ref="M6:N6"/>
    <mergeCell ref="O6:P6"/>
    <mergeCell ref="Q6:R6"/>
    <mergeCell ref="S6:T6"/>
    <mergeCell ref="U6:V6"/>
    <mergeCell ref="AG10:AH10"/>
    <mergeCell ref="AI10:AJ10"/>
    <mergeCell ref="W10:X10"/>
    <mergeCell ref="Y10:Z10"/>
    <mergeCell ref="W11:X11"/>
    <mergeCell ref="AA12:AB12"/>
    <mergeCell ref="Q12:R12"/>
    <mergeCell ref="S12:T12"/>
    <mergeCell ref="U12:V12"/>
    <mergeCell ref="W12:X12"/>
    <mergeCell ref="Y12:Z12"/>
    <mergeCell ref="AC12:AD12"/>
    <mergeCell ref="AE12:AF12"/>
    <mergeCell ref="U14:V14"/>
    <mergeCell ref="AE14:AF14"/>
    <mergeCell ref="W14:X14"/>
    <mergeCell ref="Y14:Z14"/>
    <mergeCell ref="AA14:AB14"/>
    <mergeCell ref="AC14:AD14"/>
    <mergeCell ref="W15:X15"/>
    <mergeCell ref="Y15:Z15"/>
    <mergeCell ref="AE15:AF15"/>
    <mergeCell ref="AC15:AD15"/>
    <mergeCell ref="AG15:AH15"/>
    <mergeCell ref="I18:J18"/>
    <mergeCell ref="K18:L18"/>
    <mergeCell ref="M18:N18"/>
    <mergeCell ref="O18:P18"/>
    <mergeCell ref="Q18:R18"/>
    <mergeCell ref="S18:T18"/>
    <mergeCell ref="U18:V18"/>
    <mergeCell ref="S17:T17"/>
    <mergeCell ref="U17:V17"/>
    <mergeCell ref="I17:J17"/>
    <mergeCell ref="K17:L17"/>
    <mergeCell ref="M17:N17"/>
    <mergeCell ref="O17:P17"/>
    <mergeCell ref="Q17:R17"/>
    <mergeCell ref="I16:J16"/>
    <mergeCell ref="K16:L16"/>
    <mergeCell ref="M16:N16"/>
    <mergeCell ref="O16:P16"/>
    <mergeCell ref="Q16:R16"/>
    <mergeCell ref="S16:T16"/>
    <mergeCell ref="U16:V16"/>
    <mergeCell ref="K15:L15"/>
    <mergeCell ref="M15:N15"/>
    <mergeCell ref="G2:H2"/>
    <mergeCell ref="I2:J2"/>
    <mergeCell ref="K2:L2"/>
    <mergeCell ref="M2:N2"/>
    <mergeCell ref="O2:P2"/>
    <mergeCell ref="K14:L14"/>
    <mergeCell ref="M14:N14"/>
    <mergeCell ref="O14:P14"/>
    <mergeCell ref="Q14:R14"/>
    <mergeCell ref="O9:P9"/>
    <mergeCell ref="Q9:R9"/>
    <mergeCell ref="K12:L12"/>
    <mergeCell ref="M12:N12"/>
    <mergeCell ref="O12:P12"/>
    <mergeCell ref="K13:L13"/>
    <mergeCell ref="M13:N13"/>
    <mergeCell ref="O13:P13"/>
    <mergeCell ref="Q13:R13"/>
    <mergeCell ref="K10:L10"/>
    <mergeCell ref="M10:N10"/>
    <mergeCell ref="O10:P10"/>
    <mergeCell ref="Q10:R10"/>
    <mergeCell ref="K11:L11"/>
    <mergeCell ref="M11:N11"/>
    <mergeCell ref="S9:T9"/>
    <mergeCell ref="I11:J11"/>
    <mergeCell ref="U9:V9"/>
    <mergeCell ref="S8:T8"/>
    <mergeCell ref="I19:J19"/>
    <mergeCell ref="K19:L19"/>
    <mergeCell ref="M19:N19"/>
    <mergeCell ref="O19:P19"/>
    <mergeCell ref="Q19:R19"/>
    <mergeCell ref="S19:T19"/>
    <mergeCell ref="U19:V19"/>
    <mergeCell ref="S13:T13"/>
    <mergeCell ref="U13:V13"/>
    <mergeCell ref="S10:T10"/>
    <mergeCell ref="U10:V10"/>
    <mergeCell ref="O11:P11"/>
    <mergeCell ref="Q11:R11"/>
    <mergeCell ref="S11:T11"/>
    <mergeCell ref="U11:V11"/>
    <mergeCell ref="O15:P15"/>
    <mergeCell ref="Q15:R15"/>
    <mergeCell ref="S15:T15"/>
    <mergeCell ref="U15:V15"/>
    <mergeCell ref="S14:T14"/>
    <mergeCell ref="W19:X19"/>
    <mergeCell ref="Y19:Z19"/>
    <mergeCell ref="W18:X18"/>
    <mergeCell ref="Y18:Z18"/>
    <mergeCell ref="AA18:AB18"/>
    <mergeCell ref="AC18:AD18"/>
    <mergeCell ref="AE18:AF18"/>
    <mergeCell ref="AG18:AH18"/>
    <mergeCell ref="AE17:AF17"/>
    <mergeCell ref="AG17:AH17"/>
    <mergeCell ref="W17:X17"/>
    <mergeCell ref="Y17:Z17"/>
    <mergeCell ref="AA17:AB17"/>
    <mergeCell ref="AC17:AD17"/>
    <mergeCell ref="AA19:AB19"/>
    <mergeCell ref="AC19:AD19"/>
    <mergeCell ref="AE19:AF19"/>
    <mergeCell ref="AG19:AH19"/>
    <mergeCell ref="AC2:AD2"/>
    <mergeCell ref="AE2:AF2"/>
    <mergeCell ref="AG2:AH2"/>
    <mergeCell ref="AI2:AJ2"/>
    <mergeCell ref="AK2:AL2"/>
    <mergeCell ref="AM2:AN2"/>
    <mergeCell ref="Q2:R2"/>
    <mergeCell ref="S2:T2"/>
    <mergeCell ref="U2:V2"/>
    <mergeCell ref="W2:X2"/>
    <mergeCell ref="Y2:Z2"/>
    <mergeCell ref="AA2:AB2"/>
    <mergeCell ref="AI5:AJ5"/>
    <mergeCell ref="BA2:BB2"/>
    <mergeCell ref="BC2:BD2"/>
    <mergeCell ref="AK3:AL3"/>
    <mergeCell ref="AM3:AN3"/>
    <mergeCell ref="AO3:AP3"/>
    <mergeCell ref="AQ3:AR3"/>
    <mergeCell ref="AS3:AT3"/>
    <mergeCell ref="AU3:AV3"/>
    <mergeCell ref="AW3:AX3"/>
    <mergeCell ref="AY3:AZ3"/>
    <mergeCell ref="AO2:AP2"/>
    <mergeCell ref="AQ2:AR2"/>
    <mergeCell ref="AS2:AT2"/>
    <mergeCell ref="AU2:AV2"/>
    <mergeCell ref="AW2:AX2"/>
    <mergeCell ref="AY2:AZ2"/>
    <mergeCell ref="BA3:BB3"/>
    <mergeCell ref="BC3:BD3"/>
    <mergeCell ref="BC4:BD4"/>
    <mergeCell ref="AK5:AL5"/>
    <mergeCell ref="AM5:AN5"/>
    <mergeCell ref="AO5:AP5"/>
    <mergeCell ref="AQ5:AR5"/>
    <mergeCell ref="AS5:AT5"/>
    <mergeCell ref="AU5:AV5"/>
    <mergeCell ref="AW5:AX5"/>
    <mergeCell ref="AY5:AZ5"/>
    <mergeCell ref="BA5:BB5"/>
    <mergeCell ref="AK4:AL4"/>
    <mergeCell ref="AM4:AN4"/>
    <mergeCell ref="AO4:AP4"/>
    <mergeCell ref="AQ4:AR4"/>
    <mergeCell ref="AS4:AT4"/>
    <mergeCell ref="AU4:AV4"/>
    <mergeCell ref="AW4:AX4"/>
    <mergeCell ref="AY4:AZ4"/>
    <mergeCell ref="BA4:BB4"/>
    <mergeCell ref="BA6:BB6"/>
    <mergeCell ref="AK7:AL7"/>
    <mergeCell ref="AM7:AN7"/>
    <mergeCell ref="AO7:AP7"/>
    <mergeCell ref="AQ7:AR7"/>
    <mergeCell ref="AS7:AT7"/>
    <mergeCell ref="AU7:AV7"/>
    <mergeCell ref="AW7:AX7"/>
    <mergeCell ref="AY7:AZ7"/>
    <mergeCell ref="BA7:BB7"/>
    <mergeCell ref="AS6:AT6"/>
    <mergeCell ref="AU6:AV6"/>
    <mergeCell ref="AW6:AX6"/>
    <mergeCell ref="AY6:AZ6"/>
    <mergeCell ref="AO6:AP6"/>
    <mergeCell ref="AQ6:AR6"/>
    <mergeCell ref="AM14:AN14"/>
    <mergeCell ref="AO14:AP14"/>
    <mergeCell ref="AQ14:AR14"/>
    <mergeCell ref="AS14:AT14"/>
    <mergeCell ref="AU14:AV14"/>
    <mergeCell ref="AW14:AX14"/>
    <mergeCell ref="AY14:AZ14"/>
    <mergeCell ref="BA14:BB14"/>
    <mergeCell ref="AK15:AL15"/>
    <mergeCell ref="AM15:AN15"/>
    <mergeCell ref="AO15:AP15"/>
    <mergeCell ref="AQ15:AR15"/>
    <mergeCell ref="AS15:AT15"/>
    <mergeCell ref="AU15:AV15"/>
    <mergeCell ref="AW15:AX15"/>
    <mergeCell ref="AY15:AZ15"/>
    <mergeCell ref="BA15:BB15"/>
    <mergeCell ref="AK16:AL16"/>
    <mergeCell ref="AM16:AN16"/>
    <mergeCell ref="AO16:AP16"/>
    <mergeCell ref="AQ16:AR16"/>
    <mergeCell ref="AS16:AT16"/>
    <mergeCell ref="AU16:AV16"/>
    <mergeCell ref="AW16:AX16"/>
    <mergeCell ref="AY16:AZ16"/>
    <mergeCell ref="BA16:BB16"/>
    <mergeCell ref="AK17:AL17"/>
    <mergeCell ref="AM17:AN17"/>
    <mergeCell ref="AO17:AP17"/>
    <mergeCell ref="AQ17:AR17"/>
    <mergeCell ref="AS17:AT17"/>
    <mergeCell ref="AU17:AV17"/>
    <mergeCell ref="AW17:AX17"/>
    <mergeCell ref="AY17:AZ17"/>
    <mergeCell ref="BA17:BB17"/>
    <mergeCell ref="AK18:AL18"/>
    <mergeCell ref="AM18:AN18"/>
    <mergeCell ref="AO18:AP18"/>
    <mergeCell ref="AQ18:AR18"/>
    <mergeCell ref="AS18:AT18"/>
    <mergeCell ref="AU18:AV18"/>
    <mergeCell ref="AW18:AX18"/>
    <mergeCell ref="AY18:AZ18"/>
    <mergeCell ref="BA18:BB18"/>
    <mergeCell ref="G21:H21"/>
    <mergeCell ref="I21:J21"/>
    <mergeCell ref="K21:L21"/>
    <mergeCell ref="M21:N21"/>
    <mergeCell ref="O21:P21"/>
    <mergeCell ref="Q21:R21"/>
    <mergeCell ref="AI20:AJ20"/>
    <mergeCell ref="AK20:AL20"/>
    <mergeCell ref="AM20:AN20"/>
    <mergeCell ref="W20:X20"/>
    <mergeCell ref="Y20:Z20"/>
    <mergeCell ref="AA20:AB20"/>
    <mergeCell ref="AC20:AD20"/>
    <mergeCell ref="AE20:AF20"/>
    <mergeCell ref="AG20:AH20"/>
    <mergeCell ref="S21:T21"/>
    <mergeCell ref="G20:H20"/>
    <mergeCell ref="I20:J20"/>
    <mergeCell ref="K20:L20"/>
    <mergeCell ref="BA20:BB20"/>
    <mergeCell ref="AO20:AP20"/>
    <mergeCell ref="AQ20:AR20"/>
    <mergeCell ref="AS20:AT20"/>
    <mergeCell ref="AI19:AJ19"/>
    <mergeCell ref="AS19:AT19"/>
    <mergeCell ref="AU19:AV19"/>
    <mergeCell ref="AW19:AX19"/>
    <mergeCell ref="AY19:AZ19"/>
    <mergeCell ref="AK19:AL19"/>
    <mergeCell ref="AM19:AN19"/>
    <mergeCell ref="AO19:AP19"/>
    <mergeCell ref="AQ19:AR19"/>
    <mergeCell ref="BA19:BB19"/>
    <mergeCell ref="AU20:AV20"/>
    <mergeCell ref="AW20:AX20"/>
    <mergeCell ref="AY20:AZ20"/>
    <mergeCell ref="AQ21:AR21"/>
    <mergeCell ref="AS21:AT21"/>
    <mergeCell ref="AU21:AV21"/>
    <mergeCell ref="AW21:AX21"/>
    <mergeCell ref="AY21:AZ21"/>
    <mergeCell ref="M20:N20"/>
    <mergeCell ref="O20:P20"/>
    <mergeCell ref="Q20:R20"/>
    <mergeCell ref="S20:T20"/>
    <mergeCell ref="U20:V20"/>
    <mergeCell ref="AE22:AF22"/>
    <mergeCell ref="AG22:AH22"/>
    <mergeCell ref="AI22:AJ22"/>
    <mergeCell ref="AK22:AL22"/>
    <mergeCell ref="AM22:AN22"/>
    <mergeCell ref="AO22:AP22"/>
    <mergeCell ref="U21:V21"/>
    <mergeCell ref="W21:X21"/>
    <mergeCell ref="Y21:Z21"/>
    <mergeCell ref="AA21:AB21"/>
    <mergeCell ref="AC21:AD21"/>
    <mergeCell ref="G22:H22"/>
    <mergeCell ref="I22:J22"/>
    <mergeCell ref="K22:L22"/>
    <mergeCell ref="M22:N22"/>
    <mergeCell ref="O22:P22"/>
    <mergeCell ref="Q22:R22"/>
    <mergeCell ref="BA21:BB21"/>
    <mergeCell ref="AE21:AF21"/>
    <mergeCell ref="AG21:AH21"/>
    <mergeCell ref="AI21:AJ21"/>
    <mergeCell ref="AK21:AL21"/>
    <mergeCell ref="AM21:AN21"/>
    <mergeCell ref="AO21:AP21"/>
    <mergeCell ref="S22:T22"/>
    <mergeCell ref="U22:V22"/>
    <mergeCell ref="W22:X22"/>
    <mergeCell ref="Y22:Z22"/>
    <mergeCell ref="AA22:AB22"/>
    <mergeCell ref="AC22:AD22"/>
    <mergeCell ref="AW22:AX22"/>
    <mergeCell ref="AY22:AZ22"/>
    <mergeCell ref="BA22:BB22"/>
    <mergeCell ref="AS22:AT22"/>
    <mergeCell ref="AU22:AV22"/>
    <mergeCell ref="S23:T23"/>
    <mergeCell ref="U23:V23"/>
    <mergeCell ref="W23:X23"/>
    <mergeCell ref="Y23:Z23"/>
    <mergeCell ref="AA23:AB23"/>
    <mergeCell ref="AC23:AD23"/>
    <mergeCell ref="G23:H23"/>
    <mergeCell ref="I23:J23"/>
    <mergeCell ref="K23:L23"/>
    <mergeCell ref="M23:N23"/>
    <mergeCell ref="O23:P23"/>
    <mergeCell ref="Q23:R23"/>
    <mergeCell ref="AQ23:AR23"/>
    <mergeCell ref="AS23:AT23"/>
    <mergeCell ref="AU23:AV23"/>
    <mergeCell ref="AE23:AF23"/>
    <mergeCell ref="AG23:AH23"/>
    <mergeCell ref="AI23:AJ23"/>
    <mergeCell ref="AK23:AL23"/>
    <mergeCell ref="AM23:AN23"/>
    <mergeCell ref="AO23:AP23"/>
    <mergeCell ref="BA25:BB25"/>
    <mergeCell ref="G24:H24"/>
    <mergeCell ref="I24:J24"/>
    <mergeCell ref="K24:L24"/>
    <mergeCell ref="M24:N24"/>
    <mergeCell ref="O24:P24"/>
    <mergeCell ref="Q24:R24"/>
    <mergeCell ref="AQ24:AR24"/>
    <mergeCell ref="AS24:AT24"/>
    <mergeCell ref="AU24:AV24"/>
    <mergeCell ref="AW24:AX24"/>
    <mergeCell ref="AY24:AZ24"/>
    <mergeCell ref="BA24:BB24"/>
    <mergeCell ref="AE24:AF24"/>
    <mergeCell ref="AG24:AH24"/>
    <mergeCell ref="AI24:AJ24"/>
    <mergeCell ref="AK24:AL24"/>
    <mergeCell ref="AM24:AN24"/>
    <mergeCell ref="AO24:AP24"/>
    <mergeCell ref="S25:T25"/>
    <mergeCell ref="U25:V25"/>
    <mergeCell ref="W25:X25"/>
    <mergeCell ref="Y25:Z25"/>
    <mergeCell ref="AA25:AB25"/>
    <mergeCell ref="AC25:AD25"/>
    <mergeCell ref="G25:H25"/>
    <mergeCell ref="I25:J25"/>
    <mergeCell ref="K25:L25"/>
    <mergeCell ref="M25:N25"/>
    <mergeCell ref="O25:P25"/>
    <mergeCell ref="Q25:R25"/>
    <mergeCell ref="S24:T24"/>
    <mergeCell ref="U24:V24"/>
    <mergeCell ref="W24:X24"/>
    <mergeCell ref="Y24:Z24"/>
    <mergeCell ref="AA24:AB24"/>
    <mergeCell ref="AC24:AD24"/>
    <mergeCell ref="AQ25:AR25"/>
    <mergeCell ref="AS25:AT25"/>
    <mergeCell ref="AU25:AV25"/>
    <mergeCell ref="AE25:AF25"/>
    <mergeCell ref="AG25:AH25"/>
    <mergeCell ref="AI25:AJ25"/>
    <mergeCell ref="AK25:AL25"/>
    <mergeCell ref="AM25:AN25"/>
    <mergeCell ref="AO25:AP25"/>
    <mergeCell ref="AM26:AN26"/>
    <mergeCell ref="AO26:AP26"/>
    <mergeCell ref="S26:T26"/>
    <mergeCell ref="U26:V26"/>
    <mergeCell ref="W26:X26"/>
    <mergeCell ref="Y26:Z26"/>
    <mergeCell ref="AA26:AB26"/>
    <mergeCell ref="AC26:AD26"/>
    <mergeCell ref="G26:H26"/>
    <mergeCell ref="I26:J26"/>
    <mergeCell ref="K26:L26"/>
    <mergeCell ref="M26:N26"/>
    <mergeCell ref="O26:P26"/>
    <mergeCell ref="Q26:R26"/>
    <mergeCell ref="Y28:Z28"/>
    <mergeCell ref="AA28:AB28"/>
    <mergeCell ref="AC28:AD28"/>
    <mergeCell ref="AE28:AF28"/>
    <mergeCell ref="AG28:AH28"/>
    <mergeCell ref="AE26:AF26"/>
    <mergeCell ref="AG26:AH26"/>
    <mergeCell ref="AI26:AJ26"/>
    <mergeCell ref="AK26:AL26"/>
    <mergeCell ref="AI27:AJ27"/>
    <mergeCell ref="AK27:AL27"/>
    <mergeCell ref="G28:H28"/>
    <mergeCell ref="I28:J28"/>
    <mergeCell ref="K28:L28"/>
    <mergeCell ref="M28:N28"/>
    <mergeCell ref="O28:P28"/>
    <mergeCell ref="Q28:R28"/>
    <mergeCell ref="S28:T28"/>
    <mergeCell ref="U28:V28"/>
    <mergeCell ref="W28:X28"/>
    <mergeCell ref="BE3:BQ3"/>
    <mergeCell ref="BE4:BQ4"/>
    <mergeCell ref="BE5:BQ5"/>
    <mergeCell ref="BE6:BQ6"/>
    <mergeCell ref="BE7:BQ7"/>
    <mergeCell ref="BE17:BQ17"/>
    <mergeCell ref="BL8:BQ8"/>
    <mergeCell ref="BL10:BQ10"/>
    <mergeCell ref="BL13:BQ13"/>
    <mergeCell ref="BA28:BB28"/>
    <mergeCell ref="AI28:AJ28"/>
    <mergeCell ref="AK28:AL28"/>
    <mergeCell ref="AM28:AN28"/>
    <mergeCell ref="AO28:AP28"/>
    <mergeCell ref="AQ28:AR28"/>
    <mergeCell ref="AS28:AT28"/>
    <mergeCell ref="AU28:AV28"/>
    <mergeCell ref="AW28:AX28"/>
    <mergeCell ref="AY28:AZ28"/>
    <mergeCell ref="E33:V33"/>
    <mergeCell ref="BE24:BQ33"/>
    <mergeCell ref="E35:BB35"/>
    <mergeCell ref="E36:BB36"/>
    <mergeCell ref="BE9:BQ9"/>
    <mergeCell ref="BE11:BQ11"/>
    <mergeCell ref="BE14:BQ14"/>
    <mergeCell ref="BE8:BK8"/>
    <mergeCell ref="BE10:BK10"/>
    <mergeCell ref="BE13:BK13"/>
    <mergeCell ref="BL18:BQ18"/>
    <mergeCell ref="BE18:BK18"/>
    <mergeCell ref="AW23:AX23"/>
    <mergeCell ref="AY23:AZ23"/>
    <mergeCell ref="BA23:BB23"/>
    <mergeCell ref="AQ22:AR22"/>
    <mergeCell ref="AQ26:AR26"/>
    <mergeCell ref="AS26:AT26"/>
    <mergeCell ref="AU26:AV26"/>
    <mergeCell ref="AW26:AX26"/>
    <mergeCell ref="AY26:AZ26"/>
    <mergeCell ref="BA26:BB26"/>
    <mergeCell ref="AW25:AX25"/>
    <mergeCell ref="AY25:AZ25"/>
  </mergeCells>
  <conditionalFormatting sqref="E5 E7:E26">
    <cfRule type="containsBlanks" dxfId="1" priority="5">
      <formula>LEN(TRIM(E5))=0</formula>
    </cfRule>
  </conditionalFormatting>
  <hyperlinks>
    <hyperlink ref="E29:BB29" r:id="rId1" display="View METARs/TAFs in Browser"/>
    <hyperlink ref="E30:BB30" r:id="rId2" display="AFI 11-202V3 General Flight Rules"/>
    <hyperlink ref="E31:BB31" r:id="rId3" display="AFPAM 11-238 METAR &amp; TAF Codes"/>
    <hyperlink ref="E34:BB34" r:id="rId4" display="FAA NOTAMS"/>
    <hyperlink ref="E32:BB32" r:id="rId5" display="DINS NOTAMs (old DoD system)"/>
    <hyperlink ref="E33" r:id="rId6" display="NM/DAIP NOTAMS"/>
    <hyperlink ref="E33:V33" r:id="rId7" display="DAIP NOTAMs (new DoD system)"/>
  </hyperlinks>
  <pageMargins left="0.7" right="0.7" top="0.75" bottom="0.75" header="0.3" footer="0.3"/>
  <pageSetup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11" name="Button 3">
              <controlPr defaultSize="0" print="0" autoFill="0" autoPict="0" macro="[0]!update">
                <anchor moveWithCells="1" sizeWithCells="1">
                  <from>
                    <xdr:col>1</xdr:col>
                    <xdr:colOff>95250</xdr:colOff>
                    <xdr:row>7</xdr:row>
                    <xdr:rowOff>47625</xdr:rowOff>
                  </from>
                  <to>
                    <xdr:col>2</xdr:col>
                    <xdr:colOff>171450</xdr:colOff>
                    <xdr:row>25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" r:id="rId12" name="Button 530">
              <controlPr defaultSize="0" print="0" autoFill="0" autoPict="0" macro="[0]!fixSettingsMsg">
                <anchor moveWithCells="1" sizeWithCells="1">
                  <from>
                    <xdr:col>22</xdr:col>
                    <xdr:colOff>9525</xdr:colOff>
                    <xdr:row>27</xdr:row>
                    <xdr:rowOff>142875</xdr:rowOff>
                  </from>
                  <to>
                    <xdr:col>54</xdr:col>
                    <xdr:colOff>19050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" r:id="rId13" name="Button 570">
              <controlPr defaultSize="0" print="0" autoFill="0" autoPict="0" macro="[0]!viewXml">
                <anchor moveWithCells="1" sizeWithCells="1">
                  <from>
                    <xdr:col>1</xdr:col>
                    <xdr:colOff>38100</xdr:colOff>
                    <xdr:row>27</xdr:row>
                    <xdr:rowOff>142875</xdr:rowOff>
                  </from>
                  <to>
                    <xdr:col>2</xdr:col>
                    <xdr:colOff>209550</xdr:colOff>
                    <xdr:row>33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OFFSET('Setup Data'!$A$1,0,0,1,COUNTA('Setup Data'!$A$1:$ZZ$1))</xm:f>
          </x14:formula1>
          <xm:sqref>E5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2"/>
  <sheetViews>
    <sheetView workbookViewId="0">
      <selection activeCell="E27" sqref="E27"/>
    </sheetView>
  </sheetViews>
  <sheetFormatPr defaultColWidth="9.140625" defaultRowHeight="15" x14ac:dyDescent="0.25"/>
  <cols>
    <col min="1" max="16384" width="9.140625" style="19"/>
  </cols>
  <sheetData>
    <row r="1" spans="1:15" ht="15.75" thickBot="1" x14ac:dyDescent="0.3">
      <c r="A1" s="20" t="s">
        <v>21</v>
      </c>
      <c r="B1" s="21" t="s">
        <v>71</v>
      </c>
      <c r="C1" s="21" t="s">
        <v>52</v>
      </c>
      <c r="D1" s="21" t="s">
        <v>12</v>
      </c>
      <c r="E1" s="21" t="s">
        <v>20</v>
      </c>
      <c r="F1" s="21" t="s">
        <v>78</v>
      </c>
      <c r="G1" s="21" t="s">
        <v>50</v>
      </c>
      <c r="H1" s="21"/>
      <c r="I1" s="21"/>
      <c r="J1" s="21"/>
      <c r="K1" s="21"/>
      <c r="L1" s="21"/>
      <c r="M1" s="21"/>
      <c r="N1" s="21"/>
      <c r="O1" s="22"/>
    </row>
    <row r="2" spans="1:15" ht="15.75" thickBot="1" x14ac:dyDescent="0.3">
      <c r="A2" s="16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8"/>
    </row>
    <row r="3" spans="1:15" x14ac:dyDescent="0.25">
      <c r="A3" s="8" t="s">
        <v>22</v>
      </c>
      <c r="B3" s="9" t="s">
        <v>72</v>
      </c>
      <c r="C3" s="9" t="s">
        <v>53</v>
      </c>
      <c r="D3" s="9" t="s">
        <v>13</v>
      </c>
      <c r="E3" s="9" t="s">
        <v>34</v>
      </c>
      <c r="F3" s="9" t="s">
        <v>79</v>
      </c>
      <c r="G3" s="9" t="s">
        <v>85</v>
      </c>
      <c r="H3" s="9"/>
      <c r="I3" s="9"/>
      <c r="J3" s="9"/>
      <c r="K3" s="9"/>
      <c r="L3" s="9"/>
      <c r="M3" s="9"/>
      <c r="N3" s="9"/>
      <c r="O3" s="10"/>
    </row>
    <row r="4" spans="1:15" x14ac:dyDescent="0.25">
      <c r="A4" s="11" t="s">
        <v>23</v>
      </c>
      <c r="B4" s="7" t="s">
        <v>15</v>
      </c>
      <c r="C4" s="7" t="s">
        <v>54</v>
      </c>
      <c r="D4" s="7" t="s">
        <v>14</v>
      </c>
      <c r="E4" s="7" t="s">
        <v>35</v>
      </c>
      <c r="F4" s="7" t="s">
        <v>80</v>
      </c>
      <c r="G4" s="7" t="s">
        <v>86</v>
      </c>
      <c r="H4" s="7"/>
      <c r="I4" s="7"/>
      <c r="J4" s="7"/>
      <c r="K4" s="7"/>
      <c r="L4" s="7"/>
      <c r="M4" s="7"/>
      <c r="N4" s="7"/>
      <c r="O4" s="12"/>
    </row>
    <row r="5" spans="1:15" x14ac:dyDescent="0.25">
      <c r="A5" s="11" t="s">
        <v>24</v>
      </c>
      <c r="B5" s="7" t="s">
        <v>73</v>
      </c>
      <c r="C5" s="7" t="s">
        <v>70</v>
      </c>
      <c r="D5" s="7" t="s">
        <v>15</v>
      </c>
      <c r="E5" s="7" t="s">
        <v>36</v>
      </c>
      <c r="F5" s="7" t="s">
        <v>81</v>
      </c>
      <c r="G5" s="7" t="s">
        <v>87</v>
      </c>
      <c r="H5" s="7"/>
      <c r="I5" s="7"/>
      <c r="J5" s="7"/>
      <c r="K5" s="7"/>
      <c r="L5" s="7"/>
      <c r="M5" s="7"/>
      <c r="N5" s="7"/>
      <c r="O5" s="12"/>
    </row>
    <row r="6" spans="1:15" x14ac:dyDescent="0.25">
      <c r="A6" s="11" t="s">
        <v>25</v>
      </c>
      <c r="B6" s="7" t="s">
        <v>74</v>
      </c>
      <c r="C6" s="7" t="s">
        <v>55</v>
      </c>
      <c r="D6" s="7" t="s">
        <v>16</v>
      </c>
      <c r="E6" s="7" t="s">
        <v>37</v>
      </c>
      <c r="F6" s="7" t="s">
        <v>82</v>
      </c>
      <c r="G6" s="7" t="s">
        <v>88</v>
      </c>
      <c r="H6" s="7"/>
      <c r="I6" s="7"/>
      <c r="J6" s="7"/>
      <c r="K6" s="7"/>
      <c r="L6" s="7"/>
      <c r="M6" s="7"/>
      <c r="N6" s="7"/>
      <c r="O6" s="12"/>
    </row>
    <row r="7" spans="1:15" x14ac:dyDescent="0.25">
      <c r="A7" s="11" t="s">
        <v>26</v>
      </c>
      <c r="B7" s="7" t="s">
        <v>75</v>
      </c>
      <c r="C7" s="7" t="s">
        <v>56</v>
      </c>
      <c r="D7" s="7" t="s">
        <v>17</v>
      </c>
      <c r="E7" s="7" t="s">
        <v>38</v>
      </c>
      <c r="F7" s="7" t="s">
        <v>83</v>
      </c>
      <c r="G7" s="7" t="s">
        <v>89</v>
      </c>
      <c r="H7" s="7"/>
      <c r="I7" s="7"/>
      <c r="J7" s="7"/>
      <c r="K7" s="7"/>
      <c r="L7" s="7"/>
      <c r="M7" s="7"/>
      <c r="N7" s="7"/>
      <c r="O7" s="12"/>
    </row>
    <row r="8" spans="1:15" x14ac:dyDescent="0.25">
      <c r="A8" s="11" t="s">
        <v>27</v>
      </c>
      <c r="B8" s="7" t="s">
        <v>76</v>
      </c>
      <c r="C8" s="7" t="s">
        <v>57</v>
      </c>
      <c r="D8" s="7" t="s">
        <v>18</v>
      </c>
      <c r="E8" s="7" t="s">
        <v>39</v>
      </c>
      <c r="F8" s="7" t="s">
        <v>84</v>
      </c>
      <c r="G8" s="7" t="s">
        <v>90</v>
      </c>
      <c r="H8" s="7"/>
      <c r="I8" s="7"/>
      <c r="J8" s="7"/>
      <c r="K8" s="7"/>
      <c r="L8" s="7"/>
      <c r="M8" s="7"/>
      <c r="N8" s="7"/>
      <c r="O8" s="12"/>
    </row>
    <row r="9" spans="1:15" x14ac:dyDescent="0.25">
      <c r="A9" s="11" t="s">
        <v>28</v>
      </c>
      <c r="B9" s="7" t="s">
        <v>12</v>
      </c>
      <c r="C9" s="7" t="s">
        <v>58</v>
      </c>
      <c r="D9" s="7" t="s">
        <v>19</v>
      </c>
      <c r="E9" s="7" t="s">
        <v>40</v>
      </c>
      <c r="F9" s="7"/>
      <c r="G9" s="7" t="s">
        <v>91</v>
      </c>
      <c r="H9" s="7"/>
      <c r="I9" s="7"/>
      <c r="J9" s="7"/>
      <c r="K9" s="7"/>
      <c r="L9" s="7"/>
      <c r="M9" s="7"/>
      <c r="N9" s="7"/>
      <c r="O9" s="12"/>
    </row>
    <row r="10" spans="1:15" x14ac:dyDescent="0.25">
      <c r="A10" s="11" t="s">
        <v>29</v>
      </c>
      <c r="B10" s="7" t="s">
        <v>77</v>
      </c>
      <c r="C10" s="7" t="s">
        <v>59</v>
      </c>
      <c r="D10" s="7" t="s">
        <v>20</v>
      </c>
      <c r="E10" s="7" t="s">
        <v>12</v>
      </c>
      <c r="F10" s="7"/>
      <c r="G10" s="7" t="s">
        <v>92</v>
      </c>
      <c r="H10" s="7"/>
      <c r="I10" s="7"/>
      <c r="J10" s="7"/>
      <c r="K10" s="7"/>
      <c r="L10" s="7"/>
      <c r="M10" s="7"/>
      <c r="N10" s="7"/>
      <c r="O10" s="12"/>
    </row>
    <row r="11" spans="1:15" x14ac:dyDescent="0.25">
      <c r="A11" s="11" t="s">
        <v>30</v>
      </c>
      <c r="B11" s="7" t="s">
        <v>17</v>
      </c>
      <c r="C11" s="7" t="s">
        <v>60</v>
      </c>
      <c r="D11" s="7"/>
      <c r="E11" s="7" t="s">
        <v>41</v>
      </c>
      <c r="F11" s="7"/>
      <c r="G11" s="7" t="s">
        <v>51</v>
      </c>
      <c r="H11" s="7"/>
      <c r="I11" s="7"/>
      <c r="J11" s="7"/>
      <c r="K11" s="7"/>
      <c r="L11" s="7"/>
      <c r="M11" s="7"/>
      <c r="N11" s="7"/>
      <c r="O11" s="12"/>
    </row>
    <row r="12" spans="1:15" x14ac:dyDescent="0.25">
      <c r="A12" s="11" t="s">
        <v>31</v>
      </c>
      <c r="B12" s="7"/>
      <c r="C12" s="7" t="s">
        <v>61</v>
      </c>
      <c r="D12" s="7"/>
      <c r="E12" s="7" t="s">
        <v>42</v>
      </c>
      <c r="F12" s="7"/>
      <c r="G12" s="7" t="s">
        <v>93</v>
      </c>
      <c r="H12" s="7"/>
      <c r="I12" s="7"/>
      <c r="J12" s="7"/>
      <c r="K12" s="7"/>
      <c r="L12" s="7"/>
      <c r="M12" s="7"/>
      <c r="N12" s="7"/>
      <c r="O12" s="12"/>
    </row>
    <row r="13" spans="1:15" x14ac:dyDescent="0.25">
      <c r="A13" s="11" t="s">
        <v>32</v>
      </c>
      <c r="B13" s="7"/>
      <c r="C13" s="7" t="s">
        <v>62</v>
      </c>
      <c r="D13" s="7"/>
      <c r="E13" s="7" t="s">
        <v>43</v>
      </c>
      <c r="F13" s="7"/>
      <c r="G13" s="7" t="s">
        <v>94</v>
      </c>
      <c r="H13" s="7"/>
      <c r="I13" s="7"/>
      <c r="J13" s="7"/>
      <c r="K13" s="7"/>
      <c r="L13" s="7"/>
      <c r="M13" s="7"/>
      <c r="N13" s="7"/>
      <c r="O13" s="12"/>
    </row>
    <row r="14" spans="1:15" x14ac:dyDescent="0.25">
      <c r="A14" s="11" t="s">
        <v>33</v>
      </c>
      <c r="B14" s="7"/>
      <c r="C14" s="7" t="s">
        <v>63</v>
      </c>
      <c r="D14" s="7"/>
      <c r="E14" s="7" t="s">
        <v>44</v>
      </c>
      <c r="F14" s="7"/>
      <c r="G14" s="7" t="s">
        <v>95</v>
      </c>
      <c r="H14" s="7"/>
      <c r="I14" s="7"/>
      <c r="J14" s="7"/>
      <c r="K14" s="7"/>
      <c r="L14" s="7"/>
      <c r="M14" s="7"/>
      <c r="N14" s="7"/>
      <c r="O14" s="12"/>
    </row>
    <row r="15" spans="1:15" x14ac:dyDescent="0.25">
      <c r="A15" s="11"/>
      <c r="B15" s="7"/>
      <c r="C15" s="7" t="s">
        <v>64</v>
      </c>
      <c r="D15" s="7"/>
      <c r="E15" s="7" t="s">
        <v>45</v>
      </c>
      <c r="F15" s="7"/>
      <c r="G15" s="7" t="s">
        <v>96</v>
      </c>
      <c r="H15" s="7"/>
      <c r="I15" s="7"/>
      <c r="J15" s="7"/>
      <c r="K15" s="7"/>
      <c r="L15" s="7"/>
      <c r="M15" s="7"/>
      <c r="N15" s="7"/>
      <c r="O15" s="12"/>
    </row>
    <row r="16" spans="1:15" x14ac:dyDescent="0.25">
      <c r="A16" s="11"/>
      <c r="B16" s="7"/>
      <c r="C16" s="7" t="s">
        <v>65</v>
      </c>
      <c r="D16" s="7"/>
      <c r="E16" s="7" t="s">
        <v>46</v>
      </c>
      <c r="F16" s="7"/>
      <c r="G16" s="7" t="s">
        <v>97</v>
      </c>
      <c r="H16" s="7"/>
      <c r="I16" s="7"/>
      <c r="J16" s="7"/>
      <c r="K16" s="7"/>
      <c r="L16" s="7"/>
      <c r="M16" s="7"/>
      <c r="N16" s="7"/>
      <c r="O16" s="12"/>
    </row>
    <row r="17" spans="1:15" x14ac:dyDescent="0.25">
      <c r="A17" s="11"/>
      <c r="B17" s="7"/>
      <c r="C17" s="7" t="s">
        <v>66</v>
      </c>
      <c r="D17" s="7"/>
      <c r="E17" s="7" t="s">
        <v>47</v>
      </c>
      <c r="F17" s="7"/>
      <c r="G17" s="7" t="s">
        <v>98</v>
      </c>
      <c r="H17" s="7"/>
      <c r="I17" s="7"/>
      <c r="J17" s="7"/>
      <c r="K17" s="7"/>
      <c r="L17" s="7"/>
      <c r="M17" s="7"/>
      <c r="N17" s="7"/>
      <c r="O17" s="12"/>
    </row>
    <row r="18" spans="1:15" x14ac:dyDescent="0.25">
      <c r="A18" s="11"/>
      <c r="B18" s="7"/>
      <c r="C18" s="7" t="s">
        <v>67</v>
      </c>
      <c r="D18" s="7"/>
      <c r="E18" s="7" t="s">
        <v>48</v>
      </c>
      <c r="F18" s="7"/>
      <c r="G18" s="7" t="s">
        <v>99</v>
      </c>
      <c r="H18" s="7"/>
      <c r="I18" s="7"/>
      <c r="J18" s="7"/>
      <c r="K18" s="7"/>
      <c r="L18" s="7"/>
      <c r="M18" s="7"/>
      <c r="N18" s="7"/>
      <c r="O18" s="12"/>
    </row>
    <row r="19" spans="1:15" x14ac:dyDescent="0.25">
      <c r="A19" s="11"/>
      <c r="B19" s="7"/>
      <c r="C19" s="7" t="s">
        <v>68</v>
      </c>
      <c r="D19" s="7"/>
      <c r="E19" s="7" t="s">
        <v>49</v>
      </c>
      <c r="F19" s="7"/>
      <c r="G19" s="7" t="s">
        <v>100</v>
      </c>
      <c r="H19" s="7"/>
      <c r="I19" s="7"/>
      <c r="J19" s="7"/>
      <c r="K19" s="7"/>
      <c r="L19" s="7"/>
      <c r="M19" s="7"/>
      <c r="N19" s="7"/>
      <c r="O19" s="12"/>
    </row>
    <row r="20" spans="1:15" x14ac:dyDescent="0.25">
      <c r="A20" s="11"/>
      <c r="B20" s="7"/>
      <c r="C20" s="7" t="s">
        <v>69</v>
      </c>
      <c r="D20" s="7"/>
      <c r="E20" s="7"/>
      <c r="F20" s="7"/>
      <c r="G20" s="7" t="s">
        <v>101</v>
      </c>
      <c r="H20" s="7"/>
      <c r="I20" s="7"/>
      <c r="J20" s="7"/>
      <c r="K20" s="7"/>
      <c r="L20" s="7"/>
      <c r="M20" s="7"/>
      <c r="N20" s="7"/>
      <c r="O20" s="12"/>
    </row>
    <row r="21" spans="1:15" x14ac:dyDescent="0.25">
      <c r="A21" s="11"/>
      <c r="B21" s="7"/>
      <c r="C21" s="7"/>
      <c r="D21" s="7"/>
      <c r="E21" s="7"/>
      <c r="F21" s="7"/>
      <c r="G21" s="7" t="s">
        <v>102</v>
      </c>
      <c r="H21" s="7"/>
      <c r="I21" s="7"/>
      <c r="J21" s="7"/>
      <c r="K21" s="7"/>
      <c r="L21" s="7"/>
      <c r="M21" s="7"/>
      <c r="N21" s="7"/>
      <c r="O21" s="12"/>
    </row>
    <row r="22" spans="1:15" ht="15.75" thickBot="1" x14ac:dyDescent="0.3">
      <c r="A22" s="13"/>
      <c r="B22" s="14"/>
      <c r="C22" s="14"/>
      <c r="D22" s="14"/>
      <c r="E22" s="14"/>
      <c r="F22" s="14"/>
      <c r="G22" s="14" t="s">
        <v>103</v>
      </c>
      <c r="H22" s="14"/>
      <c r="I22" s="14"/>
      <c r="J22" s="14"/>
      <c r="K22" s="14"/>
      <c r="L22" s="14"/>
      <c r="M22" s="14"/>
      <c r="N22" s="14"/>
      <c r="O22" s="15"/>
    </row>
  </sheetData>
  <sheetProtection sheet="1" objects="1" scenarios="1"/>
  <conditionalFormatting sqref="A1:O1 A3:O22">
    <cfRule type="containsBlanks" dxfId="0" priority="1">
      <formula>LEN(TRIM(A1))=0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FFFF00"/>
  </sheetPr>
  <dimension ref="A1:U35"/>
  <sheetViews>
    <sheetView workbookViewId="0">
      <selection activeCell="B38" sqref="B38"/>
    </sheetView>
  </sheetViews>
  <sheetFormatPr defaultRowHeight="15" x14ac:dyDescent="0.25"/>
  <cols>
    <col min="1" max="1" width="14.85546875" style="32" customWidth="1"/>
    <col min="2" max="2" width="48.42578125" style="32" customWidth="1"/>
    <col min="3" max="3" width="17" style="32" customWidth="1"/>
    <col min="4" max="4" width="9.42578125" style="32" customWidth="1"/>
    <col min="5" max="5" width="16.140625" style="32" customWidth="1"/>
    <col min="6" max="6" width="14.42578125" style="32" customWidth="1"/>
    <col min="7" max="7" width="10.85546875" style="32" customWidth="1"/>
    <col min="8" max="8" width="11.5703125" style="32" customWidth="1"/>
    <col min="9" max="9" width="2.140625" style="32" customWidth="1"/>
    <col min="10" max="10" width="18.42578125" style="32" customWidth="1"/>
    <col min="11" max="14" width="12.5703125" style="32" customWidth="1"/>
    <col min="15" max="15" width="13.140625" style="32" customWidth="1"/>
    <col min="16" max="16" width="9.140625" style="32" customWidth="1"/>
    <col min="17" max="17" width="9.42578125" style="32" customWidth="1"/>
    <col min="18" max="18" width="11.28515625" style="32" customWidth="1"/>
    <col min="19" max="19" width="1.85546875" style="32" customWidth="1"/>
    <col min="20" max="20" width="9.140625" style="32"/>
    <col min="21" max="21" width="14.7109375" style="32" customWidth="1"/>
    <col min="22" max="16384" width="9.140625" style="32"/>
  </cols>
  <sheetData>
    <row r="1" spans="1:14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</row>
    <row r="2" spans="1:14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</row>
    <row r="3" spans="1:14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</row>
    <row r="4" spans="1:14" x14ac:dyDescent="0.25">
      <c r="B4" s="60" t="s">
        <v>152</v>
      </c>
      <c r="C4" s="61">
        <f ca="1">TODAY()</f>
        <v>42738</v>
      </c>
      <c r="D4" s="39"/>
      <c r="E4" s="39"/>
      <c r="F4" s="39"/>
      <c r="G4" s="40" t="s">
        <v>112</v>
      </c>
      <c r="H4" s="40" t="s">
        <v>113</v>
      </c>
      <c r="I4" s="39"/>
      <c r="J4" s="41"/>
      <c r="K4" s="42" t="s">
        <v>114</v>
      </c>
      <c r="L4" s="42" t="s">
        <v>115</v>
      </c>
      <c r="M4" s="42" t="s">
        <v>116</v>
      </c>
      <c r="N4" s="42" t="s">
        <v>117</v>
      </c>
    </row>
    <row r="5" spans="1:14" x14ac:dyDescent="0.25">
      <c r="B5" s="60" t="s">
        <v>153</v>
      </c>
      <c r="C5" s="62">
        <f ca="1">YEAR(C4)</f>
        <v>2017</v>
      </c>
      <c r="D5" s="39"/>
      <c r="E5" s="43" t="s">
        <v>118</v>
      </c>
      <c r="F5" s="44">
        <f ca="1">F27*57.29577951/15</f>
        <v>12.523765057980116</v>
      </c>
      <c r="G5" s="40" t="str">
        <f ca="1">IF(K8&lt;10,0,"")&amp;K8&amp;IF(K13&lt;10,0,"")&amp;K13&amp;"Z"</f>
        <v>1231Z</v>
      </c>
      <c r="H5" s="45">
        <f ca="1">TIMEVALUE(K6&amp;":"&amp;K11&amp;":"&amp;K17)</f>
        <v>0.52182870370370371</v>
      </c>
      <c r="I5" s="39"/>
      <c r="J5" s="46" t="s">
        <v>119</v>
      </c>
      <c r="K5" s="41">
        <f ca="1">IF(F5&lt;0,24+F5,F5)</f>
        <v>12.523765057980116</v>
      </c>
      <c r="L5" s="41">
        <f ca="1">IF(F6&lt;0,24+F6,F6)</f>
        <v>22.723175485671803</v>
      </c>
      <c r="M5" s="41">
        <f ca="1">IF(F7&lt;0,24+F7,F7)</f>
        <v>7.5237650579801159</v>
      </c>
      <c r="N5" s="41">
        <f ca="1">IF(F8&lt;0,24+F8,F8)</f>
        <v>17.723175485671803</v>
      </c>
    </row>
    <row r="6" spans="1:14" x14ac:dyDescent="0.25">
      <c r="B6" s="60" t="s">
        <v>154</v>
      </c>
      <c r="C6" s="62">
        <f ca="1">MONTH(C4)</f>
        <v>1</v>
      </c>
      <c r="D6" s="39"/>
      <c r="E6" s="43" t="s">
        <v>120</v>
      </c>
      <c r="F6" s="44">
        <f ca="1">F28*57.29577951/15</f>
        <v>22.723175485671803</v>
      </c>
      <c r="G6" s="40" t="str">
        <f ca="1">IF(L8&lt;10,0,"")&amp;L8&amp;IF(L13&lt;10,0,"")&amp;L13&amp;"Z"</f>
        <v>2243Z</v>
      </c>
      <c r="H6" s="45">
        <f ca="1">TIMEVALUE(L6&amp;":"&amp;L11&amp;":"&amp;L17)</f>
        <v>0.94679398148148142</v>
      </c>
      <c r="I6" s="39"/>
      <c r="J6" s="46" t="s">
        <v>121</v>
      </c>
      <c r="K6" s="41">
        <f ca="1">FLOOR(K5,1)</f>
        <v>12</v>
      </c>
      <c r="L6" s="41">
        <f ca="1">FLOOR(L5,1)</f>
        <v>22</v>
      </c>
      <c r="M6" s="41">
        <f ca="1">FLOOR(M5,1)</f>
        <v>7</v>
      </c>
      <c r="N6" s="41">
        <f ca="1">FLOOR(N5,1)</f>
        <v>17</v>
      </c>
    </row>
    <row r="7" spans="1:14" x14ac:dyDescent="0.25">
      <c r="B7" s="60" t="s">
        <v>155</v>
      </c>
      <c r="C7" s="62">
        <f ca="1">DAY(C4)</f>
        <v>3</v>
      </c>
      <c r="D7" s="39"/>
      <c r="E7" s="43" t="s">
        <v>116</v>
      </c>
      <c r="F7" s="40">
        <f ca="1">F5+C11</f>
        <v>7.5237650579801159</v>
      </c>
      <c r="G7" s="40" t="str">
        <f ca="1">IF(M8&lt;10,0,"")&amp;M8&amp;IF(M13&lt;10,0,"")&amp;M13&amp;"L"</f>
        <v>0731L</v>
      </c>
      <c r="H7" s="45">
        <f ca="1">TIMEVALUE(M6&amp;":"&amp;M11&amp;":"&amp;M17)</f>
        <v>0.3134953703703704</v>
      </c>
      <c r="I7" s="66"/>
      <c r="J7" s="46" t="s">
        <v>122</v>
      </c>
      <c r="K7" s="41">
        <f ca="1">ROUND(K5,0)</f>
        <v>13</v>
      </c>
      <c r="L7" s="41">
        <f ca="1">ROUND(L5,0)</f>
        <v>23</v>
      </c>
      <c r="M7" s="41">
        <f ca="1">ROUND(M5,0)</f>
        <v>8</v>
      </c>
      <c r="N7" s="41">
        <f ca="1">ROUND(N5,0)</f>
        <v>18</v>
      </c>
    </row>
    <row r="8" spans="1:14" x14ac:dyDescent="0.25">
      <c r="B8" s="60" t="s">
        <v>156</v>
      </c>
      <c r="C8" s="62" t="str">
        <f>homeStationID</f>
        <v>KVAD</v>
      </c>
      <c r="D8" s="39"/>
      <c r="E8" s="43" t="s">
        <v>117</v>
      </c>
      <c r="F8" s="40">
        <f ca="1">F6+C11</f>
        <v>17.723175485671803</v>
      </c>
      <c r="G8" s="40" t="str">
        <f ca="1">IF(N8&lt;10,0,"")&amp;N8&amp;IF(N13&lt;10,0,"")&amp;N13&amp;"L"</f>
        <v>1743L</v>
      </c>
      <c r="H8" s="45">
        <f ca="1">TIMEVALUE(N6&amp;":"&amp;N11&amp;":"&amp;N17)</f>
        <v>0.73846064814814805</v>
      </c>
      <c r="I8" s="39"/>
      <c r="J8" s="46" t="s">
        <v>123</v>
      </c>
      <c r="K8" s="41">
        <f ca="1">IF(K12=60,K7,K6)</f>
        <v>12</v>
      </c>
      <c r="L8" s="41">
        <f t="shared" ref="L8:N8" ca="1" si="0">IF(L12=60,L7,L6)</f>
        <v>22</v>
      </c>
      <c r="M8" s="41">
        <f t="shared" ca="1" si="0"/>
        <v>7</v>
      </c>
      <c r="N8" s="41">
        <f t="shared" ca="1" si="0"/>
        <v>17</v>
      </c>
    </row>
    <row r="9" spans="1:14" x14ac:dyDescent="0.25">
      <c r="B9" s="60" t="s">
        <v>157</v>
      </c>
      <c r="C9" s="62">
        <v>30.97</v>
      </c>
      <c r="D9" s="39"/>
      <c r="E9" s="39"/>
      <c r="F9" s="39"/>
      <c r="G9" s="39"/>
      <c r="H9" s="39"/>
      <c r="I9" s="39"/>
      <c r="J9" s="46" t="s">
        <v>125</v>
      </c>
      <c r="K9" s="41">
        <f ca="1">K5-FLOOR(K5,1)</f>
        <v>0.52376505798011586</v>
      </c>
      <c r="L9" s="41">
        <f ca="1">L5-FLOOR(L5,1)</f>
        <v>0.72317548567180268</v>
      </c>
      <c r="M9" s="41">
        <f ca="1">M5-FLOOR(M5,1)</f>
        <v>0.52376505798011586</v>
      </c>
      <c r="N9" s="41">
        <f ca="1">N5-FLOOR(N5,1)</f>
        <v>0.72317548567180268</v>
      </c>
    </row>
    <row r="10" spans="1:14" x14ac:dyDescent="0.25">
      <c r="B10" s="60" t="s">
        <v>158</v>
      </c>
      <c r="C10" s="63">
        <v>-83.2</v>
      </c>
      <c r="D10" s="39"/>
      <c r="E10" s="39"/>
      <c r="F10" s="39"/>
      <c r="G10" s="39"/>
      <c r="H10" s="39"/>
      <c r="I10" s="39"/>
      <c r="J10" s="46" t="s">
        <v>126</v>
      </c>
      <c r="K10" s="41">
        <f ca="1">K9*60</f>
        <v>31.425903478806951</v>
      </c>
      <c r="L10" s="41">
        <f ca="1">L9*60</f>
        <v>43.390529140308161</v>
      </c>
      <c r="M10" s="41">
        <f ca="1">M9*60</f>
        <v>31.425903478806951</v>
      </c>
      <c r="N10" s="41">
        <f ca="1">N9*60</f>
        <v>43.390529140308161</v>
      </c>
    </row>
    <row r="11" spans="1:14" x14ac:dyDescent="0.25">
      <c r="B11" s="60" t="s">
        <v>159</v>
      </c>
      <c r="C11" s="62">
        <f>TAFs!C4</f>
        <v>-5</v>
      </c>
      <c r="D11" s="39"/>
      <c r="E11" s="39"/>
      <c r="F11" s="39"/>
      <c r="G11" s="39"/>
      <c r="H11" s="39"/>
      <c r="I11" s="39"/>
      <c r="J11" s="46" t="s">
        <v>127</v>
      </c>
      <c r="K11" s="41">
        <f ca="1">FLOOR(K10,1)</f>
        <v>31</v>
      </c>
      <c r="L11" s="41">
        <f ca="1">FLOOR(L10,1)</f>
        <v>43</v>
      </c>
      <c r="M11" s="41">
        <f ca="1">FLOOR(M10,1)</f>
        <v>31</v>
      </c>
      <c r="N11" s="41">
        <f ca="1">FLOOR(N10,1)</f>
        <v>43</v>
      </c>
    </row>
    <row r="12" spans="1:14" x14ac:dyDescent="0.25">
      <c r="B12" s="60" t="s">
        <v>160</v>
      </c>
      <c r="C12" s="62">
        <v>-0.83299999999999996</v>
      </c>
      <c r="D12" s="39"/>
      <c r="E12" s="39"/>
      <c r="F12" s="39"/>
      <c r="G12" s="39"/>
      <c r="H12" s="39"/>
      <c r="I12" s="39"/>
      <c r="J12" s="46" t="s">
        <v>128</v>
      </c>
      <c r="K12" s="41">
        <f ca="1">ROUND(K10,0)</f>
        <v>31</v>
      </c>
      <c r="L12" s="41">
        <f ca="1">ROUND(L10,0)</f>
        <v>43</v>
      </c>
      <c r="M12" s="41">
        <f ca="1">ROUND(M10,0)</f>
        <v>31</v>
      </c>
      <c r="N12" s="41">
        <f ca="1">ROUND(N10,0)</f>
        <v>43</v>
      </c>
    </row>
    <row r="13" spans="1:14" x14ac:dyDescent="0.25">
      <c r="B13" s="64"/>
      <c r="C13" s="57"/>
      <c r="D13" s="39"/>
      <c r="E13" s="39"/>
      <c r="F13" s="39"/>
      <c r="G13" s="39"/>
      <c r="H13" s="39"/>
      <c r="I13" s="48"/>
      <c r="J13" s="46" t="s">
        <v>129</v>
      </c>
      <c r="K13" s="41">
        <f ca="1">IF(K12=60,0,K12)</f>
        <v>31</v>
      </c>
      <c r="L13" s="41">
        <f t="shared" ref="L13:N13" ca="1" si="1">IF(L12=60,0,L12)</f>
        <v>43</v>
      </c>
      <c r="M13" s="41">
        <f t="shared" ca="1" si="1"/>
        <v>31</v>
      </c>
      <c r="N13" s="41">
        <f t="shared" ca="1" si="1"/>
        <v>43</v>
      </c>
    </row>
    <row r="14" spans="1:14" x14ac:dyDescent="0.25">
      <c r="A14" s="40"/>
      <c r="B14" s="40"/>
      <c r="C14" s="39"/>
      <c r="D14" s="39"/>
      <c r="E14" s="39"/>
      <c r="F14" s="39"/>
      <c r="G14" s="39"/>
      <c r="H14" s="48"/>
      <c r="I14" s="39"/>
      <c r="J14" s="46" t="s">
        <v>130</v>
      </c>
      <c r="K14" s="41">
        <f ca="1">K10-FLOOR(K10,1)</f>
        <v>0.42590347880695134</v>
      </c>
      <c r="L14" s="41">
        <f ca="1">L10-FLOOR(L10,1)</f>
        <v>0.39052914030816055</v>
      </c>
      <c r="M14" s="41">
        <f ca="1">M10-FLOOR(M10,1)</f>
        <v>0.42590347880695134</v>
      </c>
      <c r="N14" s="41">
        <f ca="1">N10-FLOOR(N10,1)</f>
        <v>0.39052914030816055</v>
      </c>
    </row>
    <row r="15" spans="1:14" x14ac:dyDescent="0.25">
      <c r="A15" s="40" t="s">
        <v>124</v>
      </c>
      <c r="B15" s="40"/>
      <c r="C15" s="40">
        <f ca="1">367*C5-INT(7*(C5+INT((C6+9)/12))/4)+INT(275*C6/9)+C7-730531.5</f>
        <v>6211.5</v>
      </c>
      <c r="D15" s="39"/>
      <c r="E15" s="39"/>
      <c r="F15" s="39"/>
      <c r="G15" s="39"/>
      <c r="H15" s="39"/>
      <c r="I15" s="39"/>
      <c r="J15" s="46" t="s">
        <v>131</v>
      </c>
      <c r="K15" s="41">
        <f ca="1">K14*60</f>
        <v>25.55420872841708</v>
      </c>
      <c r="L15" s="41">
        <f ca="1">L14*60</f>
        <v>23.431748418489633</v>
      </c>
      <c r="M15" s="41">
        <f ca="1">M14*60</f>
        <v>25.55420872841708</v>
      </c>
      <c r="N15" s="41">
        <f ca="1">N14*60</f>
        <v>23.431748418489633</v>
      </c>
    </row>
    <row r="16" spans="1:14" x14ac:dyDescent="0.25">
      <c r="A16" s="47" t="s">
        <v>149</v>
      </c>
      <c r="B16" s="59" t="s">
        <v>150</v>
      </c>
      <c r="C16" s="40">
        <f ca="1">C15/36525</f>
        <v>0.17006160164271047</v>
      </c>
      <c r="D16" s="39"/>
      <c r="E16" s="39"/>
      <c r="F16" s="39"/>
      <c r="G16" s="39"/>
      <c r="H16" s="39"/>
      <c r="I16" s="39"/>
      <c r="J16" s="46" t="s">
        <v>132</v>
      </c>
      <c r="K16" s="41">
        <f ca="1">FLOOR(K15,1)</f>
        <v>25</v>
      </c>
      <c r="L16" s="41">
        <f t="shared" ref="L16:N16" ca="1" si="2">FLOOR(L15,1)</f>
        <v>23</v>
      </c>
      <c r="M16" s="41">
        <f t="shared" ca="1" si="2"/>
        <v>25</v>
      </c>
      <c r="N16" s="41">
        <f t="shared" ca="1" si="2"/>
        <v>23</v>
      </c>
    </row>
    <row r="17" spans="1:21" x14ac:dyDescent="0.25">
      <c r="A17" s="40" t="s">
        <v>133</v>
      </c>
      <c r="B17" s="59" t="s">
        <v>151</v>
      </c>
      <c r="C17" s="44">
        <f ca="1">MOD(4.8949504201433+628.331969753199*$C$16,6.28318530718)</f>
        <v>4.9359413376314389</v>
      </c>
      <c r="D17" s="44">
        <f ca="1">MOD(4.8949504201433+628.331969753199*C29,6.28318530718)</f>
        <v>4.9449170789361201</v>
      </c>
      <c r="E17" s="44">
        <f t="shared" ref="E17:F17" ca="1" si="3">MOD(4.8949504201433+628.331969753199*D29,6.28318530718)</f>
        <v>4.9449181592818601</v>
      </c>
      <c r="F17" s="44">
        <f t="shared" ca="1" si="3"/>
        <v>4.9449181594064893</v>
      </c>
      <c r="G17" s="39"/>
      <c r="H17" s="39"/>
      <c r="I17" s="39"/>
      <c r="J17" s="46" t="s">
        <v>134</v>
      </c>
      <c r="K17" s="41">
        <f ca="1">ROUND(K15,0)</f>
        <v>26</v>
      </c>
      <c r="L17" s="41">
        <f t="shared" ref="L17:N17" ca="1" si="4">ROUND(L15,0)</f>
        <v>23</v>
      </c>
      <c r="M17" s="41">
        <f t="shared" ca="1" si="4"/>
        <v>26</v>
      </c>
      <c r="N17" s="41">
        <f t="shared" ca="1" si="4"/>
        <v>23</v>
      </c>
    </row>
    <row r="18" spans="1:21" x14ac:dyDescent="0.25">
      <c r="A18" s="40" t="s">
        <v>135</v>
      </c>
      <c r="B18" s="59" t="s">
        <v>161</v>
      </c>
      <c r="C18" s="44">
        <f ca="1">MOD(6.2400408+628.3019501*$C$16,6.28318530718)</f>
        <v>6.2759265271843585</v>
      </c>
      <c r="D18" s="44">
        <f ca="1">MOD(6.2400408+628.3019501*C29,6.28318530718)</f>
        <v>1.7165324773706914E-3</v>
      </c>
      <c r="E18" s="44">
        <f t="shared" ref="E18:F18" ca="1" si="5">MOD(6.2400408+628.3019501*D29,6.28318530718)</f>
        <v>1.7176127715110567E-3</v>
      </c>
      <c r="F18" s="44">
        <f t="shared" ca="1" si="5"/>
        <v>1.7176128961260417E-3</v>
      </c>
      <c r="G18" s="39"/>
      <c r="H18" s="39"/>
      <c r="I18" s="39"/>
      <c r="J18" s="49"/>
      <c r="K18" s="50"/>
      <c r="L18" s="50"/>
      <c r="M18" s="50"/>
      <c r="N18" s="50"/>
      <c r="R18" s="33"/>
      <c r="S18" s="33"/>
      <c r="T18" s="33"/>
      <c r="U18" s="33"/>
    </row>
    <row r="19" spans="1:21" x14ac:dyDescent="0.25">
      <c r="A19" s="40" t="s">
        <v>136</v>
      </c>
      <c r="B19" s="59" t="s">
        <v>162</v>
      </c>
      <c r="C19" s="44">
        <f ca="1">0.033423*SIN(C18)+0.00034907*SIN(2*C18)</f>
        <v>-2.4767553992740724E-4</v>
      </c>
      <c r="D19" s="44">
        <f ca="1">0.033423*SIN(D18)+0.00034907*SIN(2*D18)</f>
        <v>5.8570014446799907E-5</v>
      </c>
      <c r="E19" s="44">
        <f t="shared" ref="E19:F19" ca="1" si="6">0.033423*SIN(E18)+0.00034907*SIN(2*E18)</f>
        <v>5.8606875256729914E-5</v>
      </c>
      <c r="F19" s="44">
        <f t="shared" ca="1" si="6"/>
        <v>5.860687950872861E-5</v>
      </c>
      <c r="G19" s="39"/>
      <c r="H19" s="39"/>
      <c r="I19" s="39"/>
      <c r="J19" s="51"/>
      <c r="K19" s="39"/>
      <c r="L19" s="39"/>
      <c r="M19" s="39"/>
      <c r="N19" s="39"/>
      <c r="R19" s="33"/>
      <c r="S19" s="33"/>
      <c r="T19" s="33"/>
      <c r="U19" s="33"/>
    </row>
    <row r="20" spans="1:21" x14ac:dyDescent="0.25">
      <c r="A20" s="40" t="s">
        <v>137</v>
      </c>
      <c r="B20" s="59" t="s">
        <v>163</v>
      </c>
      <c r="C20" s="44">
        <f ca="1">C17+C19</f>
        <v>4.9356936620915119</v>
      </c>
      <c r="D20" s="44">
        <f ca="1">D17+D19</f>
        <v>4.9449756489505665</v>
      </c>
      <c r="E20" s="44">
        <f t="shared" ref="E20:F20" ca="1" si="7">E17+E19</f>
        <v>4.9449767661571169</v>
      </c>
      <c r="F20" s="44">
        <f t="shared" ca="1" si="7"/>
        <v>4.9449767662859978</v>
      </c>
      <c r="G20" s="39"/>
      <c r="H20" s="39"/>
      <c r="I20" s="39"/>
      <c r="J20" s="39"/>
      <c r="K20" s="39"/>
      <c r="L20" s="39"/>
      <c r="M20" s="39"/>
      <c r="N20" s="39"/>
      <c r="R20" s="33"/>
      <c r="S20" s="33"/>
      <c r="T20" s="33"/>
      <c r="U20" s="33"/>
    </row>
    <row r="21" spans="1:21" x14ac:dyDescent="0.25">
      <c r="A21" s="40" t="s">
        <v>138</v>
      </c>
      <c r="B21" s="59" t="s">
        <v>164</v>
      </c>
      <c r="C21" s="44">
        <f ca="1">0.0430398*SIN(2*C20) - 0.00092502*SIN(4*C20) - C19</f>
        <v>-1.9062319544753219E-2</v>
      </c>
      <c r="D21" s="44">
        <f ca="1">0.0430398*SIN(2*D20) - 0.00092502*SIN(4*D20) - D19</f>
        <v>-2.0106971823432244E-2</v>
      </c>
      <c r="E21" s="44">
        <f t="shared" ref="E21:F21" ca="1" si="8">0.0430398*SIN(2*E20) - 0.00092502*SIN(4*E20) - E19</f>
        <v>-2.0107097104511428E-2</v>
      </c>
      <c r="F21" s="44">
        <f t="shared" ca="1" si="8"/>
        <v>-2.0107097118963576E-2</v>
      </c>
      <c r="G21" s="39"/>
      <c r="H21" s="39"/>
      <c r="I21" s="39"/>
      <c r="J21" s="52"/>
      <c r="K21" s="52"/>
      <c r="L21" s="52"/>
      <c r="M21" s="52"/>
      <c r="N21" s="53"/>
      <c r="O21" s="35"/>
      <c r="P21" s="35"/>
      <c r="Q21" s="35"/>
      <c r="R21" s="35"/>
      <c r="S21" s="36"/>
      <c r="T21" s="35"/>
      <c r="U21" s="35"/>
    </row>
    <row r="22" spans="1:21" x14ac:dyDescent="0.25">
      <c r="A22" s="40" t="s">
        <v>139</v>
      </c>
      <c r="B22" s="59" t="s">
        <v>165</v>
      </c>
      <c r="C22" s="44">
        <f ca="1">0.409093-0.0002269*$C$16</f>
        <v>0.40905441302258727</v>
      </c>
      <c r="D22" s="44">
        <f ca="1">0.409093-0.0002269*C29</f>
        <v>0.40905440978131385</v>
      </c>
      <c r="E22" s="44">
        <f t="shared" ref="E22:F22" ca="1" si="9">0.409093-0.0002269*D29</f>
        <v>0.40905440978092372</v>
      </c>
      <c r="F22" s="44">
        <f t="shared" ca="1" si="9"/>
        <v>0.40905440978092367</v>
      </c>
      <c r="G22" s="39"/>
      <c r="H22" s="39"/>
      <c r="I22" s="39"/>
      <c r="J22" s="39"/>
      <c r="K22" s="39"/>
      <c r="L22" s="52"/>
      <c r="M22" s="52"/>
      <c r="N22" s="54"/>
      <c r="O22" s="35"/>
      <c r="P22" s="35"/>
      <c r="Q22" s="35"/>
      <c r="R22" s="35"/>
      <c r="S22" s="37"/>
      <c r="T22" s="35"/>
      <c r="U22" s="35"/>
    </row>
    <row r="23" spans="1:21" x14ac:dyDescent="0.25">
      <c r="A23" s="40" t="s">
        <v>140</v>
      </c>
      <c r="B23" s="59" t="s">
        <v>166</v>
      </c>
      <c r="C23" s="44">
        <f ca="1">ASIN(SIN(C22)*SIN(C20))</f>
        <v>-0.39831562122103498</v>
      </c>
      <c r="D23" s="44">
        <f ca="1">ASIN(SIN(D22)*SIN(D20))</f>
        <v>-0.39741066703711042</v>
      </c>
      <c r="E23" s="44">
        <f t="shared" ref="E23:F23" ca="1" si="10">ASIN(SIN(E22)*SIN(E20))</f>
        <v>-0.39741055595674157</v>
      </c>
      <c r="F23" s="44">
        <f t="shared" ca="1" si="10"/>
        <v>-0.39741055594392727</v>
      </c>
      <c r="G23" s="39"/>
      <c r="H23" s="39"/>
      <c r="I23" s="39"/>
      <c r="J23" s="39"/>
      <c r="K23" s="39"/>
      <c r="L23" s="39"/>
      <c r="M23" s="39"/>
      <c r="N23" s="39"/>
      <c r="R23" s="33"/>
      <c r="S23" s="38"/>
      <c r="T23" s="33"/>
      <c r="U23" s="34"/>
    </row>
    <row r="24" spans="1:21" x14ac:dyDescent="0.25">
      <c r="A24" s="40" t="s">
        <v>141</v>
      </c>
      <c r="B24" s="59" t="s">
        <v>167</v>
      </c>
      <c r="C24" s="44">
        <f ca="1">3.14159265358979 - 3.14159265358979 + C21</f>
        <v>-1.9062319544753219E-2</v>
      </c>
      <c r="D24" s="44">
        <f ca="1">C27 - 3.14159265358979 + D21</f>
        <v>0.11661976651180594</v>
      </c>
      <c r="E24" s="44">
        <f t="shared" ref="E24:F24" ca="1" si="11">D27 - 3.14159265358979 + E21</f>
        <v>0.11701422907313706</v>
      </c>
      <c r="F24" s="44">
        <f t="shared" ca="1" si="11"/>
        <v>0.11701427458195229</v>
      </c>
      <c r="G24" s="39"/>
      <c r="H24" s="39"/>
      <c r="I24" s="39"/>
      <c r="J24" s="39"/>
      <c r="K24" s="39"/>
      <c r="L24" s="39"/>
      <c r="M24" s="39"/>
      <c r="N24" s="39"/>
      <c r="R24" s="33"/>
      <c r="S24" s="38"/>
      <c r="T24" s="33"/>
      <c r="U24" s="34"/>
    </row>
    <row r="25" spans="1:21" x14ac:dyDescent="0.25">
      <c r="A25" s="40" t="s">
        <v>142</v>
      </c>
      <c r="B25" s="40"/>
      <c r="C25" s="44">
        <f ca="1">(SIN(0.017453293*$C$12) - SIN(0.017453293*$C$9)*SIN(C23))/(COS(0.017453293*$C$9)*COS(C23))</f>
        <v>0.23415252513330378</v>
      </c>
      <c r="D25" s="44">
        <f ca="1">(SIN(0.017453293*$C$12) - SIN(0.017453293*$C$9)*SIN(D23))/(COS(0.017453293*$C$9)*COS(D23))</f>
        <v>0.23352048314026713</v>
      </c>
      <c r="E25" s="44">
        <f ca="1">(SIN(0.017453293*$C$12) - SIN(0.017453293*$C$9)*SIN(E23))/(COS(0.017453293*$C$9)*COS(E23))</f>
        <v>0.23352040558760787</v>
      </c>
      <c r="F25" s="44">
        <f ca="1">(SIN(0.017453293*$C$12) - SIN(0.017453293*$C$9)*SIN(F23))/(COS(0.017453293*$C$9)*COS(F23))</f>
        <v>0.23352040557866136</v>
      </c>
      <c r="G25" s="39"/>
      <c r="H25" s="39"/>
      <c r="I25" s="39"/>
      <c r="J25" s="39"/>
      <c r="K25" s="39"/>
      <c r="L25" s="39"/>
      <c r="M25" s="39"/>
      <c r="N25" s="39"/>
      <c r="R25" s="33"/>
      <c r="S25" s="38"/>
      <c r="T25" s="33"/>
      <c r="U25" s="34"/>
    </row>
    <row r="26" spans="1:21" x14ac:dyDescent="0.25">
      <c r="A26" s="40" t="s">
        <v>143</v>
      </c>
      <c r="B26" s="40"/>
      <c r="C26" s="44">
        <f ca="1">ACOS(C25)</f>
        <v>1.3344495588095153</v>
      </c>
      <c r="D26" s="44">
        <f ca="1">ACOS(D25)</f>
        <v>1.3350996232457839</v>
      </c>
      <c r="E26" s="44">
        <f t="shared" ref="E26:F26" ca="1" si="12">ACOS(E25)</f>
        <v>1.3350997030035958</v>
      </c>
      <c r="F26" s="44">
        <f t="shared" ca="1" si="12"/>
        <v>1.3350997030127967</v>
      </c>
      <c r="G26" s="39"/>
      <c r="H26" s="39"/>
      <c r="I26" s="39"/>
      <c r="J26" s="39"/>
      <c r="K26" s="39"/>
      <c r="L26" s="39"/>
      <c r="M26" s="39"/>
      <c r="N26" s="39"/>
      <c r="R26" s="33"/>
      <c r="S26" s="38"/>
      <c r="T26" s="33"/>
      <c r="U26" s="34"/>
    </row>
    <row r="27" spans="1:21" x14ac:dyDescent="0.25">
      <c r="A27" s="40" t="s">
        <v>144</v>
      </c>
      <c r="B27" s="40"/>
      <c r="C27" s="44">
        <f ca="1">3.14159265358979 - (C24+0.017453293*$C$10 + C26)</f>
        <v>3.2783193919250282</v>
      </c>
      <c r="D27" s="44">
        <f ca="1">C27 - (D24+0.017453293*$C$10 +D26)</f>
        <v>3.2787139797674385</v>
      </c>
      <c r="E27" s="44">
        <f ca="1">D27 - (E24+0.017453293*$C$10 + E26)</f>
        <v>3.2787140252907059</v>
      </c>
      <c r="F27" s="44">
        <f ca="1">E27 - (F24+0.017453293*$C$10 + F26)</f>
        <v>3.2787140252959572</v>
      </c>
      <c r="G27" s="39"/>
      <c r="H27" s="39"/>
      <c r="I27" s="39"/>
      <c r="J27" s="39"/>
      <c r="K27" s="39"/>
      <c r="L27" s="39"/>
      <c r="M27" s="39"/>
      <c r="N27" s="39"/>
      <c r="R27" s="33"/>
      <c r="S27" s="33"/>
      <c r="T27" s="33"/>
      <c r="U27" s="33"/>
    </row>
    <row r="28" spans="1:21" x14ac:dyDescent="0.25">
      <c r="A28" s="40" t="s">
        <v>145</v>
      </c>
      <c r="B28" s="40"/>
      <c r="C28" s="44">
        <f ca="1">3.14159265358979 - (C24+0.017453293*$C$10 -C26)</f>
        <v>5.9472185095440588</v>
      </c>
      <c r="D28" s="44">
        <f ca="1">C27 - (D24+0.017453293*$C$10 -D26)</f>
        <v>5.9489132262590063</v>
      </c>
      <c r="E28" s="44">
        <f ca="1">D27 - (E24+0.017453293*$C$10 - E26)</f>
        <v>5.948913431297898</v>
      </c>
      <c r="F28" s="44">
        <f ca="1">E27 - (F24+0.017453293*$C$10 - F26)</f>
        <v>5.9489134313215501</v>
      </c>
      <c r="G28" s="39"/>
      <c r="H28" s="39"/>
      <c r="I28" s="39"/>
      <c r="J28" s="39"/>
      <c r="K28" s="39"/>
      <c r="L28" s="39"/>
      <c r="M28" s="39"/>
      <c r="N28" s="39"/>
      <c r="R28" s="33"/>
      <c r="S28" s="33"/>
      <c r="T28" s="33"/>
      <c r="U28" s="33"/>
    </row>
    <row r="29" spans="1:21" x14ac:dyDescent="0.25">
      <c r="A29" s="47" t="s">
        <v>168</v>
      </c>
      <c r="B29" s="40"/>
      <c r="C29" s="44">
        <f ca="1">($C$15 + C27/(6.28318530718))/36525</f>
        <v>0.17007588667313508</v>
      </c>
      <c r="D29" s="44">
        <f ca="1">($C$15 + D27/6.28318530718)/36525</f>
        <v>0.17007588839252197</v>
      </c>
      <c r="E29" s="44">
        <f ca="1">($C$15 + E27/6.28318530718)/36525</f>
        <v>0.17007588839272031</v>
      </c>
      <c r="F29" s="44">
        <f ca="1">($C$15 + F27/6.28318530718)/36525</f>
        <v>0.17007588839272034</v>
      </c>
      <c r="G29" s="39"/>
      <c r="H29" s="39"/>
      <c r="I29" s="39"/>
      <c r="J29" s="39"/>
      <c r="K29" s="39"/>
      <c r="L29" s="39"/>
      <c r="M29" s="39"/>
      <c r="N29" s="39"/>
    </row>
    <row r="30" spans="1:21" x14ac:dyDescent="0.25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</row>
    <row r="31" spans="1:21" x14ac:dyDescent="0.25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</row>
    <row r="32" spans="1:21" x14ac:dyDescent="0.25">
      <c r="A32" s="39"/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</row>
    <row r="33" spans="1:14" x14ac:dyDescent="0.25">
      <c r="A33" s="39"/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</row>
    <row r="34" spans="1:14" x14ac:dyDescent="0.25">
      <c r="A34" s="39"/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</row>
    <row r="35" spans="1:14" x14ac:dyDescent="0.25">
      <c r="A35" s="55" t="s">
        <v>146</v>
      </c>
      <c r="B35" s="55"/>
      <c r="C35" s="58"/>
      <c r="D35" s="58"/>
      <c r="E35" s="58"/>
      <c r="F35" s="58"/>
      <c r="G35" s="56"/>
      <c r="H35" s="56"/>
      <c r="I35" s="56"/>
      <c r="J35" s="56"/>
      <c r="K35" s="57"/>
      <c r="L35" s="57"/>
      <c r="M35" s="57"/>
      <c r="N35" s="57"/>
    </row>
  </sheetData>
  <sheetProtection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6074"/>
  <sheetViews>
    <sheetView workbookViewId="0">
      <pane ySplit="2" topLeftCell="A3" activePane="bottomLeft" state="frozen"/>
      <selection pane="bottomLeft" activeCell="F23" sqref="F23"/>
    </sheetView>
  </sheetViews>
  <sheetFormatPr defaultColWidth="9.140625" defaultRowHeight="15" x14ac:dyDescent="0.25"/>
  <cols>
    <col min="1" max="1" width="41" style="24" customWidth="1"/>
    <col min="2" max="2" width="20.5703125" style="25" customWidth="1"/>
    <col min="3" max="3" width="9.140625" style="26"/>
    <col min="4" max="16384" width="9.140625" style="23"/>
  </cols>
  <sheetData>
    <row r="1" spans="1:3" x14ac:dyDescent="0.25">
      <c r="A1" s="134" t="s">
        <v>104</v>
      </c>
      <c r="B1" s="135"/>
      <c r="C1" s="135"/>
    </row>
    <row r="2" spans="1:3" x14ac:dyDescent="0.25">
      <c r="A2" s="24" t="s">
        <v>105</v>
      </c>
      <c r="B2" s="24" t="s">
        <v>106</v>
      </c>
      <c r="C2" s="26" t="s">
        <v>108</v>
      </c>
    </row>
    <row r="3" spans="1:3" x14ac:dyDescent="0.25">
      <c r="B3" s="24"/>
      <c r="C3" s="26">
        <v>1</v>
      </c>
    </row>
    <row r="4" spans="1:3" x14ac:dyDescent="0.25">
      <c r="C4" s="26">
        <v>2</v>
      </c>
    </row>
    <row r="5" spans="1:3" x14ac:dyDescent="0.25">
      <c r="C5" s="26">
        <v>3</v>
      </c>
    </row>
    <row r="6" spans="1:3" x14ac:dyDescent="0.25">
      <c r="C6" s="26">
        <v>4</v>
      </c>
    </row>
    <row r="7" spans="1:3" x14ac:dyDescent="0.25">
      <c r="C7" s="26">
        <v>5</v>
      </c>
    </row>
    <row r="8" spans="1:3" x14ac:dyDescent="0.25">
      <c r="C8" s="26">
        <v>6</v>
      </c>
    </row>
    <row r="9" spans="1:3" x14ac:dyDescent="0.25">
      <c r="C9" s="26">
        <v>7</v>
      </c>
    </row>
    <row r="10" spans="1:3" x14ac:dyDescent="0.25">
      <c r="C10" s="26">
        <v>8</v>
      </c>
    </row>
    <row r="11" spans="1:3" x14ac:dyDescent="0.25">
      <c r="C11" s="26">
        <v>9</v>
      </c>
    </row>
    <row r="12" spans="1:3" x14ac:dyDescent="0.25">
      <c r="C12" s="26">
        <v>10</v>
      </c>
    </row>
    <row r="13" spans="1:3" x14ac:dyDescent="0.25">
      <c r="C13" s="26">
        <v>11</v>
      </c>
    </row>
    <row r="14" spans="1:3" x14ac:dyDescent="0.25">
      <c r="C14" s="26">
        <v>12</v>
      </c>
    </row>
    <row r="15" spans="1:3" x14ac:dyDescent="0.25">
      <c r="C15" s="26">
        <v>13</v>
      </c>
    </row>
    <row r="16" spans="1:3" x14ac:dyDescent="0.25">
      <c r="C16" s="26">
        <v>14</v>
      </c>
    </row>
    <row r="17" spans="3:3" x14ac:dyDescent="0.25">
      <c r="C17" s="26">
        <v>15</v>
      </c>
    </row>
    <row r="18" spans="3:3" x14ac:dyDescent="0.25">
      <c r="C18" s="26">
        <v>16</v>
      </c>
    </row>
    <row r="19" spans="3:3" x14ac:dyDescent="0.25">
      <c r="C19" s="26">
        <v>17</v>
      </c>
    </row>
    <row r="20" spans="3:3" x14ac:dyDescent="0.25">
      <c r="C20" s="26">
        <v>18</v>
      </c>
    </row>
    <row r="21" spans="3:3" x14ac:dyDescent="0.25">
      <c r="C21" s="26">
        <v>19</v>
      </c>
    </row>
    <row r="22" spans="3:3" x14ac:dyDescent="0.25">
      <c r="C22" s="26">
        <v>20</v>
      </c>
    </row>
    <row r="23" spans="3:3" x14ac:dyDescent="0.25">
      <c r="C23" s="26">
        <v>21</v>
      </c>
    </row>
    <row r="24" spans="3:3" x14ac:dyDescent="0.25">
      <c r="C24" s="26">
        <v>22</v>
      </c>
    </row>
    <row r="25" spans="3:3" x14ac:dyDescent="0.25">
      <c r="C25" s="26">
        <v>23</v>
      </c>
    </row>
    <row r="26" spans="3:3" x14ac:dyDescent="0.25">
      <c r="C26" s="26">
        <v>24</v>
      </c>
    </row>
    <row r="27" spans="3:3" x14ac:dyDescent="0.25">
      <c r="C27" s="26">
        <v>25</v>
      </c>
    </row>
    <row r="28" spans="3:3" x14ac:dyDescent="0.25">
      <c r="C28" s="26">
        <v>26</v>
      </c>
    </row>
    <row r="29" spans="3:3" x14ac:dyDescent="0.25">
      <c r="C29" s="26">
        <v>27</v>
      </c>
    </row>
    <row r="30" spans="3:3" x14ac:dyDescent="0.25">
      <c r="C30" s="26">
        <v>28</v>
      </c>
    </row>
    <row r="31" spans="3:3" x14ac:dyDescent="0.25">
      <c r="C31" s="26">
        <v>29</v>
      </c>
    </row>
    <row r="32" spans="3:3" x14ac:dyDescent="0.25">
      <c r="C32" s="26">
        <v>30</v>
      </c>
    </row>
    <row r="33" spans="3:3" x14ac:dyDescent="0.25">
      <c r="C33" s="26">
        <v>31</v>
      </c>
    </row>
    <row r="34" spans="3:3" x14ac:dyDescent="0.25">
      <c r="C34" s="26">
        <v>32</v>
      </c>
    </row>
    <row r="35" spans="3:3" x14ac:dyDescent="0.25">
      <c r="C35" s="26">
        <v>33</v>
      </c>
    </row>
    <row r="36" spans="3:3" x14ac:dyDescent="0.25">
      <c r="C36" s="26">
        <v>34</v>
      </c>
    </row>
    <row r="37" spans="3:3" x14ac:dyDescent="0.25">
      <c r="C37" s="26">
        <v>35</v>
      </c>
    </row>
    <row r="38" spans="3:3" x14ac:dyDescent="0.25">
      <c r="C38" s="26">
        <v>36</v>
      </c>
    </row>
    <row r="39" spans="3:3" x14ac:dyDescent="0.25">
      <c r="C39" s="26">
        <v>37</v>
      </c>
    </row>
    <row r="40" spans="3:3" x14ac:dyDescent="0.25">
      <c r="C40" s="26">
        <v>38</v>
      </c>
    </row>
    <row r="41" spans="3:3" x14ac:dyDescent="0.25">
      <c r="C41" s="26">
        <v>39</v>
      </c>
    </row>
    <row r="42" spans="3:3" x14ac:dyDescent="0.25">
      <c r="C42" s="26">
        <v>40</v>
      </c>
    </row>
    <row r="43" spans="3:3" x14ac:dyDescent="0.25">
      <c r="C43" s="26">
        <v>41</v>
      </c>
    </row>
    <row r="44" spans="3:3" x14ac:dyDescent="0.25">
      <c r="C44" s="26">
        <v>42</v>
      </c>
    </row>
    <row r="45" spans="3:3" x14ac:dyDescent="0.25">
      <c r="C45" s="26">
        <v>43</v>
      </c>
    </row>
    <row r="46" spans="3:3" x14ac:dyDescent="0.25">
      <c r="C46" s="26">
        <v>44</v>
      </c>
    </row>
    <row r="47" spans="3:3" x14ac:dyDescent="0.25">
      <c r="C47" s="26">
        <v>45</v>
      </c>
    </row>
    <row r="48" spans="3:3" x14ac:dyDescent="0.25">
      <c r="C48" s="26">
        <v>46</v>
      </c>
    </row>
    <row r="49" spans="3:3" x14ac:dyDescent="0.25">
      <c r="C49" s="26">
        <v>47</v>
      </c>
    </row>
    <row r="50" spans="3:3" x14ac:dyDescent="0.25">
      <c r="C50" s="26">
        <v>48</v>
      </c>
    </row>
    <row r="51" spans="3:3" x14ac:dyDescent="0.25">
      <c r="C51" s="26">
        <v>49</v>
      </c>
    </row>
    <row r="52" spans="3:3" x14ac:dyDescent="0.25">
      <c r="C52" s="26">
        <v>50</v>
      </c>
    </row>
    <row r="53" spans="3:3" x14ac:dyDescent="0.25">
      <c r="C53" s="26">
        <v>51</v>
      </c>
    </row>
    <row r="54" spans="3:3" x14ac:dyDescent="0.25">
      <c r="C54" s="26">
        <v>52</v>
      </c>
    </row>
    <row r="55" spans="3:3" x14ac:dyDescent="0.25">
      <c r="C55" s="26">
        <v>53</v>
      </c>
    </row>
    <row r="56" spans="3:3" x14ac:dyDescent="0.25">
      <c r="C56" s="26">
        <v>54</v>
      </c>
    </row>
    <row r="57" spans="3:3" x14ac:dyDescent="0.25">
      <c r="C57" s="26">
        <v>55</v>
      </c>
    </row>
    <row r="58" spans="3:3" x14ac:dyDescent="0.25">
      <c r="C58" s="26">
        <v>56</v>
      </c>
    </row>
    <row r="59" spans="3:3" x14ac:dyDescent="0.25">
      <c r="C59" s="26">
        <v>57</v>
      </c>
    </row>
    <row r="60" spans="3:3" x14ac:dyDescent="0.25">
      <c r="C60" s="26">
        <v>58</v>
      </c>
    </row>
    <row r="61" spans="3:3" x14ac:dyDescent="0.25">
      <c r="C61" s="26">
        <v>59</v>
      </c>
    </row>
    <row r="62" spans="3:3" x14ac:dyDescent="0.25">
      <c r="C62" s="26">
        <v>60</v>
      </c>
    </row>
    <row r="63" spans="3:3" x14ac:dyDescent="0.25">
      <c r="C63" s="26">
        <v>61</v>
      </c>
    </row>
    <row r="64" spans="3:3" x14ac:dyDescent="0.25">
      <c r="C64" s="26">
        <v>62</v>
      </c>
    </row>
    <row r="65" spans="3:3" x14ac:dyDescent="0.25">
      <c r="C65" s="26">
        <v>63</v>
      </c>
    </row>
    <row r="66" spans="3:3" x14ac:dyDescent="0.25">
      <c r="C66" s="26">
        <v>64</v>
      </c>
    </row>
    <row r="67" spans="3:3" x14ac:dyDescent="0.25">
      <c r="C67" s="26">
        <v>65</v>
      </c>
    </row>
    <row r="68" spans="3:3" x14ac:dyDescent="0.25">
      <c r="C68" s="26">
        <v>66</v>
      </c>
    </row>
    <row r="69" spans="3:3" x14ac:dyDescent="0.25">
      <c r="C69" s="26">
        <v>67</v>
      </c>
    </row>
    <row r="70" spans="3:3" x14ac:dyDescent="0.25">
      <c r="C70" s="26">
        <v>68</v>
      </c>
    </row>
    <row r="71" spans="3:3" x14ac:dyDescent="0.25">
      <c r="C71" s="26">
        <v>69</v>
      </c>
    </row>
    <row r="72" spans="3:3" x14ac:dyDescent="0.25">
      <c r="C72" s="26">
        <v>70</v>
      </c>
    </row>
    <row r="73" spans="3:3" x14ac:dyDescent="0.25">
      <c r="C73" s="26">
        <v>71</v>
      </c>
    </row>
    <row r="74" spans="3:3" x14ac:dyDescent="0.25">
      <c r="C74" s="26">
        <v>72</v>
      </c>
    </row>
    <row r="75" spans="3:3" x14ac:dyDescent="0.25">
      <c r="C75" s="26">
        <v>73</v>
      </c>
    </row>
    <row r="76" spans="3:3" x14ac:dyDescent="0.25">
      <c r="C76" s="26">
        <v>74</v>
      </c>
    </row>
    <row r="77" spans="3:3" x14ac:dyDescent="0.25">
      <c r="C77" s="26">
        <v>75</v>
      </c>
    </row>
    <row r="78" spans="3:3" x14ac:dyDescent="0.25">
      <c r="C78" s="26">
        <v>76</v>
      </c>
    </row>
    <row r="79" spans="3:3" x14ac:dyDescent="0.25">
      <c r="C79" s="26">
        <v>77</v>
      </c>
    </row>
    <row r="80" spans="3:3" x14ac:dyDescent="0.25">
      <c r="C80" s="26">
        <v>78</v>
      </c>
    </row>
    <row r="81" spans="3:3" x14ac:dyDescent="0.25">
      <c r="C81" s="26">
        <v>79</v>
      </c>
    </row>
    <row r="82" spans="3:3" x14ac:dyDescent="0.25">
      <c r="C82" s="26">
        <v>80</v>
      </c>
    </row>
    <row r="83" spans="3:3" x14ac:dyDescent="0.25">
      <c r="C83" s="26">
        <v>81</v>
      </c>
    </row>
    <row r="84" spans="3:3" x14ac:dyDescent="0.25">
      <c r="C84" s="26">
        <v>82</v>
      </c>
    </row>
    <row r="85" spans="3:3" x14ac:dyDescent="0.25">
      <c r="C85" s="26">
        <v>83</v>
      </c>
    </row>
    <row r="86" spans="3:3" x14ac:dyDescent="0.25">
      <c r="C86" s="26">
        <v>84</v>
      </c>
    </row>
    <row r="87" spans="3:3" x14ac:dyDescent="0.25">
      <c r="C87" s="26">
        <v>85</v>
      </c>
    </row>
    <row r="88" spans="3:3" x14ac:dyDescent="0.25">
      <c r="C88" s="26">
        <v>86</v>
      </c>
    </row>
    <row r="89" spans="3:3" x14ac:dyDescent="0.25">
      <c r="C89" s="26">
        <v>87</v>
      </c>
    </row>
    <row r="90" spans="3:3" x14ac:dyDescent="0.25">
      <c r="C90" s="26">
        <v>88</v>
      </c>
    </row>
    <row r="91" spans="3:3" x14ac:dyDescent="0.25">
      <c r="C91" s="26">
        <v>89</v>
      </c>
    </row>
    <row r="92" spans="3:3" x14ac:dyDescent="0.25">
      <c r="C92" s="26">
        <v>90</v>
      </c>
    </row>
    <row r="93" spans="3:3" x14ac:dyDescent="0.25">
      <c r="C93" s="26">
        <v>91</v>
      </c>
    </row>
    <row r="94" spans="3:3" x14ac:dyDescent="0.25">
      <c r="C94" s="26">
        <v>92</v>
      </c>
    </row>
    <row r="95" spans="3:3" x14ac:dyDescent="0.25">
      <c r="C95" s="26">
        <v>93</v>
      </c>
    </row>
    <row r="96" spans="3:3" x14ac:dyDescent="0.25">
      <c r="C96" s="26">
        <v>94</v>
      </c>
    </row>
    <row r="97" spans="3:3" x14ac:dyDescent="0.25">
      <c r="C97" s="26">
        <v>95</v>
      </c>
    </row>
    <row r="98" spans="3:3" x14ac:dyDescent="0.25">
      <c r="C98" s="26">
        <v>96</v>
      </c>
    </row>
    <row r="99" spans="3:3" x14ac:dyDescent="0.25">
      <c r="C99" s="26">
        <v>97</v>
      </c>
    </row>
    <row r="100" spans="3:3" x14ac:dyDescent="0.25">
      <c r="C100" s="26">
        <v>98</v>
      </c>
    </row>
    <row r="101" spans="3:3" x14ac:dyDescent="0.25">
      <c r="C101" s="26">
        <v>99</v>
      </c>
    </row>
    <row r="102" spans="3:3" x14ac:dyDescent="0.25">
      <c r="C102" s="26">
        <v>100</v>
      </c>
    </row>
    <row r="103" spans="3:3" x14ac:dyDescent="0.25">
      <c r="C103" s="26">
        <v>101</v>
      </c>
    </row>
    <row r="104" spans="3:3" x14ac:dyDescent="0.25">
      <c r="C104" s="26">
        <v>102</v>
      </c>
    </row>
    <row r="105" spans="3:3" x14ac:dyDescent="0.25">
      <c r="C105" s="26">
        <v>103</v>
      </c>
    </row>
    <row r="106" spans="3:3" x14ac:dyDescent="0.25">
      <c r="C106" s="26">
        <v>104</v>
      </c>
    </row>
    <row r="107" spans="3:3" x14ac:dyDescent="0.25">
      <c r="C107" s="26">
        <v>105</v>
      </c>
    </row>
    <row r="108" spans="3:3" x14ac:dyDescent="0.25">
      <c r="C108" s="26">
        <v>106</v>
      </c>
    </row>
    <row r="109" spans="3:3" x14ac:dyDescent="0.25">
      <c r="C109" s="26">
        <v>107</v>
      </c>
    </row>
    <row r="110" spans="3:3" x14ac:dyDescent="0.25">
      <c r="C110" s="26">
        <v>108</v>
      </c>
    </row>
    <row r="111" spans="3:3" x14ac:dyDescent="0.25">
      <c r="C111" s="26">
        <v>109</v>
      </c>
    </row>
    <row r="112" spans="3:3" x14ac:dyDescent="0.25">
      <c r="C112" s="26">
        <v>110</v>
      </c>
    </row>
    <row r="113" spans="3:3" x14ac:dyDescent="0.25">
      <c r="C113" s="26">
        <v>111</v>
      </c>
    </row>
    <row r="114" spans="3:3" x14ac:dyDescent="0.25">
      <c r="C114" s="26">
        <v>112</v>
      </c>
    </row>
    <row r="115" spans="3:3" x14ac:dyDescent="0.25">
      <c r="C115" s="26">
        <v>113</v>
      </c>
    </row>
    <row r="116" spans="3:3" x14ac:dyDescent="0.25">
      <c r="C116" s="26">
        <v>114</v>
      </c>
    </row>
    <row r="117" spans="3:3" x14ac:dyDescent="0.25">
      <c r="C117" s="26">
        <v>115</v>
      </c>
    </row>
    <row r="118" spans="3:3" x14ac:dyDescent="0.25">
      <c r="C118" s="26">
        <v>116</v>
      </c>
    </row>
    <row r="119" spans="3:3" x14ac:dyDescent="0.25">
      <c r="C119" s="26">
        <v>117</v>
      </c>
    </row>
    <row r="120" spans="3:3" x14ac:dyDescent="0.25">
      <c r="C120" s="26">
        <v>118</v>
      </c>
    </row>
    <row r="121" spans="3:3" x14ac:dyDescent="0.25">
      <c r="C121" s="26">
        <v>119</v>
      </c>
    </row>
    <row r="122" spans="3:3" x14ac:dyDescent="0.25">
      <c r="C122" s="26">
        <v>120</v>
      </c>
    </row>
    <row r="123" spans="3:3" x14ac:dyDescent="0.25">
      <c r="C123" s="26">
        <v>121</v>
      </c>
    </row>
    <row r="124" spans="3:3" x14ac:dyDescent="0.25">
      <c r="C124" s="26">
        <v>122</v>
      </c>
    </row>
    <row r="125" spans="3:3" x14ac:dyDescent="0.25">
      <c r="C125" s="26">
        <v>123</v>
      </c>
    </row>
    <row r="126" spans="3:3" x14ac:dyDescent="0.25">
      <c r="C126" s="26">
        <v>124</v>
      </c>
    </row>
    <row r="127" spans="3:3" x14ac:dyDescent="0.25">
      <c r="C127" s="26">
        <v>125</v>
      </c>
    </row>
    <row r="128" spans="3:3" x14ac:dyDescent="0.25">
      <c r="C128" s="26">
        <v>126</v>
      </c>
    </row>
    <row r="129" spans="3:3" x14ac:dyDescent="0.25">
      <c r="C129" s="26">
        <v>127</v>
      </c>
    </row>
    <row r="130" spans="3:3" x14ac:dyDescent="0.25">
      <c r="C130" s="26">
        <v>128</v>
      </c>
    </row>
    <row r="131" spans="3:3" x14ac:dyDescent="0.25">
      <c r="C131" s="26">
        <v>129</v>
      </c>
    </row>
    <row r="132" spans="3:3" x14ac:dyDescent="0.25">
      <c r="C132" s="26">
        <v>130</v>
      </c>
    </row>
    <row r="133" spans="3:3" x14ac:dyDescent="0.25">
      <c r="C133" s="26">
        <v>131</v>
      </c>
    </row>
    <row r="134" spans="3:3" x14ac:dyDescent="0.25">
      <c r="C134" s="26">
        <v>132</v>
      </c>
    </row>
    <row r="135" spans="3:3" x14ac:dyDescent="0.25">
      <c r="C135" s="26">
        <v>133</v>
      </c>
    </row>
    <row r="136" spans="3:3" x14ac:dyDescent="0.25">
      <c r="C136" s="26">
        <v>134</v>
      </c>
    </row>
    <row r="137" spans="3:3" x14ac:dyDescent="0.25">
      <c r="C137" s="26">
        <v>135</v>
      </c>
    </row>
    <row r="138" spans="3:3" x14ac:dyDescent="0.25">
      <c r="C138" s="26">
        <v>136</v>
      </c>
    </row>
    <row r="139" spans="3:3" x14ac:dyDescent="0.25">
      <c r="C139" s="26">
        <v>137</v>
      </c>
    </row>
    <row r="140" spans="3:3" x14ac:dyDescent="0.25">
      <c r="C140" s="26">
        <v>138</v>
      </c>
    </row>
    <row r="141" spans="3:3" x14ac:dyDescent="0.25">
      <c r="C141" s="26">
        <v>139</v>
      </c>
    </row>
    <row r="142" spans="3:3" x14ac:dyDescent="0.25">
      <c r="C142" s="26">
        <v>140</v>
      </c>
    </row>
    <row r="143" spans="3:3" x14ac:dyDescent="0.25">
      <c r="C143" s="26">
        <v>141</v>
      </c>
    </row>
    <row r="144" spans="3:3" x14ac:dyDescent="0.25">
      <c r="C144" s="26">
        <v>142</v>
      </c>
    </row>
    <row r="145" spans="3:3" x14ac:dyDescent="0.25">
      <c r="C145" s="26">
        <v>143</v>
      </c>
    </row>
    <row r="146" spans="3:3" x14ac:dyDescent="0.25">
      <c r="C146" s="26">
        <v>144</v>
      </c>
    </row>
    <row r="147" spans="3:3" x14ac:dyDescent="0.25">
      <c r="C147" s="26">
        <v>145</v>
      </c>
    </row>
    <row r="148" spans="3:3" x14ac:dyDescent="0.25">
      <c r="C148" s="26">
        <v>146</v>
      </c>
    </row>
    <row r="149" spans="3:3" x14ac:dyDescent="0.25">
      <c r="C149" s="26">
        <v>147</v>
      </c>
    </row>
    <row r="150" spans="3:3" x14ac:dyDescent="0.25">
      <c r="C150" s="26">
        <v>148</v>
      </c>
    </row>
    <row r="151" spans="3:3" x14ac:dyDescent="0.25">
      <c r="C151" s="26">
        <v>149</v>
      </c>
    </row>
    <row r="152" spans="3:3" x14ac:dyDescent="0.25">
      <c r="C152" s="26">
        <v>150</v>
      </c>
    </row>
    <row r="153" spans="3:3" x14ac:dyDescent="0.25">
      <c r="C153" s="26">
        <v>151</v>
      </c>
    </row>
    <row r="154" spans="3:3" x14ac:dyDescent="0.25">
      <c r="C154" s="26">
        <v>152</v>
      </c>
    </row>
    <row r="155" spans="3:3" x14ac:dyDescent="0.25">
      <c r="C155" s="26">
        <v>153</v>
      </c>
    </row>
    <row r="156" spans="3:3" x14ac:dyDescent="0.25">
      <c r="C156" s="26">
        <v>154</v>
      </c>
    </row>
    <row r="157" spans="3:3" x14ac:dyDescent="0.25">
      <c r="C157" s="26">
        <v>155</v>
      </c>
    </row>
    <row r="158" spans="3:3" x14ac:dyDescent="0.25">
      <c r="C158" s="26">
        <v>156</v>
      </c>
    </row>
    <row r="159" spans="3:3" x14ac:dyDescent="0.25">
      <c r="C159" s="26">
        <v>157</v>
      </c>
    </row>
    <row r="160" spans="3:3" x14ac:dyDescent="0.25">
      <c r="C160" s="26">
        <v>158</v>
      </c>
    </row>
    <row r="161" spans="3:3" x14ac:dyDescent="0.25">
      <c r="C161" s="26">
        <v>159</v>
      </c>
    </row>
    <row r="162" spans="3:3" x14ac:dyDescent="0.25">
      <c r="C162" s="26">
        <v>160</v>
      </c>
    </row>
    <row r="163" spans="3:3" x14ac:dyDescent="0.25">
      <c r="C163" s="26">
        <v>161</v>
      </c>
    </row>
    <row r="164" spans="3:3" x14ac:dyDescent="0.25">
      <c r="C164" s="26">
        <v>162</v>
      </c>
    </row>
    <row r="165" spans="3:3" x14ac:dyDescent="0.25">
      <c r="C165" s="26">
        <v>163</v>
      </c>
    </row>
    <row r="166" spans="3:3" x14ac:dyDescent="0.25">
      <c r="C166" s="26">
        <v>164</v>
      </c>
    </row>
    <row r="167" spans="3:3" x14ac:dyDescent="0.25">
      <c r="C167" s="26">
        <v>165</v>
      </c>
    </row>
    <row r="168" spans="3:3" x14ac:dyDescent="0.25">
      <c r="C168" s="26">
        <v>166</v>
      </c>
    </row>
    <row r="169" spans="3:3" x14ac:dyDescent="0.25">
      <c r="C169" s="26">
        <v>167</v>
      </c>
    </row>
    <row r="170" spans="3:3" x14ac:dyDescent="0.25">
      <c r="C170" s="26">
        <v>168</v>
      </c>
    </row>
    <row r="171" spans="3:3" x14ac:dyDescent="0.25">
      <c r="C171" s="26">
        <v>169</v>
      </c>
    </row>
    <row r="172" spans="3:3" x14ac:dyDescent="0.25">
      <c r="C172" s="26">
        <v>170</v>
      </c>
    </row>
    <row r="173" spans="3:3" x14ac:dyDescent="0.25">
      <c r="C173" s="26">
        <v>171</v>
      </c>
    </row>
    <row r="174" spans="3:3" x14ac:dyDescent="0.25">
      <c r="C174" s="26">
        <v>172</v>
      </c>
    </row>
    <row r="175" spans="3:3" x14ac:dyDescent="0.25">
      <c r="C175" s="26">
        <v>173</v>
      </c>
    </row>
    <row r="176" spans="3:3" x14ac:dyDescent="0.25">
      <c r="C176" s="26">
        <v>174</v>
      </c>
    </row>
    <row r="177" spans="3:3" x14ac:dyDescent="0.25">
      <c r="C177" s="26">
        <v>175</v>
      </c>
    </row>
    <row r="178" spans="3:3" x14ac:dyDescent="0.25">
      <c r="C178" s="26">
        <v>176</v>
      </c>
    </row>
    <row r="179" spans="3:3" x14ac:dyDescent="0.25">
      <c r="C179" s="26">
        <v>177</v>
      </c>
    </row>
    <row r="180" spans="3:3" x14ac:dyDescent="0.25">
      <c r="C180" s="26">
        <v>178</v>
      </c>
    </row>
    <row r="181" spans="3:3" x14ac:dyDescent="0.25">
      <c r="C181" s="26">
        <v>179</v>
      </c>
    </row>
    <row r="182" spans="3:3" x14ac:dyDescent="0.25">
      <c r="C182" s="26">
        <v>180</v>
      </c>
    </row>
    <row r="183" spans="3:3" x14ac:dyDescent="0.25">
      <c r="C183" s="26">
        <v>181</v>
      </c>
    </row>
    <row r="184" spans="3:3" x14ac:dyDescent="0.25">
      <c r="C184" s="26">
        <v>182</v>
      </c>
    </row>
    <row r="185" spans="3:3" x14ac:dyDescent="0.25">
      <c r="C185" s="26">
        <v>183</v>
      </c>
    </row>
    <row r="186" spans="3:3" x14ac:dyDescent="0.25">
      <c r="C186" s="26">
        <v>184</v>
      </c>
    </row>
    <row r="187" spans="3:3" x14ac:dyDescent="0.25">
      <c r="C187" s="26">
        <v>185</v>
      </c>
    </row>
    <row r="188" spans="3:3" x14ac:dyDescent="0.25">
      <c r="C188" s="26">
        <v>186</v>
      </c>
    </row>
    <row r="189" spans="3:3" x14ac:dyDescent="0.25">
      <c r="C189" s="26">
        <v>187</v>
      </c>
    </row>
    <row r="190" spans="3:3" x14ac:dyDescent="0.25">
      <c r="C190" s="26">
        <v>188</v>
      </c>
    </row>
    <row r="191" spans="3:3" x14ac:dyDescent="0.25">
      <c r="C191" s="26">
        <v>189</v>
      </c>
    </row>
    <row r="192" spans="3:3" x14ac:dyDescent="0.25">
      <c r="C192" s="26">
        <v>190</v>
      </c>
    </row>
    <row r="193" spans="3:3" x14ac:dyDescent="0.25">
      <c r="C193" s="26">
        <v>191</v>
      </c>
    </row>
    <row r="194" spans="3:3" x14ac:dyDescent="0.25">
      <c r="C194" s="26">
        <v>192</v>
      </c>
    </row>
    <row r="195" spans="3:3" x14ac:dyDescent="0.25">
      <c r="C195" s="26">
        <v>193</v>
      </c>
    </row>
    <row r="196" spans="3:3" x14ac:dyDescent="0.25">
      <c r="C196" s="26">
        <v>194</v>
      </c>
    </row>
    <row r="197" spans="3:3" x14ac:dyDescent="0.25">
      <c r="C197" s="26">
        <v>195</v>
      </c>
    </row>
    <row r="198" spans="3:3" x14ac:dyDescent="0.25">
      <c r="C198" s="26">
        <v>196</v>
      </c>
    </row>
    <row r="199" spans="3:3" x14ac:dyDescent="0.25">
      <c r="C199" s="26">
        <v>197</v>
      </c>
    </row>
    <row r="200" spans="3:3" x14ac:dyDescent="0.25">
      <c r="C200" s="26">
        <v>198</v>
      </c>
    </row>
    <row r="201" spans="3:3" x14ac:dyDescent="0.25">
      <c r="C201" s="26">
        <v>199</v>
      </c>
    </row>
    <row r="202" spans="3:3" x14ac:dyDescent="0.25">
      <c r="C202" s="26">
        <v>200</v>
      </c>
    </row>
    <row r="203" spans="3:3" x14ac:dyDescent="0.25">
      <c r="C203" s="26">
        <v>201</v>
      </c>
    </row>
    <row r="204" spans="3:3" x14ac:dyDescent="0.25">
      <c r="C204" s="26">
        <v>202</v>
      </c>
    </row>
    <row r="205" spans="3:3" x14ac:dyDescent="0.25">
      <c r="C205" s="26">
        <v>203</v>
      </c>
    </row>
    <row r="206" spans="3:3" x14ac:dyDescent="0.25">
      <c r="C206" s="26">
        <v>204</v>
      </c>
    </row>
    <row r="207" spans="3:3" x14ac:dyDescent="0.25">
      <c r="C207" s="26">
        <v>205</v>
      </c>
    </row>
    <row r="208" spans="3:3" x14ac:dyDescent="0.25">
      <c r="C208" s="26">
        <v>206</v>
      </c>
    </row>
    <row r="209" spans="3:3" x14ac:dyDescent="0.25">
      <c r="C209" s="26">
        <v>207</v>
      </c>
    </row>
    <row r="210" spans="3:3" x14ac:dyDescent="0.25">
      <c r="C210" s="26">
        <v>208</v>
      </c>
    </row>
    <row r="211" spans="3:3" x14ac:dyDescent="0.25">
      <c r="C211" s="26">
        <v>209</v>
      </c>
    </row>
    <row r="212" spans="3:3" x14ac:dyDescent="0.25">
      <c r="C212" s="26">
        <v>210</v>
      </c>
    </row>
    <row r="213" spans="3:3" x14ac:dyDescent="0.25">
      <c r="C213" s="26">
        <v>211</v>
      </c>
    </row>
    <row r="214" spans="3:3" x14ac:dyDescent="0.25">
      <c r="C214" s="26">
        <v>212</v>
      </c>
    </row>
    <row r="215" spans="3:3" x14ac:dyDescent="0.25">
      <c r="C215" s="26">
        <v>213</v>
      </c>
    </row>
    <row r="216" spans="3:3" x14ac:dyDescent="0.25">
      <c r="C216" s="26">
        <v>214</v>
      </c>
    </row>
    <row r="217" spans="3:3" x14ac:dyDescent="0.25">
      <c r="C217" s="26">
        <v>215</v>
      </c>
    </row>
    <row r="218" spans="3:3" x14ac:dyDescent="0.25">
      <c r="C218" s="26">
        <v>216</v>
      </c>
    </row>
    <row r="219" spans="3:3" x14ac:dyDescent="0.25">
      <c r="C219" s="26">
        <v>217</v>
      </c>
    </row>
    <row r="220" spans="3:3" x14ac:dyDescent="0.25">
      <c r="C220" s="26">
        <v>218</v>
      </c>
    </row>
    <row r="221" spans="3:3" x14ac:dyDescent="0.25">
      <c r="C221" s="26">
        <v>219</v>
      </c>
    </row>
    <row r="222" spans="3:3" x14ac:dyDescent="0.25">
      <c r="C222" s="26">
        <v>220</v>
      </c>
    </row>
    <row r="223" spans="3:3" x14ac:dyDescent="0.25">
      <c r="C223" s="26">
        <v>221</v>
      </c>
    </row>
    <row r="224" spans="3:3" x14ac:dyDescent="0.25">
      <c r="C224" s="26">
        <v>222</v>
      </c>
    </row>
    <row r="225" spans="3:3" x14ac:dyDescent="0.25">
      <c r="C225" s="26">
        <v>223</v>
      </c>
    </row>
    <row r="226" spans="3:3" x14ac:dyDescent="0.25">
      <c r="C226" s="26">
        <v>224</v>
      </c>
    </row>
    <row r="227" spans="3:3" x14ac:dyDescent="0.25">
      <c r="C227" s="26">
        <v>225</v>
      </c>
    </row>
    <row r="228" spans="3:3" x14ac:dyDescent="0.25">
      <c r="C228" s="26">
        <v>226</v>
      </c>
    </row>
    <row r="229" spans="3:3" x14ac:dyDescent="0.25">
      <c r="C229" s="26">
        <v>227</v>
      </c>
    </row>
    <row r="230" spans="3:3" x14ac:dyDescent="0.25">
      <c r="C230" s="26">
        <v>228</v>
      </c>
    </row>
    <row r="231" spans="3:3" x14ac:dyDescent="0.25">
      <c r="C231" s="26">
        <v>229</v>
      </c>
    </row>
    <row r="232" spans="3:3" x14ac:dyDescent="0.25">
      <c r="C232" s="26">
        <v>230</v>
      </c>
    </row>
    <row r="233" spans="3:3" x14ac:dyDescent="0.25">
      <c r="C233" s="26">
        <v>231</v>
      </c>
    </row>
    <row r="234" spans="3:3" x14ac:dyDescent="0.25">
      <c r="C234" s="26">
        <v>232</v>
      </c>
    </row>
    <row r="235" spans="3:3" x14ac:dyDescent="0.25">
      <c r="C235" s="26">
        <v>233</v>
      </c>
    </row>
    <row r="236" spans="3:3" x14ac:dyDescent="0.25">
      <c r="C236" s="26">
        <v>234</v>
      </c>
    </row>
    <row r="237" spans="3:3" x14ac:dyDescent="0.25">
      <c r="C237" s="26">
        <v>235</v>
      </c>
    </row>
    <row r="238" spans="3:3" x14ac:dyDescent="0.25">
      <c r="C238" s="26">
        <v>236</v>
      </c>
    </row>
    <row r="239" spans="3:3" x14ac:dyDescent="0.25">
      <c r="C239" s="26">
        <v>237</v>
      </c>
    </row>
    <row r="240" spans="3:3" x14ac:dyDescent="0.25">
      <c r="C240" s="26">
        <v>238</v>
      </c>
    </row>
    <row r="241" spans="3:3" x14ac:dyDescent="0.25">
      <c r="C241" s="26">
        <v>239</v>
      </c>
    </row>
    <row r="242" spans="3:3" x14ac:dyDescent="0.25">
      <c r="C242" s="26">
        <v>240</v>
      </c>
    </row>
    <row r="243" spans="3:3" x14ac:dyDescent="0.25">
      <c r="C243" s="26">
        <v>241</v>
      </c>
    </row>
    <row r="244" spans="3:3" x14ac:dyDescent="0.25">
      <c r="C244" s="26">
        <v>242</v>
      </c>
    </row>
    <row r="245" spans="3:3" x14ac:dyDescent="0.25">
      <c r="C245" s="26">
        <v>243</v>
      </c>
    </row>
    <row r="246" spans="3:3" x14ac:dyDescent="0.25">
      <c r="C246" s="26">
        <v>244</v>
      </c>
    </row>
    <row r="247" spans="3:3" x14ac:dyDescent="0.25">
      <c r="C247" s="26">
        <v>245</v>
      </c>
    </row>
    <row r="248" spans="3:3" x14ac:dyDescent="0.25">
      <c r="C248" s="26">
        <v>246</v>
      </c>
    </row>
    <row r="249" spans="3:3" x14ac:dyDescent="0.25">
      <c r="C249" s="26">
        <v>247</v>
      </c>
    </row>
    <row r="250" spans="3:3" x14ac:dyDescent="0.25">
      <c r="C250" s="26">
        <v>248</v>
      </c>
    </row>
    <row r="251" spans="3:3" x14ac:dyDescent="0.25">
      <c r="C251" s="26">
        <v>249</v>
      </c>
    </row>
    <row r="252" spans="3:3" x14ac:dyDescent="0.25">
      <c r="C252" s="26">
        <v>250</v>
      </c>
    </row>
    <row r="253" spans="3:3" x14ac:dyDescent="0.25">
      <c r="C253" s="26">
        <v>251</v>
      </c>
    </row>
    <row r="254" spans="3:3" x14ac:dyDescent="0.25">
      <c r="C254" s="26">
        <v>252</v>
      </c>
    </row>
    <row r="255" spans="3:3" x14ac:dyDescent="0.25">
      <c r="C255" s="26">
        <v>253</v>
      </c>
    </row>
    <row r="256" spans="3:3" x14ac:dyDescent="0.25">
      <c r="C256" s="26">
        <v>254</v>
      </c>
    </row>
    <row r="257" spans="3:3" x14ac:dyDescent="0.25">
      <c r="C257" s="26">
        <v>255</v>
      </c>
    </row>
    <row r="258" spans="3:3" x14ac:dyDescent="0.25">
      <c r="C258" s="26">
        <v>256</v>
      </c>
    </row>
    <row r="259" spans="3:3" x14ac:dyDescent="0.25">
      <c r="C259" s="26">
        <v>257</v>
      </c>
    </row>
    <row r="260" spans="3:3" x14ac:dyDescent="0.25">
      <c r="C260" s="26">
        <v>258</v>
      </c>
    </row>
    <row r="261" spans="3:3" x14ac:dyDescent="0.25">
      <c r="C261" s="26">
        <v>259</v>
      </c>
    </row>
    <row r="262" spans="3:3" x14ac:dyDescent="0.25">
      <c r="C262" s="26">
        <v>260</v>
      </c>
    </row>
    <row r="263" spans="3:3" x14ac:dyDescent="0.25">
      <c r="C263" s="26">
        <v>261</v>
      </c>
    </row>
    <row r="264" spans="3:3" x14ac:dyDescent="0.25">
      <c r="C264" s="26">
        <v>262</v>
      </c>
    </row>
    <row r="265" spans="3:3" x14ac:dyDescent="0.25">
      <c r="C265" s="26">
        <v>263</v>
      </c>
    </row>
    <row r="266" spans="3:3" x14ac:dyDescent="0.25">
      <c r="C266" s="26">
        <v>264</v>
      </c>
    </row>
    <row r="267" spans="3:3" x14ac:dyDescent="0.25">
      <c r="C267" s="26">
        <v>265</v>
      </c>
    </row>
    <row r="268" spans="3:3" x14ac:dyDescent="0.25">
      <c r="C268" s="26">
        <v>266</v>
      </c>
    </row>
    <row r="269" spans="3:3" x14ac:dyDescent="0.25">
      <c r="C269" s="26">
        <v>267</v>
      </c>
    </row>
    <row r="270" spans="3:3" x14ac:dyDescent="0.25">
      <c r="C270" s="26">
        <v>268</v>
      </c>
    </row>
    <row r="271" spans="3:3" x14ac:dyDescent="0.25">
      <c r="C271" s="26">
        <v>269</v>
      </c>
    </row>
    <row r="272" spans="3:3" x14ac:dyDescent="0.25">
      <c r="C272" s="26">
        <v>270</v>
      </c>
    </row>
    <row r="273" spans="3:3" x14ac:dyDescent="0.25">
      <c r="C273" s="26">
        <v>271</v>
      </c>
    </row>
    <row r="274" spans="3:3" x14ac:dyDescent="0.25">
      <c r="C274" s="26">
        <v>272</v>
      </c>
    </row>
    <row r="275" spans="3:3" x14ac:dyDescent="0.25">
      <c r="C275" s="26">
        <v>273</v>
      </c>
    </row>
    <row r="276" spans="3:3" x14ac:dyDescent="0.25">
      <c r="C276" s="26">
        <v>274</v>
      </c>
    </row>
    <row r="277" spans="3:3" x14ac:dyDescent="0.25">
      <c r="C277" s="26">
        <v>275</v>
      </c>
    </row>
    <row r="278" spans="3:3" x14ac:dyDescent="0.25">
      <c r="C278" s="26">
        <v>276</v>
      </c>
    </row>
    <row r="279" spans="3:3" x14ac:dyDescent="0.25">
      <c r="C279" s="26">
        <v>277</v>
      </c>
    </row>
    <row r="280" spans="3:3" x14ac:dyDescent="0.25">
      <c r="C280" s="26">
        <v>278</v>
      </c>
    </row>
    <row r="281" spans="3:3" x14ac:dyDescent="0.25">
      <c r="C281" s="26">
        <v>279</v>
      </c>
    </row>
    <row r="282" spans="3:3" x14ac:dyDescent="0.25">
      <c r="C282" s="26">
        <v>280</v>
      </c>
    </row>
    <row r="283" spans="3:3" x14ac:dyDescent="0.25">
      <c r="C283" s="26">
        <v>281</v>
      </c>
    </row>
    <row r="284" spans="3:3" x14ac:dyDescent="0.25">
      <c r="C284" s="26">
        <v>282</v>
      </c>
    </row>
    <row r="285" spans="3:3" x14ac:dyDescent="0.25">
      <c r="C285" s="26">
        <v>283</v>
      </c>
    </row>
    <row r="286" spans="3:3" x14ac:dyDescent="0.25">
      <c r="C286" s="26">
        <v>284</v>
      </c>
    </row>
    <row r="287" spans="3:3" x14ac:dyDescent="0.25">
      <c r="C287" s="26">
        <v>285</v>
      </c>
    </row>
    <row r="288" spans="3:3" x14ac:dyDescent="0.25">
      <c r="C288" s="26">
        <v>286</v>
      </c>
    </row>
    <row r="289" spans="3:3" x14ac:dyDescent="0.25">
      <c r="C289" s="26">
        <v>287</v>
      </c>
    </row>
    <row r="290" spans="3:3" x14ac:dyDescent="0.25">
      <c r="C290" s="26">
        <v>288</v>
      </c>
    </row>
    <row r="291" spans="3:3" x14ac:dyDescent="0.25">
      <c r="C291" s="26">
        <v>289</v>
      </c>
    </row>
    <row r="292" spans="3:3" x14ac:dyDescent="0.25">
      <c r="C292" s="26">
        <v>290</v>
      </c>
    </row>
    <row r="293" spans="3:3" x14ac:dyDescent="0.25">
      <c r="C293" s="26">
        <v>291</v>
      </c>
    </row>
    <row r="294" spans="3:3" x14ac:dyDescent="0.25">
      <c r="C294" s="26">
        <v>292</v>
      </c>
    </row>
    <row r="295" spans="3:3" x14ac:dyDescent="0.25">
      <c r="C295" s="26">
        <v>293</v>
      </c>
    </row>
    <row r="296" spans="3:3" x14ac:dyDescent="0.25">
      <c r="C296" s="26">
        <v>294</v>
      </c>
    </row>
    <row r="297" spans="3:3" x14ac:dyDescent="0.25">
      <c r="C297" s="26">
        <v>295</v>
      </c>
    </row>
    <row r="298" spans="3:3" x14ac:dyDescent="0.25">
      <c r="C298" s="26">
        <v>296</v>
      </c>
    </row>
    <row r="299" spans="3:3" x14ac:dyDescent="0.25">
      <c r="C299" s="26">
        <v>297</v>
      </c>
    </row>
    <row r="300" spans="3:3" x14ac:dyDescent="0.25">
      <c r="C300" s="26">
        <v>298</v>
      </c>
    </row>
    <row r="301" spans="3:3" x14ac:dyDescent="0.25">
      <c r="C301" s="26">
        <v>299</v>
      </c>
    </row>
    <row r="302" spans="3:3" x14ac:dyDescent="0.25">
      <c r="C302" s="26">
        <v>300</v>
      </c>
    </row>
    <row r="303" spans="3:3" x14ac:dyDescent="0.25">
      <c r="C303" s="26">
        <v>301</v>
      </c>
    </row>
    <row r="304" spans="3:3" x14ac:dyDescent="0.25">
      <c r="C304" s="26">
        <v>302</v>
      </c>
    </row>
    <row r="305" spans="3:3" x14ac:dyDescent="0.25">
      <c r="C305" s="26">
        <v>303</v>
      </c>
    </row>
    <row r="306" spans="3:3" x14ac:dyDescent="0.25">
      <c r="C306" s="26">
        <v>304</v>
      </c>
    </row>
    <row r="307" spans="3:3" x14ac:dyDescent="0.25">
      <c r="C307" s="26">
        <v>305</v>
      </c>
    </row>
    <row r="308" spans="3:3" x14ac:dyDescent="0.25">
      <c r="C308" s="26">
        <v>306</v>
      </c>
    </row>
    <row r="309" spans="3:3" x14ac:dyDescent="0.25">
      <c r="C309" s="26">
        <v>307</v>
      </c>
    </row>
    <row r="310" spans="3:3" x14ac:dyDescent="0.25">
      <c r="C310" s="26">
        <v>308</v>
      </c>
    </row>
    <row r="311" spans="3:3" x14ac:dyDescent="0.25">
      <c r="C311" s="26">
        <v>309</v>
      </c>
    </row>
    <row r="312" spans="3:3" x14ac:dyDescent="0.25">
      <c r="C312" s="26">
        <v>310</v>
      </c>
    </row>
    <row r="313" spans="3:3" x14ac:dyDescent="0.25">
      <c r="C313" s="26">
        <v>311</v>
      </c>
    </row>
    <row r="314" spans="3:3" x14ac:dyDescent="0.25">
      <c r="C314" s="26">
        <v>312</v>
      </c>
    </row>
    <row r="315" spans="3:3" x14ac:dyDescent="0.25">
      <c r="C315" s="26">
        <v>313</v>
      </c>
    </row>
    <row r="316" spans="3:3" x14ac:dyDescent="0.25">
      <c r="C316" s="26">
        <v>314</v>
      </c>
    </row>
    <row r="317" spans="3:3" x14ac:dyDescent="0.25">
      <c r="C317" s="26">
        <v>315</v>
      </c>
    </row>
    <row r="318" spans="3:3" x14ac:dyDescent="0.25">
      <c r="C318" s="26">
        <v>316</v>
      </c>
    </row>
    <row r="319" spans="3:3" x14ac:dyDescent="0.25">
      <c r="C319" s="26">
        <v>317</v>
      </c>
    </row>
    <row r="320" spans="3:3" x14ac:dyDescent="0.25">
      <c r="C320" s="26">
        <v>318</v>
      </c>
    </row>
    <row r="321" spans="3:3" x14ac:dyDescent="0.25">
      <c r="C321" s="26">
        <v>319</v>
      </c>
    </row>
    <row r="322" spans="3:3" x14ac:dyDescent="0.25">
      <c r="C322" s="26">
        <v>320</v>
      </c>
    </row>
    <row r="323" spans="3:3" x14ac:dyDescent="0.25">
      <c r="C323" s="26">
        <v>321</v>
      </c>
    </row>
    <row r="324" spans="3:3" x14ac:dyDescent="0.25">
      <c r="C324" s="26">
        <v>322</v>
      </c>
    </row>
    <row r="325" spans="3:3" x14ac:dyDescent="0.25">
      <c r="C325" s="26">
        <v>323</v>
      </c>
    </row>
    <row r="326" spans="3:3" x14ac:dyDescent="0.25">
      <c r="C326" s="26">
        <v>324</v>
      </c>
    </row>
    <row r="327" spans="3:3" x14ac:dyDescent="0.25">
      <c r="C327" s="26">
        <v>325</v>
      </c>
    </row>
    <row r="328" spans="3:3" x14ac:dyDescent="0.25">
      <c r="C328" s="26">
        <v>326</v>
      </c>
    </row>
    <row r="329" spans="3:3" x14ac:dyDescent="0.25">
      <c r="C329" s="26">
        <v>327</v>
      </c>
    </row>
    <row r="330" spans="3:3" x14ac:dyDescent="0.25">
      <c r="C330" s="26">
        <v>328</v>
      </c>
    </row>
    <row r="331" spans="3:3" x14ac:dyDescent="0.25">
      <c r="C331" s="26">
        <v>329</v>
      </c>
    </row>
    <row r="332" spans="3:3" x14ac:dyDescent="0.25">
      <c r="C332" s="26">
        <v>330</v>
      </c>
    </row>
    <row r="333" spans="3:3" x14ac:dyDescent="0.25">
      <c r="C333" s="26">
        <v>331</v>
      </c>
    </row>
    <row r="334" spans="3:3" x14ac:dyDescent="0.25">
      <c r="C334" s="26">
        <v>332</v>
      </c>
    </row>
    <row r="335" spans="3:3" x14ac:dyDescent="0.25">
      <c r="C335" s="26">
        <v>333</v>
      </c>
    </row>
    <row r="336" spans="3:3" x14ac:dyDescent="0.25">
      <c r="C336" s="26">
        <v>334</v>
      </c>
    </row>
    <row r="337" spans="3:3" x14ac:dyDescent="0.25">
      <c r="C337" s="26">
        <v>335</v>
      </c>
    </row>
    <row r="338" spans="3:3" x14ac:dyDescent="0.25">
      <c r="C338" s="26">
        <v>336</v>
      </c>
    </row>
    <row r="339" spans="3:3" x14ac:dyDescent="0.25">
      <c r="C339" s="26">
        <v>337</v>
      </c>
    </row>
    <row r="340" spans="3:3" x14ac:dyDescent="0.25">
      <c r="C340" s="26">
        <v>338</v>
      </c>
    </row>
    <row r="341" spans="3:3" x14ac:dyDescent="0.25">
      <c r="C341" s="26">
        <v>339</v>
      </c>
    </row>
    <row r="342" spans="3:3" x14ac:dyDescent="0.25">
      <c r="C342" s="26">
        <v>340</v>
      </c>
    </row>
    <row r="343" spans="3:3" x14ac:dyDescent="0.25">
      <c r="C343" s="26">
        <v>341</v>
      </c>
    </row>
    <row r="344" spans="3:3" x14ac:dyDescent="0.25">
      <c r="C344" s="26">
        <v>342</v>
      </c>
    </row>
    <row r="345" spans="3:3" x14ac:dyDescent="0.25">
      <c r="C345" s="26">
        <v>343</v>
      </c>
    </row>
    <row r="346" spans="3:3" x14ac:dyDescent="0.25">
      <c r="C346" s="26">
        <v>344</v>
      </c>
    </row>
    <row r="347" spans="3:3" x14ac:dyDescent="0.25">
      <c r="C347" s="26">
        <v>345</v>
      </c>
    </row>
    <row r="348" spans="3:3" x14ac:dyDescent="0.25">
      <c r="C348" s="26">
        <v>346</v>
      </c>
    </row>
    <row r="349" spans="3:3" x14ac:dyDescent="0.25">
      <c r="C349" s="26">
        <v>347</v>
      </c>
    </row>
    <row r="350" spans="3:3" x14ac:dyDescent="0.25">
      <c r="C350" s="26">
        <v>348</v>
      </c>
    </row>
    <row r="351" spans="3:3" x14ac:dyDescent="0.25">
      <c r="C351" s="26">
        <v>349</v>
      </c>
    </row>
    <row r="352" spans="3:3" x14ac:dyDescent="0.25">
      <c r="C352" s="26">
        <v>350</v>
      </c>
    </row>
    <row r="353" spans="3:3" x14ac:dyDescent="0.25">
      <c r="C353" s="26">
        <v>351</v>
      </c>
    </row>
    <row r="354" spans="3:3" x14ac:dyDescent="0.25">
      <c r="C354" s="26">
        <v>352</v>
      </c>
    </row>
    <row r="355" spans="3:3" x14ac:dyDescent="0.25">
      <c r="C355" s="26">
        <v>353</v>
      </c>
    </row>
    <row r="356" spans="3:3" x14ac:dyDescent="0.25">
      <c r="C356" s="26">
        <v>354</v>
      </c>
    </row>
    <row r="357" spans="3:3" x14ac:dyDescent="0.25">
      <c r="C357" s="26">
        <v>355</v>
      </c>
    </row>
    <row r="358" spans="3:3" x14ac:dyDescent="0.25">
      <c r="C358" s="26">
        <v>356</v>
      </c>
    </row>
    <row r="359" spans="3:3" x14ac:dyDescent="0.25">
      <c r="C359" s="26">
        <v>357</v>
      </c>
    </row>
    <row r="360" spans="3:3" x14ac:dyDescent="0.25">
      <c r="C360" s="26">
        <v>358</v>
      </c>
    </row>
    <row r="361" spans="3:3" x14ac:dyDescent="0.25">
      <c r="C361" s="26">
        <v>359</v>
      </c>
    </row>
    <row r="362" spans="3:3" x14ac:dyDescent="0.25">
      <c r="C362" s="26">
        <v>360</v>
      </c>
    </row>
    <row r="363" spans="3:3" x14ac:dyDescent="0.25">
      <c r="C363" s="26">
        <v>361</v>
      </c>
    </row>
    <row r="364" spans="3:3" x14ac:dyDescent="0.25">
      <c r="C364" s="26">
        <v>362</v>
      </c>
    </row>
    <row r="365" spans="3:3" x14ac:dyDescent="0.25">
      <c r="C365" s="26">
        <v>363</v>
      </c>
    </row>
    <row r="366" spans="3:3" x14ac:dyDescent="0.25">
      <c r="C366" s="26">
        <v>364</v>
      </c>
    </row>
    <row r="367" spans="3:3" x14ac:dyDescent="0.25">
      <c r="C367" s="26">
        <v>365</v>
      </c>
    </row>
    <row r="368" spans="3:3" x14ac:dyDescent="0.25">
      <c r="C368" s="26">
        <v>366</v>
      </c>
    </row>
    <row r="369" spans="3:3" x14ac:dyDescent="0.25">
      <c r="C369" s="26">
        <v>367</v>
      </c>
    </row>
    <row r="370" spans="3:3" x14ac:dyDescent="0.25">
      <c r="C370" s="26">
        <v>368</v>
      </c>
    </row>
    <row r="371" spans="3:3" x14ac:dyDescent="0.25">
      <c r="C371" s="26">
        <v>369</v>
      </c>
    </row>
    <row r="372" spans="3:3" x14ac:dyDescent="0.25">
      <c r="C372" s="26">
        <v>370</v>
      </c>
    </row>
    <row r="373" spans="3:3" x14ac:dyDescent="0.25">
      <c r="C373" s="26">
        <v>371</v>
      </c>
    </row>
    <row r="374" spans="3:3" x14ac:dyDescent="0.25">
      <c r="C374" s="26">
        <v>372</v>
      </c>
    </row>
    <row r="375" spans="3:3" x14ac:dyDescent="0.25">
      <c r="C375" s="26">
        <v>373</v>
      </c>
    </row>
    <row r="376" spans="3:3" x14ac:dyDescent="0.25">
      <c r="C376" s="26">
        <v>374</v>
      </c>
    </row>
    <row r="377" spans="3:3" x14ac:dyDescent="0.25">
      <c r="C377" s="26">
        <v>375</v>
      </c>
    </row>
    <row r="378" spans="3:3" x14ac:dyDescent="0.25">
      <c r="C378" s="26">
        <v>376</v>
      </c>
    </row>
    <row r="379" spans="3:3" x14ac:dyDescent="0.25">
      <c r="C379" s="26">
        <v>377</v>
      </c>
    </row>
    <row r="380" spans="3:3" x14ac:dyDescent="0.25">
      <c r="C380" s="26">
        <v>378</v>
      </c>
    </row>
    <row r="381" spans="3:3" x14ac:dyDescent="0.25">
      <c r="C381" s="26">
        <v>379</v>
      </c>
    </row>
    <row r="382" spans="3:3" x14ac:dyDescent="0.25">
      <c r="C382" s="26">
        <v>380</v>
      </c>
    </row>
    <row r="383" spans="3:3" x14ac:dyDescent="0.25">
      <c r="C383" s="26">
        <v>381</v>
      </c>
    </row>
    <row r="384" spans="3:3" x14ac:dyDescent="0.25">
      <c r="C384" s="26">
        <v>382</v>
      </c>
    </row>
    <row r="385" spans="3:3" x14ac:dyDescent="0.25">
      <c r="C385" s="26">
        <v>383</v>
      </c>
    </row>
    <row r="386" spans="3:3" x14ac:dyDescent="0.25">
      <c r="C386" s="26">
        <v>384</v>
      </c>
    </row>
    <row r="387" spans="3:3" x14ac:dyDescent="0.25">
      <c r="C387" s="26">
        <v>385</v>
      </c>
    </row>
    <row r="388" spans="3:3" x14ac:dyDescent="0.25">
      <c r="C388" s="26">
        <v>386</v>
      </c>
    </row>
    <row r="389" spans="3:3" x14ac:dyDescent="0.25">
      <c r="C389" s="26">
        <v>387</v>
      </c>
    </row>
    <row r="390" spans="3:3" x14ac:dyDescent="0.25">
      <c r="C390" s="26">
        <v>388</v>
      </c>
    </row>
    <row r="391" spans="3:3" x14ac:dyDescent="0.25">
      <c r="C391" s="26">
        <v>389</v>
      </c>
    </row>
    <row r="392" spans="3:3" x14ac:dyDescent="0.25">
      <c r="C392" s="26">
        <v>390</v>
      </c>
    </row>
    <row r="393" spans="3:3" x14ac:dyDescent="0.25">
      <c r="C393" s="26">
        <v>391</v>
      </c>
    </row>
    <row r="394" spans="3:3" x14ac:dyDescent="0.25">
      <c r="C394" s="26">
        <v>392</v>
      </c>
    </row>
    <row r="395" spans="3:3" x14ac:dyDescent="0.25">
      <c r="C395" s="26">
        <v>393</v>
      </c>
    </row>
    <row r="396" spans="3:3" x14ac:dyDescent="0.25">
      <c r="C396" s="26">
        <v>394</v>
      </c>
    </row>
    <row r="397" spans="3:3" x14ac:dyDescent="0.25">
      <c r="C397" s="26">
        <v>395</v>
      </c>
    </row>
    <row r="398" spans="3:3" x14ac:dyDescent="0.25">
      <c r="C398" s="26">
        <v>396</v>
      </c>
    </row>
    <row r="399" spans="3:3" x14ac:dyDescent="0.25">
      <c r="C399" s="26">
        <v>397</v>
      </c>
    </row>
    <row r="400" spans="3:3" x14ac:dyDescent="0.25">
      <c r="C400" s="26">
        <v>398</v>
      </c>
    </row>
    <row r="401" spans="3:3" x14ac:dyDescent="0.25">
      <c r="C401" s="26">
        <v>399</v>
      </c>
    </row>
    <row r="402" spans="3:3" x14ac:dyDescent="0.25">
      <c r="C402" s="26">
        <v>400</v>
      </c>
    </row>
    <row r="403" spans="3:3" x14ac:dyDescent="0.25">
      <c r="C403" s="26">
        <v>401</v>
      </c>
    </row>
    <row r="404" spans="3:3" x14ac:dyDescent="0.25">
      <c r="C404" s="26">
        <v>402</v>
      </c>
    </row>
    <row r="405" spans="3:3" x14ac:dyDescent="0.25">
      <c r="C405" s="26">
        <v>403</v>
      </c>
    </row>
    <row r="406" spans="3:3" x14ac:dyDescent="0.25">
      <c r="C406" s="26">
        <v>404</v>
      </c>
    </row>
    <row r="407" spans="3:3" x14ac:dyDescent="0.25">
      <c r="C407" s="26">
        <v>405</v>
      </c>
    </row>
    <row r="408" spans="3:3" x14ac:dyDescent="0.25">
      <c r="C408" s="26">
        <v>406</v>
      </c>
    </row>
    <row r="409" spans="3:3" x14ac:dyDescent="0.25">
      <c r="C409" s="26">
        <v>407</v>
      </c>
    </row>
    <row r="410" spans="3:3" x14ac:dyDescent="0.25">
      <c r="C410" s="26">
        <v>408</v>
      </c>
    </row>
    <row r="411" spans="3:3" x14ac:dyDescent="0.25">
      <c r="C411" s="26">
        <v>409</v>
      </c>
    </row>
    <row r="412" spans="3:3" x14ac:dyDescent="0.25">
      <c r="C412" s="26">
        <v>410</v>
      </c>
    </row>
    <row r="413" spans="3:3" x14ac:dyDescent="0.25">
      <c r="C413" s="26">
        <v>411</v>
      </c>
    </row>
    <row r="414" spans="3:3" x14ac:dyDescent="0.25">
      <c r="C414" s="26">
        <v>412</v>
      </c>
    </row>
    <row r="415" spans="3:3" x14ac:dyDescent="0.25">
      <c r="C415" s="26">
        <v>413</v>
      </c>
    </row>
    <row r="416" spans="3:3" x14ac:dyDescent="0.25">
      <c r="C416" s="26">
        <v>414</v>
      </c>
    </row>
    <row r="417" spans="3:3" x14ac:dyDescent="0.25">
      <c r="C417" s="26">
        <v>415</v>
      </c>
    </row>
    <row r="418" spans="3:3" x14ac:dyDescent="0.25">
      <c r="C418" s="26">
        <v>416</v>
      </c>
    </row>
    <row r="419" spans="3:3" x14ac:dyDescent="0.25">
      <c r="C419" s="26">
        <v>417</v>
      </c>
    </row>
    <row r="420" spans="3:3" x14ac:dyDescent="0.25">
      <c r="C420" s="26">
        <v>418</v>
      </c>
    </row>
    <row r="421" spans="3:3" x14ac:dyDescent="0.25">
      <c r="C421" s="26">
        <v>419</v>
      </c>
    </row>
    <row r="422" spans="3:3" x14ac:dyDescent="0.25">
      <c r="C422" s="26">
        <v>420</v>
      </c>
    </row>
    <row r="423" spans="3:3" x14ac:dyDescent="0.25">
      <c r="C423" s="26">
        <v>421</v>
      </c>
    </row>
    <row r="424" spans="3:3" x14ac:dyDescent="0.25">
      <c r="C424" s="26">
        <v>422</v>
      </c>
    </row>
    <row r="425" spans="3:3" x14ac:dyDescent="0.25">
      <c r="C425" s="26">
        <v>423</v>
      </c>
    </row>
    <row r="426" spans="3:3" x14ac:dyDescent="0.25">
      <c r="C426" s="26">
        <v>424</v>
      </c>
    </row>
    <row r="427" spans="3:3" x14ac:dyDescent="0.25">
      <c r="C427" s="26">
        <v>425</v>
      </c>
    </row>
    <row r="428" spans="3:3" x14ac:dyDescent="0.25">
      <c r="C428" s="26">
        <v>426</v>
      </c>
    </row>
    <row r="429" spans="3:3" x14ac:dyDescent="0.25">
      <c r="C429" s="26">
        <v>427</v>
      </c>
    </row>
    <row r="430" spans="3:3" x14ac:dyDescent="0.25">
      <c r="C430" s="26">
        <v>428</v>
      </c>
    </row>
    <row r="431" spans="3:3" x14ac:dyDescent="0.25">
      <c r="C431" s="26">
        <v>429</v>
      </c>
    </row>
    <row r="432" spans="3:3" x14ac:dyDescent="0.25">
      <c r="C432" s="26">
        <v>430</v>
      </c>
    </row>
    <row r="433" spans="3:3" x14ac:dyDescent="0.25">
      <c r="C433" s="26">
        <v>431</v>
      </c>
    </row>
    <row r="434" spans="3:3" x14ac:dyDescent="0.25">
      <c r="C434" s="26">
        <v>432</v>
      </c>
    </row>
    <row r="435" spans="3:3" x14ac:dyDescent="0.25">
      <c r="C435" s="26">
        <v>433</v>
      </c>
    </row>
    <row r="436" spans="3:3" x14ac:dyDescent="0.25">
      <c r="C436" s="26">
        <v>434</v>
      </c>
    </row>
    <row r="437" spans="3:3" x14ac:dyDescent="0.25">
      <c r="C437" s="26">
        <v>435</v>
      </c>
    </row>
    <row r="438" spans="3:3" x14ac:dyDescent="0.25">
      <c r="C438" s="26">
        <v>436</v>
      </c>
    </row>
    <row r="439" spans="3:3" x14ac:dyDescent="0.25">
      <c r="C439" s="26">
        <v>437</v>
      </c>
    </row>
    <row r="440" spans="3:3" x14ac:dyDescent="0.25">
      <c r="C440" s="26">
        <v>438</v>
      </c>
    </row>
    <row r="441" spans="3:3" x14ac:dyDescent="0.25">
      <c r="C441" s="26">
        <v>439</v>
      </c>
    </row>
    <row r="442" spans="3:3" x14ac:dyDescent="0.25">
      <c r="C442" s="26">
        <v>440</v>
      </c>
    </row>
    <row r="443" spans="3:3" x14ac:dyDescent="0.25">
      <c r="C443" s="26">
        <v>441</v>
      </c>
    </row>
    <row r="444" spans="3:3" x14ac:dyDescent="0.25">
      <c r="C444" s="26">
        <v>442</v>
      </c>
    </row>
    <row r="445" spans="3:3" x14ac:dyDescent="0.25">
      <c r="C445" s="26">
        <v>443</v>
      </c>
    </row>
    <row r="446" spans="3:3" x14ac:dyDescent="0.25">
      <c r="C446" s="26">
        <v>444</v>
      </c>
    </row>
    <row r="447" spans="3:3" x14ac:dyDescent="0.25">
      <c r="C447" s="26">
        <v>445</v>
      </c>
    </row>
    <row r="448" spans="3:3" x14ac:dyDescent="0.25">
      <c r="C448" s="26">
        <v>446</v>
      </c>
    </row>
    <row r="449" spans="3:3" x14ac:dyDescent="0.25">
      <c r="C449" s="26">
        <v>447</v>
      </c>
    </row>
    <row r="450" spans="3:3" x14ac:dyDescent="0.25">
      <c r="C450" s="26">
        <v>448</v>
      </c>
    </row>
    <row r="451" spans="3:3" x14ac:dyDescent="0.25">
      <c r="C451" s="26">
        <v>449</v>
      </c>
    </row>
    <row r="452" spans="3:3" x14ac:dyDescent="0.25">
      <c r="C452" s="26">
        <v>450</v>
      </c>
    </row>
    <row r="453" spans="3:3" x14ac:dyDescent="0.25">
      <c r="C453" s="26">
        <v>451</v>
      </c>
    </row>
    <row r="454" spans="3:3" x14ac:dyDescent="0.25">
      <c r="C454" s="26">
        <v>452</v>
      </c>
    </row>
    <row r="455" spans="3:3" x14ac:dyDescent="0.25">
      <c r="C455" s="26">
        <v>453</v>
      </c>
    </row>
    <row r="456" spans="3:3" x14ac:dyDescent="0.25">
      <c r="C456" s="26">
        <v>454</v>
      </c>
    </row>
    <row r="457" spans="3:3" x14ac:dyDescent="0.25">
      <c r="C457" s="26">
        <v>455</v>
      </c>
    </row>
    <row r="458" spans="3:3" x14ac:dyDescent="0.25">
      <c r="C458" s="26">
        <v>456</v>
      </c>
    </row>
    <row r="459" spans="3:3" x14ac:dyDescent="0.25">
      <c r="C459" s="26">
        <v>457</v>
      </c>
    </row>
    <row r="460" spans="3:3" x14ac:dyDescent="0.25">
      <c r="C460" s="26">
        <v>458</v>
      </c>
    </row>
    <row r="461" spans="3:3" x14ac:dyDescent="0.25">
      <c r="C461" s="26">
        <v>459</v>
      </c>
    </row>
    <row r="462" spans="3:3" x14ac:dyDescent="0.25">
      <c r="C462" s="26">
        <v>460</v>
      </c>
    </row>
    <row r="463" spans="3:3" x14ac:dyDescent="0.25">
      <c r="C463" s="26">
        <v>461</v>
      </c>
    </row>
    <row r="464" spans="3:3" x14ac:dyDescent="0.25">
      <c r="C464" s="26">
        <v>462</v>
      </c>
    </row>
    <row r="465" spans="3:3" x14ac:dyDescent="0.25">
      <c r="C465" s="26">
        <v>463</v>
      </c>
    </row>
    <row r="466" spans="3:3" x14ac:dyDescent="0.25">
      <c r="C466" s="26">
        <v>464</v>
      </c>
    </row>
    <row r="467" spans="3:3" x14ac:dyDescent="0.25">
      <c r="C467" s="26">
        <v>465</v>
      </c>
    </row>
    <row r="468" spans="3:3" x14ac:dyDescent="0.25">
      <c r="C468" s="26">
        <v>466</v>
      </c>
    </row>
    <row r="469" spans="3:3" x14ac:dyDescent="0.25">
      <c r="C469" s="26">
        <v>467</v>
      </c>
    </row>
    <row r="470" spans="3:3" x14ac:dyDescent="0.25">
      <c r="C470" s="26">
        <v>468</v>
      </c>
    </row>
    <row r="471" spans="3:3" x14ac:dyDescent="0.25">
      <c r="C471" s="26">
        <v>469</v>
      </c>
    </row>
    <row r="472" spans="3:3" x14ac:dyDescent="0.25">
      <c r="C472" s="26">
        <v>470</v>
      </c>
    </row>
    <row r="473" spans="3:3" x14ac:dyDescent="0.25">
      <c r="C473" s="26">
        <v>471</v>
      </c>
    </row>
    <row r="474" spans="3:3" x14ac:dyDescent="0.25">
      <c r="C474" s="26">
        <v>472</v>
      </c>
    </row>
    <row r="475" spans="3:3" x14ac:dyDescent="0.25">
      <c r="C475" s="26">
        <v>473</v>
      </c>
    </row>
    <row r="476" spans="3:3" x14ac:dyDescent="0.25">
      <c r="C476" s="26">
        <v>474</v>
      </c>
    </row>
    <row r="477" spans="3:3" x14ac:dyDescent="0.25">
      <c r="C477" s="26">
        <v>475</v>
      </c>
    </row>
    <row r="478" spans="3:3" x14ac:dyDescent="0.25">
      <c r="C478" s="26">
        <v>476</v>
      </c>
    </row>
    <row r="479" spans="3:3" x14ac:dyDescent="0.25">
      <c r="C479" s="26">
        <v>477</v>
      </c>
    </row>
    <row r="480" spans="3:3" x14ac:dyDescent="0.25">
      <c r="C480" s="26">
        <v>478</v>
      </c>
    </row>
    <row r="481" spans="3:3" x14ac:dyDescent="0.25">
      <c r="C481" s="26">
        <v>479</v>
      </c>
    </row>
    <row r="482" spans="3:3" x14ac:dyDescent="0.25">
      <c r="C482" s="26">
        <v>480</v>
      </c>
    </row>
    <row r="483" spans="3:3" x14ac:dyDescent="0.25">
      <c r="C483" s="26">
        <v>481</v>
      </c>
    </row>
    <row r="484" spans="3:3" x14ac:dyDescent="0.25">
      <c r="C484" s="26">
        <v>482</v>
      </c>
    </row>
    <row r="485" spans="3:3" x14ac:dyDescent="0.25">
      <c r="C485" s="26">
        <v>483</v>
      </c>
    </row>
    <row r="486" spans="3:3" x14ac:dyDescent="0.25">
      <c r="C486" s="26">
        <v>484</v>
      </c>
    </row>
    <row r="487" spans="3:3" x14ac:dyDescent="0.25">
      <c r="C487" s="26">
        <v>485</v>
      </c>
    </row>
    <row r="488" spans="3:3" x14ac:dyDescent="0.25">
      <c r="C488" s="26">
        <v>486</v>
      </c>
    </row>
    <row r="489" spans="3:3" x14ac:dyDescent="0.25">
      <c r="C489" s="26">
        <v>487</v>
      </c>
    </row>
    <row r="490" spans="3:3" x14ac:dyDescent="0.25">
      <c r="C490" s="26">
        <v>488</v>
      </c>
    </row>
    <row r="491" spans="3:3" x14ac:dyDescent="0.25">
      <c r="C491" s="26">
        <v>489</v>
      </c>
    </row>
    <row r="492" spans="3:3" x14ac:dyDescent="0.25">
      <c r="C492" s="26">
        <v>490</v>
      </c>
    </row>
    <row r="493" spans="3:3" x14ac:dyDescent="0.25">
      <c r="C493" s="26">
        <v>491</v>
      </c>
    </row>
    <row r="494" spans="3:3" x14ac:dyDescent="0.25">
      <c r="C494" s="26">
        <v>492</v>
      </c>
    </row>
    <row r="495" spans="3:3" x14ac:dyDescent="0.25">
      <c r="C495" s="26">
        <v>493</v>
      </c>
    </row>
    <row r="496" spans="3:3" x14ac:dyDescent="0.25">
      <c r="C496" s="26">
        <v>494</v>
      </c>
    </row>
    <row r="497" spans="3:3" x14ac:dyDescent="0.25">
      <c r="C497" s="26">
        <v>495</v>
      </c>
    </row>
    <row r="498" spans="3:3" x14ac:dyDescent="0.25">
      <c r="C498" s="26">
        <v>496</v>
      </c>
    </row>
    <row r="499" spans="3:3" x14ac:dyDescent="0.25">
      <c r="C499" s="26">
        <v>497</v>
      </c>
    </row>
    <row r="500" spans="3:3" x14ac:dyDescent="0.25">
      <c r="C500" s="26">
        <v>498</v>
      </c>
    </row>
    <row r="501" spans="3:3" x14ac:dyDescent="0.25">
      <c r="C501" s="26">
        <v>499</v>
      </c>
    </row>
    <row r="502" spans="3:3" x14ac:dyDescent="0.25">
      <c r="C502" s="26">
        <v>500</v>
      </c>
    </row>
    <row r="503" spans="3:3" x14ac:dyDescent="0.25">
      <c r="C503" s="26">
        <v>501</v>
      </c>
    </row>
    <row r="504" spans="3:3" x14ac:dyDescent="0.25">
      <c r="C504" s="26">
        <v>502</v>
      </c>
    </row>
    <row r="505" spans="3:3" x14ac:dyDescent="0.25">
      <c r="C505" s="26">
        <v>503</v>
      </c>
    </row>
    <row r="506" spans="3:3" x14ac:dyDescent="0.25">
      <c r="C506" s="26">
        <v>504</v>
      </c>
    </row>
    <row r="507" spans="3:3" x14ac:dyDescent="0.25">
      <c r="C507" s="26">
        <v>505</v>
      </c>
    </row>
    <row r="508" spans="3:3" x14ac:dyDescent="0.25">
      <c r="C508" s="26">
        <v>506</v>
      </c>
    </row>
    <row r="509" spans="3:3" x14ac:dyDescent="0.25">
      <c r="C509" s="26">
        <v>507</v>
      </c>
    </row>
    <row r="510" spans="3:3" x14ac:dyDescent="0.25">
      <c r="C510" s="26">
        <v>508</v>
      </c>
    </row>
    <row r="511" spans="3:3" x14ac:dyDescent="0.25">
      <c r="C511" s="26">
        <v>509</v>
      </c>
    </row>
    <row r="512" spans="3:3" x14ac:dyDescent="0.25">
      <c r="C512" s="26">
        <v>510</v>
      </c>
    </row>
    <row r="513" spans="3:3" x14ac:dyDescent="0.25">
      <c r="C513" s="26">
        <v>511</v>
      </c>
    </row>
    <row r="514" spans="3:3" x14ac:dyDescent="0.25">
      <c r="C514" s="26">
        <v>512</v>
      </c>
    </row>
    <row r="515" spans="3:3" x14ac:dyDescent="0.25">
      <c r="C515" s="26">
        <v>513</v>
      </c>
    </row>
    <row r="516" spans="3:3" x14ac:dyDescent="0.25">
      <c r="C516" s="26">
        <v>514</v>
      </c>
    </row>
    <row r="517" spans="3:3" x14ac:dyDescent="0.25">
      <c r="C517" s="26">
        <v>515</v>
      </c>
    </row>
    <row r="518" spans="3:3" x14ac:dyDescent="0.25">
      <c r="C518" s="26">
        <v>516</v>
      </c>
    </row>
    <row r="519" spans="3:3" x14ac:dyDescent="0.25">
      <c r="C519" s="26">
        <v>517</v>
      </c>
    </row>
    <row r="520" spans="3:3" x14ac:dyDescent="0.25">
      <c r="C520" s="26">
        <v>518</v>
      </c>
    </row>
    <row r="521" spans="3:3" x14ac:dyDescent="0.25">
      <c r="C521" s="26">
        <v>519</v>
      </c>
    </row>
    <row r="522" spans="3:3" x14ac:dyDescent="0.25">
      <c r="C522" s="26">
        <v>520</v>
      </c>
    </row>
    <row r="523" spans="3:3" x14ac:dyDescent="0.25">
      <c r="C523" s="26">
        <v>521</v>
      </c>
    </row>
    <row r="524" spans="3:3" x14ac:dyDescent="0.25">
      <c r="C524" s="26">
        <v>522</v>
      </c>
    </row>
    <row r="525" spans="3:3" x14ac:dyDescent="0.25">
      <c r="C525" s="26">
        <v>523</v>
      </c>
    </row>
    <row r="526" spans="3:3" x14ac:dyDescent="0.25">
      <c r="C526" s="26">
        <v>524</v>
      </c>
    </row>
    <row r="527" spans="3:3" x14ac:dyDescent="0.25">
      <c r="C527" s="26">
        <v>525</v>
      </c>
    </row>
    <row r="528" spans="3:3" x14ac:dyDescent="0.25">
      <c r="C528" s="26">
        <v>526</v>
      </c>
    </row>
    <row r="529" spans="3:3" x14ac:dyDescent="0.25">
      <c r="C529" s="26">
        <v>527</v>
      </c>
    </row>
    <row r="530" spans="3:3" x14ac:dyDescent="0.25">
      <c r="C530" s="26">
        <v>528</v>
      </c>
    </row>
    <row r="531" spans="3:3" x14ac:dyDescent="0.25">
      <c r="C531" s="26">
        <v>529</v>
      </c>
    </row>
    <row r="532" spans="3:3" x14ac:dyDescent="0.25">
      <c r="C532" s="26">
        <v>530</v>
      </c>
    </row>
    <row r="533" spans="3:3" x14ac:dyDescent="0.25">
      <c r="C533" s="26">
        <v>531</v>
      </c>
    </row>
    <row r="534" spans="3:3" x14ac:dyDescent="0.25">
      <c r="C534" s="26">
        <v>532</v>
      </c>
    </row>
    <row r="535" spans="3:3" x14ac:dyDescent="0.25">
      <c r="C535" s="26">
        <v>533</v>
      </c>
    </row>
    <row r="536" spans="3:3" x14ac:dyDescent="0.25">
      <c r="C536" s="26">
        <v>534</v>
      </c>
    </row>
    <row r="537" spans="3:3" x14ac:dyDescent="0.25">
      <c r="C537" s="26">
        <v>535</v>
      </c>
    </row>
    <row r="538" spans="3:3" x14ac:dyDescent="0.25">
      <c r="C538" s="26">
        <v>536</v>
      </c>
    </row>
    <row r="539" spans="3:3" x14ac:dyDescent="0.25">
      <c r="C539" s="26">
        <v>537</v>
      </c>
    </row>
    <row r="540" spans="3:3" x14ac:dyDescent="0.25">
      <c r="C540" s="26">
        <v>538</v>
      </c>
    </row>
    <row r="541" spans="3:3" x14ac:dyDescent="0.25">
      <c r="C541" s="26">
        <v>539</v>
      </c>
    </row>
    <row r="542" spans="3:3" x14ac:dyDescent="0.25">
      <c r="C542" s="26">
        <v>540</v>
      </c>
    </row>
    <row r="543" spans="3:3" x14ac:dyDescent="0.25">
      <c r="C543" s="26">
        <v>541</v>
      </c>
    </row>
    <row r="544" spans="3:3" x14ac:dyDescent="0.25">
      <c r="C544" s="26">
        <v>542</v>
      </c>
    </row>
    <row r="545" spans="3:3" x14ac:dyDescent="0.25">
      <c r="C545" s="26">
        <v>543</v>
      </c>
    </row>
    <row r="546" spans="3:3" x14ac:dyDescent="0.25">
      <c r="C546" s="26">
        <v>544</v>
      </c>
    </row>
    <row r="547" spans="3:3" x14ac:dyDescent="0.25">
      <c r="C547" s="26">
        <v>545</v>
      </c>
    </row>
    <row r="548" spans="3:3" x14ac:dyDescent="0.25">
      <c r="C548" s="26">
        <v>546</v>
      </c>
    </row>
    <row r="549" spans="3:3" x14ac:dyDescent="0.25">
      <c r="C549" s="26">
        <v>547</v>
      </c>
    </row>
    <row r="550" spans="3:3" x14ac:dyDescent="0.25">
      <c r="C550" s="26">
        <v>548</v>
      </c>
    </row>
    <row r="551" spans="3:3" x14ac:dyDescent="0.25">
      <c r="C551" s="26">
        <v>549</v>
      </c>
    </row>
    <row r="552" spans="3:3" x14ac:dyDescent="0.25">
      <c r="C552" s="26">
        <v>550</v>
      </c>
    </row>
    <row r="553" spans="3:3" x14ac:dyDescent="0.25">
      <c r="C553" s="26">
        <v>551</v>
      </c>
    </row>
    <row r="554" spans="3:3" x14ac:dyDescent="0.25">
      <c r="C554" s="26">
        <v>552</v>
      </c>
    </row>
    <row r="555" spans="3:3" x14ac:dyDescent="0.25">
      <c r="C555" s="26">
        <v>553</v>
      </c>
    </row>
    <row r="556" spans="3:3" x14ac:dyDescent="0.25">
      <c r="C556" s="26">
        <v>554</v>
      </c>
    </row>
    <row r="557" spans="3:3" x14ac:dyDescent="0.25">
      <c r="C557" s="26">
        <v>555</v>
      </c>
    </row>
    <row r="558" spans="3:3" x14ac:dyDescent="0.25">
      <c r="C558" s="26">
        <v>556</v>
      </c>
    </row>
    <row r="559" spans="3:3" x14ac:dyDescent="0.25">
      <c r="C559" s="26">
        <v>557</v>
      </c>
    </row>
    <row r="560" spans="3:3" x14ac:dyDescent="0.25">
      <c r="C560" s="26">
        <v>558</v>
      </c>
    </row>
    <row r="561" spans="3:3" x14ac:dyDescent="0.25">
      <c r="C561" s="26">
        <v>559</v>
      </c>
    </row>
    <row r="562" spans="3:3" x14ac:dyDescent="0.25">
      <c r="C562" s="26">
        <v>560</v>
      </c>
    </row>
    <row r="563" spans="3:3" x14ac:dyDescent="0.25">
      <c r="C563" s="26">
        <v>561</v>
      </c>
    </row>
    <row r="564" spans="3:3" x14ac:dyDescent="0.25">
      <c r="C564" s="26">
        <v>562</v>
      </c>
    </row>
    <row r="565" spans="3:3" x14ac:dyDescent="0.25">
      <c r="C565" s="26">
        <v>563</v>
      </c>
    </row>
    <row r="566" spans="3:3" x14ac:dyDescent="0.25">
      <c r="C566" s="26">
        <v>564</v>
      </c>
    </row>
    <row r="567" spans="3:3" x14ac:dyDescent="0.25">
      <c r="C567" s="26">
        <v>565</v>
      </c>
    </row>
    <row r="568" spans="3:3" x14ac:dyDescent="0.25">
      <c r="C568" s="26">
        <v>566</v>
      </c>
    </row>
    <row r="569" spans="3:3" x14ac:dyDescent="0.25">
      <c r="C569" s="26">
        <v>567</v>
      </c>
    </row>
    <row r="570" spans="3:3" x14ac:dyDescent="0.25">
      <c r="C570" s="26">
        <v>568</v>
      </c>
    </row>
    <row r="571" spans="3:3" x14ac:dyDescent="0.25">
      <c r="C571" s="26">
        <v>569</v>
      </c>
    </row>
    <row r="572" spans="3:3" x14ac:dyDescent="0.25">
      <c r="C572" s="26">
        <v>570</v>
      </c>
    </row>
    <row r="573" spans="3:3" x14ac:dyDescent="0.25">
      <c r="C573" s="26">
        <v>571</v>
      </c>
    </row>
    <row r="574" spans="3:3" x14ac:dyDescent="0.25">
      <c r="C574" s="26">
        <v>572</v>
      </c>
    </row>
    <row r="575" spans="3:3" x14ac:dyDescent="0.25">
      <c r="C575" s="26">
        <v>573</v>
      </c>
    </row>
    <row r="576" spans="3:3" x14ac:dyDescent="0.25">
      <c r="C576" s="26">
        <v>574</v>
      </c>
    </row>
    <row r="577" spans="3:3" x14ac:dyDescent="0.25">
      <c r="C577" s="26">
        <v>575</v>
      </c>
    </row>
    <row r="578" spans="3:3" x14ac:dyDescent="0.25">
      <c r="C578" s="26">
        <v>576</v>
      </c>
    </row>
    <row r="579" spans="3:3" x14ac:dyDescent="0.25">
      <c r="C579" s="26">
        <v>577</v>
      </c>
    </row>
    <row r="580" spans="3:3" x14ac:dyDescent="0.25">
      <c r="C580" s="26">
        <v>578</v>
      </c>
    </row>
    <row r="581" spans="3:3" x14ac:dyDescent="0.25">
      <c r="C581" s="26">
        <v>579</v>
      </c>
    </row>
    <row r="582" spans="3:3" x14ac:dyDescent="0.25">
      <c r="C582" s="26">
        <v>580</v>
      </c>
    </row>
    <row r="583" spans="3:3" x14ac:dyDescent="0.25">
      <c r="C583" s="26">
        <v>581</v>
      </c>
    </row>
    <row r="584" spans="3:3" x14ac:dyDescent="0.25">
      <c r="C584" s="26">
        <v>582</v>
      </c>
    </row>
    <row r="585" spans="3:3" x14ac:dyDescent="0.25">
      <c r="C585" s="26">
        <v>583</v>
      </c>
    </row>
    <row r="586" spans="3:3" x14ac:dyDescent="0.25">
      <c r="C586" s="26">
        <v>584</v>
      </c>
    </row>
    <row r="587" spans="3:3" x14ac:dyDescent="0.25">
      <c r="C587" s="26">
        <v>585</v>
      </c>
    </row>
    <row r="588" spans="3:3" x14ac:dyDescent="0.25">
      <c r="C588" s="26">
        <v>586</v>
      </c>
    </row>
    <row r="589" spans="3:3" x14ac:dyDescent="0.25">
      <c r="C589" s="26">
        <v>587</v>
      </c>
    </row>
    <row r="590" spans="3:3" x14ac:dyDescent="0.25">
      <c r="C590" s="26">
        <v>588</v>
      </c>
    </row>
    <row r="591" spans="3:3" x14ac:dyDescent="0.25">
      <c r="C591" s="26">
        <v>589</v>
      </c>
    </row>
    <row r="592" spans="3:3" x14ac:dyDescent="0.25">
      <c r="C592" s="26">
        <v>590</v>
      </c>
    </row>
    <row r="593" spans="3:3" x14ac:dyDescent="0.25">
      <c r="C593" s="26">
        <v>591</v>
      </c>
    </row>
    <row r="594" spans="3:3" x14ac:dyDescent="0.25">
      <c r="C594" s="26">
        <v>592</v>
      </c>
    </row>
    <row r="595" spans="3:3" x14ac:dyDescent="0.25">
      <c r="C595" s="26">
        <v>593</v>
      </c>
    </row>
    <row r="596" spans="3:3" x14ac:dyDescent="0.25">
      <c r="C596" s="26">
        <v>594</v>
      </c>
    </row>
    <row r="597" spans="3:3" x14ac:dyDescent="0.25">
      <c r="C597" s="26">
        <v>595</v>
      </c>
    </row>
    <row r="598" spans="3:3" x14ac:dyDescent="0.25">
      <c r="C598" s="26">
        <v>596</v>
      </c>
    </row>
    <row r="599" spans="3:3" x14ac:dyDescent="0.25">
      <c r="C599" s="26">
        <v>597</v>
      </c>
    </row>
    <row r="600" spans="3:3" x14ac:dyDescent="0.25">
      <c r="C600" s="26">
        <v>598</v>
      </c>
    </row>
    <row r="601" spans="3:3" x14ac:dyDescent="0.25">
      <c r="C601" s="26">
        <v>599</v>
      </c>
    </row>
    <row r="602" spans="3:3" x14ac:dyDescent="0.25">
      <c r="C602" s="26">
        <v>600</v>
      </c>
    </row>
    <row r="603" spans="3:3" x14ac:dyDescent="0.25">
      <c r="C603" s="26">
        <v>601</v>
      </c>
    </row>
    <row r="604" spans="3:3" x14ac:dyDescent="0.25">
      <c r="C604" s="26">
        <v>602</v>
      </c>
    </row>
    <row r="605" spans="3:3" x14ac:dyDescent="0.25">
      <c r="C605" s="26">
        <v>603</v>
      </c>
    </row>
    <row r="606" spans="3:3" x14ac:dyDescent="0.25">
      <c r="C606" s="26">
        <v>604</v>
      </c>
    </row>
    <row r="607" spans="3:3" x14ac:dyDescent="0.25">
      <c r="C607" s="26">
        <v>605</v>
      </c>
    </row>
    <row r="608" spans="3:3" x14ac:dyDescent="0.25">
      <c r="C608" s="26">
        <v>606</v>
      </c>
    </row>
    <row r="609" spans="3:3" x14ac:dyDescent="0.25">
      <c r="C609" s="26">
        <v>607</v>
      </c>
    </row>
    <row r="610" spans="3:3" x14ac:dyDescent="0.25">
      <c r="C610" s="26">
        <v>608</v>
      </c>
    </row>
    <row r="611" spans="3:3" x14ac:dyDescent="0.25">
      <c r="C611" s="26">
        <v>609</v>
      </c>
    </row>
    <row r="612" spans="3:3" x14ac:dyDescent="0.25">
      <c r="C612" s="26">
        <v>610</v>
      </c>
    </row>
    <row r="613" spans="3:3" x14ac:dyDescent="0.25">
      <c r="C613" s="26">
        <v>611</v>
      </c>
    </row>
    <row r="614" spans="3:3" x14ac:dyDescent="0.25">
      <c r="C614" s="26">
        <v>612</v>
      </c>
    </row>
    <row r="615" spans="3:3" x14ac:dyDescent="0.25">
      <c r="C615" s="26">
        <v>613</v>
      </c>
    </row>
    <row r="616" spans="3:3" x14ac:dyDescent="0.25">
      <c r="C616" s="26">
        <v>614</v>
      </c>
    </row>
    <row r="617" spans="3:3" x14ac:dyDescent="0.25">
      <c r="C617" s="26">
        <v>615</v>
      </c>
    </row>
    <row r="618" spans="3:3" x14ac:dyDescent="0.25">
      <c r="C618" s="26">
        <v>616</v>
      </c>
    </row>
    <row r="619" spans="3:3" x14ac:dyDescent="0.25">
      <c r="C619" s="26">
        <v>617</v>
      </c>
    </row>
    <row r="620" spans="3:3" x14ac:dyDescent="0.25">
      <c r="C620" s="26">
        <v>618</v>
      </c>
    </row>
    <row r="621" spans="3:3" x14ac:dyDescent="0.25">
      <c r="C621" s="26">
        <v>619</v>
      </c>
    </row>
    <row r="622" spans="3:3" x14ac:dyDescent="0.25">
      <c r="C622" s="26">
        <v>620</v>
      </c>
    </row>
    <row r="623" spans="3:3" x14ac:dyDescent="0.25">
      <c r="C623" s="26">
        <v>621</v>
      </c>
    </row>
    <row r="624" spans="3:3" x14ac:dyDescent="0.25">
      <c r="C624" s="26">
        <v>622</v>
      </c>
    </row>
    <row r="625" spans="3:3" x14ac:dyDescent="0.25">
      <c r="C625" s="26">
        <v>623</v>
      </c>
    </row>
    <row r="626" spans="3:3" x14ac:dyDescent="0.25">
      <c r="C626" s="26">
        <v>624</v>
      </c>
    </row>
    <row r="627" spans="3:3" x14ac:dyDescent="0.25">
      <c r="C627" s="26">
        <v>625</v>
      </c>
    </row>
    <row r="628" spans="3:3" x14ac:dyDescent="0.25">
      <c r="C628" s="26">
        <v>626</v>
      </c>
    </row>
    <row r="629" spans="3:3" x14ac:dyDescent="0.25">
      <c r="C629" s="26">
        <v>627</v>
      </c>
    </row>
    <row r="630" spans="3:3" x14ac:dyDescent="0.25">
      <c r="C630" s="26">
        <v>628</v>
      </c>
    </row>
    <row r="631" spans="3:3" x14ac:dyDescent="0.25">
      <c r="C631" s="26">
        <v>629</v>
      </c>
    </row>
    <row r="632" spans="3:3" x14ac:dyDescent="0.25">
      <c r="C632" s="26">
        <v>630</v>
      </c>
    </row>
    <row r="633" spans="3:3" x14ac:dyDescent="0.25">
      <c r="C633" s="26">
        <v>631</v>
      </c>
    </row>
    <row r="634" spans="3:3" x14ac:dyDescent="0.25">
      <c r="C634" s="26">
        <v>632</v>
      </c>
    </row>
    <row r="635" spans="3:3" x14ac:dyDescent="0.25">
      <c r="C635" s="26">
        <v>633</v>
      </c>
    </row>
    <row r="636" spans="3:3" x14ac:dyDescent="0.25">
      <c r="C636" s="26">
        <v>634</v>
      </c>
    </row>
    <row r="637" spans="3:3" x14ac:dyDescent="0.25">
      <c r="C637" s="26">
        <v>635</v>
      </c>
    </row>
    <row r="638" spans="3:3" x14ac:dyDescent="0.25">
      <c r="C638" s="26">
        <v>636</v>
      </c>
    </row>
    <row r="639" spans="3:3" x14ac:dyDescent="0.25">
      <c r="C639" s="26">
        <v>637</v>
      </c>
    </row>
    <row r="640" spans="3:3" x14ac:dyDescent="0.25">
      <c r="C640" s="26">
        <v>638</v>
      </c>
    </row>
    <row r="641" spans="3:3" x14ac:dyDescent="0.25">
      <c r="C641" s="26">
        <v>639</v>
      </c>
    </row>
    <row r="642" spans="3:3" x14ac:dyDescent="0.25">
      <c r="C642" s="26">
        <v>640</v>
      </c>
    </row>
    <row r="643" spans="3:3" x14ac:dyDescent="0.25">
      <c r="C643" s="26">
        <v>641</v>
      </c>
    </row>
    <row r="644" spans="3:3" x14ac:dyDescent="0.25">
      <c r="C644" s="26">
        <v>642</v>
      </c>
    </row>
    <row r="645" spans="3:3" x14ac:dyDescent="0.25">
      <c r="C645" s="26">
        <v>643</v>
      </c>
    </row>
    <row r="646" spans="3:3" x14ac:dyDescent="0.25">
      <c r="C646" s="26">
        <v>644</v>
      </c>
    </row>
    <row r="647" spans="3:3" x14ac:dyDescent="0.25">
      <c r="C647" s="26">
        <v>645</v>
      </c>
    </row>
    <row r="648" spans="3:3" x14ac:dyDescent="0.25">
      <c r="C648" s="26">
        <v>646</v>
      </c>
    </row>
    <row r="649" spans="3:3" x14ac:dyDescent="0.25">
      <c r="C649" s="26">
        <v>647</v>
      </c>
    </row>
    <row r="650" spans="3:3" x14ac:dyDescent="0.25">
      <c r="C650" s="26">
        <v>648</v>
      </c>
    </row>
    <row r="651" spans="3:3" x14ac:dyDescent="0.25">
      <c r="C651" s="26">
        <v>649</v>
      </c>
    </row>
    <row r="652" spans="3:3" x14ac:dyDescent="0.25">
      <c r="C652" s="26">
        <v>650</v>
      </c>
    </row>
    <row r="653" spans="3:3" x14ac:dyDescent="0.25">
      <c r="C653" s="26">
        <v>651</v>
      </c>
    </row>
    <row r="654" spans="3:3" x14ac:dyDescent="0.25">
      <c r="C654" s="26">
        <v>652</v>
      </c>
    </row>
    <row r="655" spans="3:3" x14ac:dyDescent="0.25">
      <c r="C655" s="26">
        <v>653</v>
      </c>
    </row>
    <row r="656" spans="3:3" x14ac:dyDescent="0.25">
      <c r="C656" s="26">
        <v>654</v>
      </c>
    </row>
    <row r="657" spans="3:3" x14ac:dyDescent="0.25">
      <c r="C657" s="26">
        <v>655</v>
      </c>
    </row>
    <row r="658" spans="3:3" x14ac:dyDescent="0.25">
      <c r="C658" s="26">
        <v>656</v>
      </c>
    </row>
    <row r="659" spans="3:3" x14ac:dyDescent="0.25">
      <c r="C659" s="26">
        <v>657</v>
      </c>
    </row>
    <row r="660" spans="3:3" x14ac:dyDescent="0.25">
      <c r="C660" s="26">
        <v>658</v>
      </c>
    </row>
    <row r="661" spans="3:3" x14ac:dyDescent="0.25">
      <c r="C661" s="26">
        <v>659</v>
      </c>
    </row>
    <row r="662" spans="3:3" x14ac:dyDescent="0.25">
      <c r="C662" s="26">
        <v>660</v>
      </c>
    </row>
    <row r="663" spans="3:3" x14ac:dyDescent="0.25">
      <c r="C663" s="26">
        <v>661</v>
      </c>
    </row>
    <row r="664" spans="3:3" x14ac:dyDescent="0.25">
      <c r="C664" s="26">
        <v>662</v>
      </c>
    </row>
    <row r="665" spans="3:3" x14ac:dyDescent="0.25">
      <c r="C665" s="26">
        <v>663</v>
      </c>
    </row>
    <row r="666" spans="3:3" x14ac:dyDescent="0.25">
      <c r="C666" s="26">
        <v>664</v>
      </c>
    </row>
    <row r="667" spans="3:3" x14ac:dyDescent="0.25">
      <c r="C667" s="26">
        <v>665</v>
      </c>
    </row>
    <row r="668" spans="3:3" x14ac:dyDescent="0.25">
      <c r="C668" s="26">
        <v>666</v>
      </c>
    </row>
    <row r="669" spans="3:3" x14ac:dyDescent="0.25">
      <c r="C669" s="26">
        <v>667</v>
      </c>
    </row>
    <row r="670" spans="3:3" x14ac:dyDescent="0.25">
      <c r="C670" s="26">
        <v>668</v>
      </c>
    </row>
    <row r="671" spans="3:3" x14ac:dyDescent="0.25">
      <c r="C671" s="26">
        <v>669</v>
      </c>
    </row>
    <row r="672" spans="3:3" x14ac:dyDescent="0.25">
      <c r="C672" s="26">
        <v>670</v>
      </c>
    </row>
    <row r="673" spans="3:3" x14ac:dyDescent="0.25">
      <c r="C673" s="26">
        <v>671</v>
      </c>
    </row>
    <row r="674" spans="3:3" x14ac:dyDescent="0.25">
      <c r="C674" s="26">
        <v>672</v>
      </c>
    </row>
    <row r="675" spans="3:3" x14ac:dyDescent="0.25">
      <c r="C675" s="26">
        <v>673</v>
      </c>
    </row>
    <row r="676" spans="3:3" x14ac:dyDescent="0.25">
      <c r="C676" s="26">
        <v>674</v>
      </c>
    </row>
    <row r="677" spans="3:3" x14ac:dyDescent="0.25">
      <c r="C677" s="26">
        <v>675</v>
      </c>
    </row>
    <row r="678" spans="3:3" x14ac:dyDescent="0.25">
      <c r="C678" s="26">
        <v>676</v>
      </c>
    </row>
    <row r="679" spans="3:3" x14ac:dyDescent="0.25">
      <c r="C679" s="26">
        <v>677</v>
      </c>
    </row>
    <row r="680" spans="3:3" x14ac:dyDescent="0.25">
      <c r="C680" s="26">
        <v>678</v>
      </c>
    </row>
    <row r="681" spans="3:3" x14ac:dyDescent="0.25">
      <c r="C681" s="26">
        <v>679</v>
      </c>
    </row>
    <row r="682" spans="3:3" x14ac:dyDescent="0.25">
      <c r="C682" s="26">
        <v>680</v>
      </c>
    </row>
    <row r="683" spans="3:3" x14ac:dyDescent="0.25">
      <c r="C683" s="26">
        <v>681</v>
      </c>
    </row>
    <row r="684" spans="3:3" x14ac:dyDescent="0.25">
      <c r="C684" s="26">
        <v>682</v>
      </c>
    </row>
    <row r="685" spans="3:3" x14ac:dyDescent="0.25">
      <c r="C685" s="26">
        <v>683</v>
      </c>
    </row>
    <row r="686" spans="3:3" x14ac:dyDescent="0.25">
      <c r="C686" s="26">
        <v>684</v>
      </c>
    </row>
    <row r="687" spans="3:3" x14ac:dyDescent="0.25">
      <c r="C687" s="26">
        <v>685</v>
      </c>
    </row>
    <row r="688" spans="3:3" x14ac:dyDescent="0.25">
      <c r="C688" s="26">
        <v>686</v>
      </c>
    </row>
    <row r="689" spans="3:3" x14ac:dyDescent="0.25">
      <c r="C689" s="26">
        <v>687</v>
      </c>
    </row>
    <row r="690" spans="3:3" x14ac:dyDescent="0.25">
      <c r="C690" s="26">
        <v>688</v>
      </c>
    </row>
    <row r="691" spans="3:3" x14ac:dyDescent="0.25">
      <c r="C691" s="26">
        <v>689</v>
      </c>
    </row>
    <row r="692" spans="3:3" x14ac:dyDescent="0.25">
      <c r="C692" s="26">
        <v>690</v>
      </c>
    </row>
    <row r="693" spans="3:3" x14ac:dyDescent="0.25">
      <c r="C693" s="26">
        <v>691</v>
      </c>
    </row>
    <row r="694" spans="3:3" x14ac:dyDescent="0.25">
      <c r="C694" s="26">
        <v>692</v>
      </c>
    </row>
    <row r="695" spans="3:3" x14ac:dyDescent="0.25">
      <c r="C695" s="26">
        <v>693</v>
      </c>
    </row>
    <row r="696" spans="3:3" x14ac:dyDescent="0.25">
      <c r="C696" s="26">
        <v>694</v>
      </c>
    </row>
    <row r="697" spans="3:3" x14ac:dyDescent="0.25">
      <c r="C697" s="26">
        <v>695</v>
      </c>
    </row>
    <row r="698" spans="3:3" x14ac:dyDescent="0.25">
      <c r="C698" s="26">
        <v>696</v>
      </c>
    </row>
    <row r="699" spans="3:3" x14ac:dyDescent="0.25">
      <c r="C699" s="26">
        <v>697</v>
      </c>
    </row>
    <row r="700" spans="3:3" x14ac:dyDescent="0.25">
      <c r="C700" s="26">
        <v>698</v>
      </c>
    </row>
    <row r="701" spans="3:3" x14ac:dyDescent="0.25">
      <c r="C701" s="26">
        <v>699</v>
      </c>
    </row>
    <row r="702" spans="3:3" x14ac:dyDescent="0.25">
      <c r="C702" s="26">
        <v>700</v>
      </c>
    </row>
    <row r="703" spans="3:3" x14ac:dyDescent="0.25">
      <c r="C703" s="26">
        <v>701</v>
      </c>
    </row>
    <row r="704" spans="3:3" x14ac:dyDescent="0.25">
      <c r="C704" s="26">
        <v>702</v>
      </c>
    </row>
    <row r="705" spans="3:3" x14ac:dyDescent="0.25">
      <c r="C705" s="26">
        <v>703</v>
      </c>
    </row>
    <row r="706" spans="3:3" x14ac:dyDescent="0.25">
      <c r="C706" s="26">
        <v>704</v>
      </c>
    </row>
    <row r="707" spans="3:3" x14ac:dyDescent="0.25">
      <c r="C707" s="26">
        <v>705</v>
      </c>
    </row>
    <row r="708" spans="3:3" x14ac:dyDescent="0.25">
      <c r="C708" s="26">
        <v>706</v>
      </c>
    </row>
    <row r="709" spans="3:3" x14ac:dyDescent="0.25">
      <c r="C709" s="26">
        <v>707</v>
      </c>
    </row>
    <row r="710" spans="3:3" x14ac:dyDescent="0.25">
      <c r="C710" s="26">
        <v>708</v>
      </c>
    </row>
    <row r="711" spans="3:3" x14ac:dyDescent="0.25">
      <c r="C711" s="26">
        <v>709</v>
      </c>
    </row>
    <row r="712" spans="3:3" x14ac:dyDescent="0.25">
      <c r="C712" s="26">
        <v>710</v>
      </c>
    </row>
    <row r="713" spans="3:3" x14ac:dyDescent="0.25">
      <c r="C713" s="26">
        <v>711</v>
      </c>
    </row>
    <row r="714" spans="3:3" x14ac:dyDescent="0.25">
      <c r="C714" s="26">
        <v>712</v>
      </c>
    </row>
    <row r="715" spans="3:3" x14ac:dyDescent="0.25">
      <c r="C715" s="26">
        <v>713</v>
      </c>
    </row>
    <row r="716" spans="3:3" x14ac:dyDescent="0.25">
      <c r="C716" s="26">
        <v>714</v>
      </c>
    </row>
    <row r="717" spans="3:3" x14ac:dyDescent="0.25">
      <c r="C717" s="26">
        <v>715</v>
      </c>
    </row>
    <row r="718" spans="3:3" x14ac:dyDescent="0.25">
      <c r="C718" s="26">
        <v>716</v>
      </c>
    </row>
    <row r="719" spans="3:3" x14ac:dyDescent="0.25">
      <c r="C719" s="26">
        <v>717</v>
      </c>
    </row>
    <row r="720" spans="3:3" x14ac:dyDescent="0.25">
      <c r="C720" s="26">
        <v>718</v>
      </c>
    </row>
    <row r="721" spans="3:3" x14ac:dyDescent="0.25">
      <c r="C721" s="26">
        <v>719</v>
      </c>
    </row>
    <row r="722" spans="3:3" x14ac:dyDescent="0.25">
      <c r="C722" s="26">
        <v>720</v>
      </c>
    </row>
    <row r="723" spans="3:3" x14ac:dyDescent="0.25">
      <c r="C723" s="26">
        <v>721</v>
      </c>
    </row>
    <row r="724" spans="3:3" x14ac:dyDescent="0.25">
      <c r="C724" s="26">
        <v>722</v>
      </c>
    </row>
    <row r="725" spans="3:3" x14ac:dyDescent="0.25">
      <c r="C725" s="26">
        <v>723</v>
      </c>
    </row>
    <row r="726" spans="3:3" x14ac:dyDescent="0.25">
      <c r="C726" s="26">
        <v>724</v>
      </c>
    </row>
    <row r="727" spans="3:3" x14ac:dyDescent="0.25">
      <c r="C727" s="26">
        <v>725</v>
      </c>
    </row>
    <row r="728" spans="3:3" x14ac:dyDescent="0.25">
      <c r="C728" s="26">
        <v>726</v>
      </c>
    </row>
    <row r="729" spans="3:3" x14ac:dyDescent="0.25">
      <c r="C729" s="26">
        <v>727</v>
      </c>
    </row>
    <row r="730" spans="3:3" x14ac:dyDescent="0.25">
      <c r="C730" s="26">
        <v>728</v>
      </c>
    </row>
    <row r="731" spans="3:3" x14ac:dyDescent="0.25">
      <c r="C731" s="26">
        <v>729</v>
      </c>
    </row>
    <row r="732" spans="3:3" x14ac:dyDescent="0.25">
      <c r="C732" s="26">
        <v>730</v>
      </c>
    </row>
    <row r="733" spans="3:3" x14ac:dyDescent="0.25">
      <c r="C733" s="26">
        <v>731</v>
      </c>
    </row>
    <row r="734" spans="3:3" x14ac:dyDescent="0.25">
      <c r="C734" s="26">
        <v>732</v>
      </c>
    </row>
    <row r="735" spans="3:3" x14ac:dyDescent="0.25">
      <c r="C735" s="26">
        <v>733</v>
      </c>
    </row>
    <row r="736" spans="3:3" x14ac:dyDescent="0.25">
      <c r="C736" s="26">
        <v>734</v>
      </c>
    </row>
    <row r="737" spans="3:3" x14ac:dyDescent="0.25">
      <c r="C737" s="26">
        <v>735</v>
      </c>
    </row>
    <row r="738" spans="3:3" x14ac:dyDescent="0.25">
      <c r="C738" s="26">
        <v>736</v>
      </c>
    </row>
    <row r="739" spans="3:3" x14ac:dyDescent="0.25">
      <c r="C739" s="26">
        <v>737</v>
      </c>
    </row>
    <row r="740" spans="3:3" x14ac:dyDescent="0.25">
      <c r="C740" s="26">
        <v>738</v>
      </c>
    </row>
    <row r="741" spans="3:3" x14ac:dyDescent="0.25">
      <c r="C741" s="26">
        <v>739</v>
      </c>
    </row>
    <row r="742" spans="3:3" x14ac:dyDescent="0.25">
      <c r="C742" s="26">
        <v>740</v>
      </c>
    </row>
    <row r="743" spans="3:3" x14ac:dyDescent="0.25">
      <c r="C743" s="26">
        <v>741</v>
      </c>
    </row>
    <row r="744" spans="3:3" x14ac:dyDescent="0.25">
      <c r="C744" s="26">
        <v>742</v>
      </c>
    </row>
    <row r="745" spans="3:3" x14ac:dyDescent="0.25">
      <c r="C745" s="26">
        <v>743</v>
      </c>
    </row>
    <row r="746" spans="3:3" x14ac:dyDescent="0.25">
      <c r="C746" s="26">
        <v>744</v>
      </c>
    </row>
    <row r="747" spans="3:3" x14ac:dyDescent="0.25">
      <c r="C747" s="26">
        <v>745</v>
      </c>
    </row>
    <row r="748" spans="3:3" x14ac:dyDescent="0.25">
      <c r="C748" s="26">
        <v>746</v>
      </c>
    </row>
    <row r="749" spans="3:3" x14ac:dyDescent="0.25">
      <c r="C749" s="26">
        <v>747</v>
      </c>
    </row>
    <row r="750" spans="3:3" x14ac:dyDescent="0.25">
      <c r="C750" s="26">
        <v>748</v>
      </c>
    </row>
    <row r="751" spans="3:3" x14ac:dyDescent="0.25">
      <c r="C751" s="26">
        <v>749</v>
      </c>
    </row>
    <row r="752" spans="3:3" x14ac:dyDescent="0.25">
      <c r="C752" s="26">
        <v>750</v>
      </c>
    </row>
    <row r="753" spans="3:3" x14ac:dyDescent="0.25">
      <c r="C753" s="26">
        <v>751</v>
      </c>
    </row>
    <row r="754" spans="3:3" x14ac:dyDescent="0.25">
      <c r="C754" s="26">
        <v>752</v>
      </c>
    </row>
    <row r="755" spans="3:3" x14ac:dyDescent="0.25">
      <c r="C755" s="26">
        <v>753</v>
      </c>
    </row>
    <row r="756" spans="3:3" x14ac:dyDescent="0.25">
      <c r="C756" s="26">
        <v>754</v>
      </c>
    </row>
    <row r="757" spans="3:3" x14ac:dyDescent="0.25">
      <c r="C757" s="26">
        <v>755</v>
      </c>
    </row>
    <row r="758" spans="3:3" x14ac:dyDescent="0.25">
      <c r="C758" s="26">
        <v>756</v>
      </c>
    </row>
    <row r="759" spans="3:3" x14ac:dyDescent="0.25">
      <c r="C759" s="26">
        <v>757</v>
      </c>
    </row>
    <row r="760" spans="3:3" x14ac:dyDescent="0.25">
      <c r="C760" s="26">
        <v>758</v>
      </c>
    </row>
    <row r="761" spans="3:3" x14ac:dyDescent="0.25">
      <c r="C761" s="26">
        <v>759</v>
      </c>
    </row>
    <row r="762" spans="3:3" x14ac:dyDescent="0.25">
      <c r="C762" s="26">
        <v>760</v>
      </c>
    </row>
    <row r="763" spans="3:3" x14ac:dyDescent="0.25">
      <c r="C763" s="26">
        <v>761</v>
      </c>
    </row>
    <row r="764" spans="3:3" x14ac:dyDescent="0.25">
      <c r="C764" s="26">
        <v>762</v>
      </c>
    </row>
    <row r="765" spans="3:3" x14ac:dyDescent="0.25">
      <c r="C765" s="26">
        <v>763</v>
      </c>
    </row>
    <row r="766" spans="3:3" x14ac:dyDescent="0.25">
      <c r="C766" s="26">
        <v>764</v>
      </c>
    </row>
    <row r="767" spans="3:3" x14ac:dyDescent="0.25">
      <c r="C767" s="26">
        <v>765</v>
      </c>
    </row>
    <row r="768" spans="3:3" x14ac:dyDescent="0.25">
      <c r="C768" s="26">
        <v>766</v>
      </c>
    </row>
    <row r="769" spans="3:3" x14ac:dyDescent="0.25">
      <c r="C769" s="26">
        <v>767</v>
      </c>
    </row>
    <row r="770" spans="3:3" x14ac:dyDescent="0.25">
      <c r="C770" s="26">
        <v>768</v>
      </c>
    </row>
    <row r="771" spans="3:3" x14ac:dyDescent="0.25">
      <c r="C771" s="26">
        <v>769</v>
      </c>
    </row>
    <row r="772" spans="3:3" x14ac:dyDescent="0.25">
      <c r="C772" s="26">
        <v>770</v>
      </c>
    </row>
    <row r="773" spans="3:3" x14ac:dyDescent="0.25">
      <c r="C773" s="26">
        <v>771</v>
      </c>
    </row>
    <row r="774" spans="3:3" x14ac:dyDescent="0.25">
      <c r="C774" s="26">
        <v>772</v>
      </c>
    </row>
    <row r="775" spans="3:3" x14ac:dyDescent="0.25">
      <c r="C775" s="26">
        <v>773</v>
      </c>
    </row>
    <row r="776" spans="3:3" x14ac:dyDescent="0.25">
      <c r="C776" s="26">
        <v>774</v>
      </c>
    </row>
    <row r="777" spans="3:3" x14ac:dyDescent="0.25">
      <c r="C777" s="26">
        <v>775</v>
      </c>
    </row>
    <row r="778" spans="3:3" x14ac:dyDescent="0.25">
      <c r="C778" s="26">
        <v>776</v>
      </c>
    </row>
    <row r="779" spans="3:3" x14ac:dyDescent="0.25">
      <c r="C779" s="26">
        <v>777</v>
      </c>
    </row>
    <row r="780" spans="3:3" x14ac:dyDescent="0.25">
      <c r="C780" s="26">
        <v>778</v>
      </c>
    </row>
    <row r="781" spans="3:3" x14ac:dyDescent="0.25">
      <c r="C781" s="26">
        <v>779</v>
      </c>
    </row>
    <row r="782" spans="3:3" x14ac:dyDescent="0.25">
      <c r="C782" s="26">
        <v>780</v>
      </c>
    </row>
    <row r="783" spans="3:3" x14ac:dyDescent="0.25">
      <c r="C783" s="26">
        <v>781</v>
      </c>
    </row>
    <row r="784" spans="3:3" x14ac:dyDescent="0.25">
      <c r="C784" s="26">
        <v>782</v>
      </c>
    </row>
    <row r="785" spans="3:3" x14ac:dyDescent="0.25">
      <c r="C785" s="26">
        <v>783</v>
      </c>
    </row>
    <row r="786" spans="3:3" x14ac:dyDescent="0.25">
      <c r="C786" s="26">
        <v>784</v>
      </c>
    </row>
    <row r="787" spans="3:3" x14ac:dyDescent="0.25">
      <c r="C787" s="26">
        <v>785</v>
      </c>
    </row>
    <row r="788" spans="3:3" x14ac:dyDescent="0.25">
      <c r="C788" s="26">
        <v>786</v>
      </c>
    </row>
    <row r="789" spans="3:3" x14ac:dyDescent="0.25">
      <c r="C789" s="26">
        <v>787</v>
      </c>
    </row>
    <row r="790" spans="3:3" x14ac:dyDescent="0.25">
      <c r="C790" s="26">
        <v>788</v>
      </c>
    </row>
    <row r="791" spans="3:3" x14ac:dyDescent="0.25">
      <c r="C791" s="26">
        <v>789</v>
      </c>
    </row>
    <row r="792" spans="3:3" x14ac:dyDescent="0.25">
      <c r="C792" s="26">
        <v>790</v>
      </c>
    </row>
    <row r="793" spans="3:3" x14ac:dyDescent="0.25">
      <c r="C793" s="26">
        <v>791</v>
      </c>
    </row>
    <row r="794" spans="3:3" x14ac:dyDescent="0.25">
      <c r="C794" s="26">
        <v>792</v>
      </c>
    </row>
    <row r="795" spans="3:3" x14ac:dyDescent="0.25">
      <c r="C795" s="26">
        <v>793</v>
      </c>
    </row>
    <row r="796" spans="3:3" x14ac:dyDescent="0.25">
      <c r="C796" s="26">
        <v>794</v>
      </c>
    </row>
    <row r="797" spans="3:3" x14ac:dyDescent="0.25">
      <c r="C797" s="26">
        <v>795</v>
      </c>
    </row>
    <row r="798" spans="3:3" x14ac:dyDescent="0.25">
      <c r="C798" s="26">
        <v>796</v>
      </c>
    </row>
    <row r="799" spans="3:3" x14ac:dyDescent="0.25">
      <c r="C799" s="26">
        <v>797</v>
      </c>
    </row>
    <row r="800" spans="3:3" x14ac:dyDescent="0.25">
      <c r="C800" s="26">
        <v>798</v>
      </c>
    </row>
    <row r="801" spans="3:3" x14ac:dyDescent="0.25">
      <c r="C801" s="26">
        <v>799</v>
      </c>
    </row>
    <row r="802" spans="3:3" x14ac:dyDescent="0.25">
      <c r="C802" s="26">
        <v>800</v>
      </c>
    </row>
    <row r="803" spans="3:3" x14ac:dyDescent="0.25">
      <c r="C803" s="26">
        <v>801</v>
      </c>
    </row>
    <row r="804" spans="3:3" x14ac:dyDescent="0.25">
      <c r="C804" s="26">
        <v>802</v>
      </c>
    </row>
    <row r="805" spans="3:3" x14ac:dyDescent="0.25">
      <c r="C805" s="26">
        <v>803</v>
      </c>
    </row>
    <row r="806" spans="3:3" x14ac:dyDescent="0.25">
      <c r="C806" s="26">
        <v>804</v>
      </c>
    </row>
    <row r="807" spans="3:3" x14ac:dyDescent="0.25">
      <c r="C807" s="26">
        <v>805</v>
      </c>
    </row>
    <row r="808" spans="3:3" x14ac:dyDescent="0.25">
      <c r="C808" s="26">
        <v>806</v>
      </c>
    </row>
    <row r="809" spans="3:3" x14ac:dyDescent="0.25">
      <c r="C809" s="26">
        <v>807</v>
      </c>
    </row>
    <row r="810" spans="3:3" x14ac:dyDescent="0.25">
      <c r="C810" s="26">
        <v>808</v>
      </c>
    </row>
    <row r="811" spans="3:3" x14ac:dyDescent="0.25">
      <c r="C811" s="26">
        <v>809</v>
      </c>
    </row>
    <row r="812" spans="3:3" x14ac:dyDescent="0.25">
      <c r="C812" s="26">
        <v>810</v>
      </c>
    </row>
    <row r="813" spans="3:3" x14ac:dyDescent="0.25">
      <c r="C813" s="26">
        <v>811</v>
      </c>
    </row>
    <row r="814" spans="3:3" x14ac:dyDescent="0.25">
      <c r="C814" s="26">
        <v>812</v>
      </c>
    </row>
    <row r="815" spans="3:3" x14ac:dyDescent="0.25">
      <c r="C815" s="26">
        <v>813</v>
      </c>
    </row>
    <row r="816" spans="3:3" x14ac:dyDescent="0.25">
      <c r="C816" s="26">
        <v>814</v>
      </c>
    </row>
    <row r="817" spans="3:3" x14ac:dyDescent="0.25">
      <c r="C817" s="26">
        <v>815</v>
      </c>
    </row>
    <row r="818" spans="3:3" x14ac:dyDescent="0.25">
      <c r="C818" s="26">
        <v>816</v>
      </c>
    </row>
    <row r="819" spans="3:3" x14ac:dyDescent="0.25">
      <c r="C819" s="26">
        <v>817</v>
      </c>
    </row>
    <row r="820" spans="3:3" x14ac:dyDescent="0.25">
      <c r="C820" s="26">
        <v>818</v>
      </c>
    </row>
    <row r="821" spans="3:3" x14ac:dyDescent="0.25">
      <c r="C821" s="26">
        <v>819</v>
      </c>
    </row>
    <row r="822" spans="3:3" x14ac:dyDescent="0.25">
      <c r="C822" s="26">
        <v>820</v>
      </c>
    </row>
    <row r="823" spans="3:3" x14ac:dyDescent="0.25">
      <c r="C823" s="26">
        <v>821</v>
      </c>
    </row>
    <row r="824" spans="3:3" x14ac:dyDescent="0.25">
      <c r="C824" s="26">
        <v>822</v>
      </c>
    </row>
    <row r="825" spans="3:3" x14ac:dyDescent="0.25">
      <c r="C825" s="26">
        <v>823</v>
      </c>
    </row>
    <row r="826" spans="3:3" x14ac:dyDescent="0.25">
      <c r="C826" s="26">
        <v>824</v>
      </c>
    </row>
    <row r="827" spans="3:3" x14ac:dyDescent="0.25">
      <c r="C827" s="26">
        <v>825</v>
      </c>
    </row>
    <row r="828" spans="3:3" x14ac:dyDescent="0.25">
      <c r="C828" s="26">
        <v>826</v>
      </c>
    </row>
    <row r="829" spans="3:3" x14ac:dyDescent="0.25">
      <c r="C829" s="26">
        <v>827</v>
      </c>
    </row>
    <row r="830" spans="3:3" x14ac:dyDescent="0.25">
      <c r="C830" s="26">
        <v>828</v>
      </c>
    </row>
    <row r="831" spans="3:3" x14ac:dyDescent="0.25">
      <c r="C831" s="26">
        <v>829</v>
      </c>
    </row>
    <row r="832" spans="3:3" x14ac:dyDescent="0.25">
      <c r="C832" s="26">
        <v>830</v>
      </c>
    </row>
    <row r="833" spans="3:3" x14ac:dyDescent="0.25">
      <c r="C833" s="26">
        <v>831</v>
      </c>
    </row>
    <row r="834" spans="3:3" x14ac:dyDescent="0.25">
      <c r="C834" s="26">
        <v>832</v>
      </c>
    </row>
    <row r="835" spans="3:3" x14ac:dyDescent="0.25">
      <c r="C835" s="26">
        <v>833</v>
      </c>
    </row>
    <row r="836" spans="3:3" x14ac:dyDescent="0.25">
      <c r="C836" s="26">
        <v>834</v>
      </c>
    </row>
    <row r="837" spans="3:3" x14ac:dyDescent="0.25">
      <c r="C837" s="26">
        <v>835</v>
      </c>
    </row>
    <row r="838" spans="3:3" x14ac:dyDescent="0.25">
      <c r="C838" s="26">
        <v>836</v>
      </c>
    </row>
    <row r="839" spans="3:3" x14ac:dyDescent="0.25">
      <c r="C839" s="26">
        <v>837</v>
      </c>
    </row>
    <row r="840" spans="3:3" x14ac:dyDescent="0.25">
      <c r="C840" s="26">
        <v>838</v>
      </c>
    </row>
    <row r="841" spans="3:3" x14ac:dyDescent="0.25">
      <c r="C841" s="26">
        <v>839</v>
      </c>
    </row>
    <row r="842" spans="3:3" x14ac:dyDescent="0.25">
      <c r="C842" s="26">
        <v>840</v>
      </c>
    </row>
    <row r="843" spans="3:3" x14ac:dyDescent="0.25">
      <c r="C843" s="26">
        <v>841</v>
      </c>
    </row>
    <row r="844" spans="3:3" x14ac:dyDescent="0.25">
      <c r="C844" s="26">
        <v>842</v>
      </c>
    </row>
    <row r="845" spans="3:3" x14ac:dyDescent="0.25">
      <c r="C845" s="26">
        <v>843</v>
      </c>
    </row>
    <row r="846" spans="3:3" x14ac:dyDescent="0.25">
      <c r="C846" s="26">
        <v>844</v>
      </c>
    </row>
    <row r="847" spans="3:3" x14ac:dyDescent="0.25">
      <c r="C847" s="26">
        <v>845</v>
      </c>
    </row>
    <row r="848" spans="3:3" x14ac:dyDescent="0.25">
      <c r="C848" s="26">
        <v>846</v>
      </c>
    </row>
    <row r="849" spans="3:3" x14ac:dyDescent="0.25">
      <c r="C849" s="26">
        <v>847</v>
      </c>
    </row>
    <row r="850" spans="3:3" x14ac:dyDescent="0.25">
      <c r="C850" s="26">
        <v>848</v>
      </c>
    </row>
    <row r="851" spans="3:3" x14ac:dyDescent="0.25">
      <c r="C851" s="26">
        <v>849</v>
      </c>
    </row>
    <row r="852" spans="3:3" x14ac:dyDescent="0.25">
      <c r="C852" s="26">
        <v>850</v>
      </c>
    </row>
    <row r="853" spans="3:3" x14ac:dyDescent="0.25">
      <c r="C853" s="26">
        <v>851</v>
      </c>
    </row>
    <row r="854" spans="3:3" x14ac:dyDescent="0.25">
      <c r="C854" s="26">
        <v>852</v>
      </c>
    </row>
    <row r="855" spans="3:3" x14ac:dyDescent="0.25">
      <c r="C855" s="26">
        <v>853</v>
      </c>
    </row>
    <row r="856" spans="3:3" x14ac:dyDescent="0.25">
      <c r="C856" s="26">
        <v>854</v>
      </c>
    </row>
    <row r="857" spans="3:3" x14ac:dyDescent="0.25">
      <c r="C857" s="26">
        <v>855</v>
      </c>
    </row>
    <row r="858" spans="3:3" x14ac:dyDescent="0.25">
      <c r="C858" s="26">
        <v>856</v>
      </c>
    </row>
    <row r="859" spans="3:3" x14ac:dyDescent="0.25">
      <c r="C859" s="26">
        <v>857</v>
      </c>
    </row>
    <row r="860" spans="3:3" x14ac:dyDescent="0.25">
      <c r="C860" s="26">
        <v>858</v>
      </c>
    </row>
    <row r="861" spans="3:3" x14ac:dyDescent="0.25">
      <c r="C861" s="26">
        <v>859</v>
      </c>
    </row>
    <row r="862" spans="3:3" x14ac:dyDescent="0.25">
      <c r="C862" s="26">
        <v>860</v>
      </c>
    </row>
    <row r="863" spans="3:3" x14ac:dyDescent="0.25">
      <c r="C863" s="26">
        <v>861</v>
      </c>
    </row>
    <row r="864" spans="3:3" x14ac:dyDescent="0.25">
      <c r="C864" s="26">
        <v>862</v>
      </c>
    </row>
    <row r="865" spans="3:3" x14ac:dyDescent="0.25">
      <c r="C865" s="26">
        <v>863</v>
      </c>
    </row>
    <row r="866" spans="3:3" x14ac:dyDescent="0.25">
      <c r="C866" s="26">
        <v>864</v>
      </c>
    </row>
    <row r="867" spans="3:3" x14ac:dyDescent="0.25">
      <c r="C867" s="26">
        <v>865</v>
      </c>
    </row>
    <row r="868" spans="3:3" x14ac:dyDescent="0.25">
      <c r="C868" s="26">
        <v>866</v>
      </c>
    </row>
    <row r="869" spans="3:3" x14ac:dyDescent="0.25">
      <c r="C869" s="26">
        <v>867</v>
      </c>
    </row>
    <row r="870" spans="3:3" x14ac:dyDescent="0.25">
      <c r="C870" s="26">
        <v>868</v>
      </c>
    </row>
    <row r="871" spans="3:3" x14ac:dyDescent="0.25">
      <c r="C871" s="26">
        <v>869</v>
      </c>
    </row>
    <row r="872" spans="3:3" x14ac:dyDescent="0.25">
      <c r="C872" s="26">
        <v>870</v>
      </c>
    </row>
    <row r="873" spans="3:3" x14ac:dyDescent="0.25">
      <c r="C873" s="26">
        <v>871</v>
      </c>
    </row>
    <row r="874" spans="3:3" x14ac:dyDescent="0.25">
      <c r="C874" s="26">
        <v>872</v>
      </c>
    </row>
    <row r="875" spans="3:3" x14ac:dyDescent="0.25">
      <c r="C875" s="26">
        <v>873</v>
      </c>
    </row>
    <row r="876" spans="3:3" x14ac:dyDescent="0.25">
      <c r="C876" s="26">
        <v>874</v>
      </c>
    </row>
    <row r="877" spans="3:3" x14ac:dyDescent="0.25">
      <c r="C877" s="26">
        <v>875</v>
      </c>
    </row>
    <row r="878" spans="3:3" x14ac:dyDescent="0.25">
      <c r="C878" s="26">
        <v>876</v>
      </c>
    </row>
    <row r="879" spans="3:3" x14ac:dyDescent="0.25">
      <c r="C879" s="26">
        <v>877</v>
      </c>
    </row>
    <row r="880" spans="3:3" x14ac:dyDescent="0.25">
      <c r="C880" s="26">
        <v>878</v>
      </c>
    </row>
    <row r="881" spans="3:3" x14ac:dyDescent="0.25">
      <c r="C881" s="26">
        <v>879</v>
      </c>
    </row>
    <row r="882" spans="3:3" x14ac:dyDescent="0.25">
      <c r="C882" s="26">
        <v>880</v>
      </c>
    </row>
    <row r="883" spans="3:3" x14ac:dyDescent="0.25">
      <c r="C883" s="26">
        <v>881</v>
      </c>
    </row>
    <row r="884" spans="3:3" x14ac:dyDescent="0.25">
      <c r="C884" s="26">
        <v>882</v>
      </c>
    </row>
    <row r="885" spans="3:3" x14ac:dyDescent="0.25">
      <c r="C885" s="26">
        <v>883</v>
      </c>
    </row>
    <row r="886" spans="3:3" x14ac:dyDescent="0.25">
      <c r="C886" s="26">
        <v>884</v>
      </c>
    </row>
    <row r="887" spans="3:3" x14ac:dyDescent="0.25">
      <c r="C887" s="26">
        <v>885</v>
      </c>
    </row>
    <row r="888" spans="3:3" x14ac:dyDescent="0.25">
      <c r="C888" s="26">
        <v>886</v>
      </c>
    </row>
    <row r="889" spans="3:3" x14ac:dyDescent="0.25">
      <c r="C889" s="26">
        <v>887</v>
      </c>
    </row>
    <row r="890" spans="3:3" x14ac:dyDescent="0.25">
      <c r="C890" s="26">
        <v>888</v>
      </c>
    </row>
    <row r="891" spans="3:3" x14ac:dyDescent="0.25">
      <c r="C891" s="26">
        <v>889</v>
      </c>
    </row>
    <row r="892" spans="3:3" x14ac:dyDescent="0.25">
      <c r="C892" s="26">
        <v>890</v>
      </c>
    </row>
    <row r="893" spans="3:3" x14ac:dyDescent="0.25">
      <c r="C893" s="26">
        <v>891</v>
      </c>
    </row>
    <row r="894" spans="3:3" x14ac:dyDescent="0.25">
      <c r="C894" s="26">
        <v>892</v>
      </c>
    </row>
    <row r="895" spans="3:3" x14ac:dyDescent="0.25">
      <c r="C895" s="26">
        <v>893</v>
      </c>
    </row>
    <row r="896" spans="3:3" x14ac:dyDescent="0.25">
      <c r="C896" s="26">
        <v>894</v>
      </c>
    </row>
    <row r="897" spans="3:3" x14ac:dyDescent="0.25">
      <c r="C897" s="26">
        <v>895</v>
      </c>
    </row>
    <row r="898" spans="3:3" x14ac:dyDescent="0.25">
      <c r="C898" s="26">
        <v>896</v>
      </c>
    </row>
    <row r="899" spans="3:3" x14ac:dyDescent="0.25">
      <c r="C899" s="26">
        <v>897</v>
      </c>
    </row>
    <row r="900" spans="3:3" x14ac:dyDescent="0.25">
      <c r="C900" s="26">
        <v>898</v>
      </c>
    </row>
    <row r="901" spans="3:3" x14ac:dyDescent="0.25">
      <c r="C901" s="26">
        <v>899</v>
      </c>
    </row>
    <row r="902" spans="3:3" x14ac:dyDescent="0.25">
      <c r="C902" s="26">
        <v>900</v>
      </c>
    </row>
    <row r="903" spans="3:3" x14ac:dyDescent="0.25">
      <c r="C903" s="26">
        <v>901</v>
      </c>
    </row>
    <row r="904" spans="3:3" x14ac:dyDescent="0.25">
      <c r="C904" s="26">
        <v>902</v>
      </c>
    </row>
    <row r="905" spans="3:3" x14ac:dyDescent="0.25">
      <c r="C905" s="26">
        <v>903</v>
      </c>
    </row>
    <row r="906" spans="3:3" x14ac:dyDescent="0.25">
      <c r="C906" s="26">
        <v>904</v>
      </c>
    </row>
    <row r="907" spans="3:3" x14ac:dyDescent="0.25">
      <c r="C907" s="26">
        <v>905</v>
      </c>
    </row>
    <row r="908" spans="3:3" x14ac:dyDescent="0.25">
      <c r="C908" s="26">
        <v>906</v>
      </c>
    </row>
    <row r="909" spans="3:3" x14ac:dyDescent="0.25">
      <c r="C909" s="26">
        <v>907</v>
      </c>
    </row>
    <row r="910" spans="3:3" x14ac:dyDescent="0.25">
      <c r="C910" s="26">
        <v>908</v>
      </c>
    </row>
    <row r="911" spans="3:3" x14ac:dyDescent="0.25">
      <c r="C911" s="26">
        <v>909</v>
      </c>
    </row>
    <row r="912" spans="3:3" x14ac:dyDescent="0.25">
      <c r="C912" s="26">
        <v>910</v>
      </c>
    </row>
    <row r="913" spans="3:3" x14ac:dyDescent="0.25">
      <c r="C913" s="26">
        <v>911</v>
      </c>
    </row>
    <row r="914" spans="3:3" x14ac:dyDescent="0.25">
      <c r="C914" s="26">
        <v>912</v>
      </c>
    </row>
    <row r="915" spans="3:3" x14ac:dyDescent="0.25">
      <c r="C915" s="26">
        <v>913</v>
      </c>
    </row>
    <row r="916" spans="3:3" x14ac:dyDescent="0.25">
      <c r="C916" s="26">
        <v>914</v>
      </c>
    </row>
    <row r="917" spans="3:3" x14ac:dyDescent="0.25">
      <c r="C917" s="26">
        <v>915</v>
      </c>
    </row>
    <row r="918" spans="3:3" x14ac:dyDescent="0.25">
      <c r="C918" s="26">
        <v>916</v>
      </c>
    </row>
    <row r="919" spans="3:3" x14ac:dyDescent="0.25">
      <c r="C919" s="26">
        <v>917</v>
      </c>
    </row>
    <row r="920" spans="3:3" x14ac:dyDescent="0.25">
      <c r="C920" s="26">
        <v>918</v>
      </c>
    </row>
    <row r="921" spans="3:3" x14ac:dyDescent="0.25">
      <c r="C921" s="26">
        <v>919</v>
      </c>
    </row>
    <row r="922" spans="3:3" x14ac:dyDescent="0.25">
      <c r="C922" s="26">
        <v>920</v>
      </c>
    </row>
    <row r="923" spans="3:3" x14ac:dyDescent="0.25">
      <c r="C923" s="26">
        <v>921</v>
      </c>
    </row>
    <row r="924" spans="3:3" x14ac:dyDescent="0.25">
      <c r="C924" s="26">
        <v>922</v>
      </c>
    </row>
    <row r="925" spans="3:3" x14ac:dyDescent="0.25">
      <c r="C925" s="26">
        <v>923</v>
      </c>
    </row>
    <row r="926" spans="3:3" x14ac:dyDescent="0.25">
      <c r="C926" s="26">
        <v>924</v>
      </c>
    </row>
    <row r="927" spans="3:3" x14ac:dyDescent="0.25">
      <c r="C927" s="26">
        <v>925</v>
      </c>
    </row>
    <row r="928" spans="3:3" x14ac:dyDescent="0.25">
      <c r="C928" s="26">
        <v>926</v>
      </c>
    </row>
    <row r="929" spans="3:3" x14ac:dyDescent="0.25">
      <c r="C929" s="26">
        <v>927</v>
      </c>
    </row>
    <row r="930" spans="3:3" x14ac:dyDescent="0.25">
      <c r="C930" s="26">
        <v>928</v>
      </c>
    </row>
    <row r="931" spans="3:3" x14ac:dyDescent="0.25">
      <c r="C931" s="26">
        <v>929</v>
      </c>
    </row>
    <row r="932" spans="3:3" x14ac:dyDescent="0.25">
      <c r="C932" s="26">
        <v>930</v>
      </c>
    </row>
    <row r="933" spans="3:3" x14ac:dyDescent="0.25">
      <c r="C933" s="26">
        <v>931</v>
      </c>
    </row>
    <row r="934" spans="3:3" x14ac:dyDescent="0.25">
      <c r="C934" s="26">
        <v>932</v>
      </c>
    </row>
    <row r="935" spans="3:3" x14ac:dyDescent="0.25">
      <c r="C935" s="26">
        <v>933</v>
      </c>
    </row>
    <row r="936" spans="3:3" x14ac:dyDescent="0.25">
      <c r="C936" s="26">
        <v>934</v>
      </c>
    </row>
    <row r="937" spans="3:3" x14ac:dyDescent="0.25">
      <c r="C937" s="26">
        <v>935</v>
      </c>
    </row>
    <row r="938" spans="3:3" x14ac:dyDescent="0.25">
      <c r="C938" s="26">
        <v>936</v>
      </c>
    </row>
    <row r="939" spans="3:3" x14ac:dyDescent="0.25">
      <c r="C939" s="26">
        <v>937</v>
      </c>
    </row>
    <row r="940" spans="3:3" x14ac:dyDescent="0.25">
      <c r="C940" s="26">
        <v>938</v>
      </c>
    </row>
    <row r="941" spans="3:3" x14ac:dyDescent="0.25">
      <c r="C941" s="26">
        <v>939</v>
      </c>
    </row>
    <row r="942" spans="3:3" x14ac:dyDescent="0.25">
      <c r="C942" s="26">
        <v>940</v>
      </c>
    </row>
    <row r="943" spans="3:3" x14ac:dyDescent="0.25">
      <c r="C943" s="26">
        <v>941</v>
      </c>
    </row>
    <row r="944" spans="3:3" x14ac:dyDescent="0.25">
      <c r="C944" s="26">
        <v>942</v>
      </c>
    </row>
    <row r="945" spans="3:3" x14ac:dyDescent="0.25">
      <c r="C945" s="26">
        <v>943</v>
      </c>
    </row>
    <row r="946" spans="3:3" x14ac:dyDescent="0.25">
      <c r="C946" s="26">
        <v>944</v>
      </c>
    </row>
    <row r="947" spans="3:3" x14ac:dyDescent="0.25">
      <c r="C947" s="26">
        <v>945</v>
      </c>
    </row>
    <row r="948" spans="3:3" x14ac:dyDescent="0.25">
      <c r="C948" s="26">
        <v>946</v>
      </c>
    </row>
    <row r="949" spans="3:3" x14ac:dyDescent="0.25">
      <c r="C949" s="26">
        <v>947</v>
      </c>
    </row>
    <row r="950" spans="3:3" x14ac:dyDescent="0.25">
      <c r="C950" s="26">
        <v>948</v>
      </c>
    </row>
    <row r="951" spans="3:3" x14ac:dyDescent="0.25">
      <c r="C951" s="26">
        <v>949</v>
      </c>
    </row>
    <row r="952" spans="3:3" x14ac:dyDescent="0.25">
      <c r="C952" s="26">
        <v>950</v>
      </c>
    </row>
    <row r="953" spans="3:3" x14ac:dyDescent="0.25">
      <c r="C953" s="26">
        <v>951</v>
      </c>
    </row>
    <row r="954" spans="3:3" x14ac:dyDescent="0.25">
      <c r="C954" s="26">
        <v>952</v>
      </c>
    </row>
    <row r="955" spans="3:3" x14ac:dyDescent="0.25">
      <c r="C955" s="26">
        <v>953</v>
      </c>
    </row>
    <row r="956" spans="3:3" x14ac:dyDescent="0.25">
      <c r="C956" s="26">
        <v>954</v>
      </c>
    </row>
    <row r="957" spans="3:3" x14ac:dyDescent="0.25">
      <c r="C957" s="26">
        <v>955</v>
      </c>
    </row>
    <row r="958" spans="3:3" x14ac:dyDescent="0.25">
      <c r="C958" s="26">
        <v>956</v>
      </c>
    </row>
    <row r="959" spans="3:3" x14ac:dyDescent="0.25">
      <c r="C959" s="26">
        <v>957</v>
      </c>
    </row>
    <row r="960" spans="3:3" x14ac:dyDescent="0.25">
      <c r="C960" s="26">
        <v>958</v>
      </c>
    </row>
    <row r="961" spans="3:3" x14ac:dyDescent="0.25">
      <c r="C961" s="26">
        <v>959</v>
      </c>
    </row>
    <row r="962" spans="3:3" x14ac:dyDescent="0.25">
      <c r="C962" s="26">
        <v>960</v>
      </c>
    </row>
    <row r="963" spans="3:3" x14ac:dyDescent="0.25">
      <c r="C963" s="26">
        <v>961</v>
      </c>
    </row>
    <row r="964" spans="3:3" x14ac:dyDescent="0.25">
      <c r="C964" s="26">
        <v>962</v>
      </c>
    </row>
    <row r="965" spans="3:3" x14ac:dyDescent="0.25">
      <c r="C965" s="26">
        <v>963</v>
      </c>
    </row>
    <row r="966" spans="3:3" x14ac:dyDescent="0.25">
      <c r="C966" s="26">
        <v>964</v>
      </c>
    </row>
    <row r="967" spans="3:3" x14ac:dyDescent="0.25">
      <c r="C967" s="26">
        <v>965</v>
      </c>
    </row>
    <row r="968" spans="3:3" x14ac:dyDescent="0.25">
      <c r="C968" s="26">
        <v>966</v>
      </c>
    </row>
    <row r="969" spans="3:3" x14ac:dyDescent="0.25">
      <c r="C969" s="26">
        <v>967</v>
      </c>
    </row>
    <row r="970" spans="3:3" x14ac:dyDescent="0.25">
      <c r="C970" s="26">
        <v>968</v>
      </c>
    </row>
    <row r="971" spans="3:3" x14ac:dyDescent="0.25">
      <c r="C971" s="26">
        <v>969</v>
      </c>
    </row>
    <row r="972" spans="3:3" x14ac:dyDescent="0.25">
      <c r="C972" s="26">
        <v>970</v>
      </c>
    </row>
    <row r="973" spans="3:3" x14ac:dyDescent="0.25">
      <c r="C973" s="26">
        <v>971</v>
      </c>
    </row>
    <row r="974" spans="3:3" x14ac:dyDescent="0.25">
      <c r="C974" s="26">
        <v>972</v>
      </c>
    </row>
    <row r="975" spans="3:3" x14ac:dyDescent="0.25">
      <c r="C975" s="26">
        <v>973</v>
      </c>
    </row>
    <row r="976" spans="3:3" x14ac:dyDescent="0.25">
      <c r="C976" s="26">
        <v>974</v>
      </c>
    </row>
    <row r="977" spans="3:3" x14ac:dyDescent="0.25">
      <c r="C977" s="26">
        <v>975</v>
      </c>
    </row>
    <row r="978" spans="3:3" x14ac:dyDescent="0.25">
      <c r="C978" s="26">
        <v>976</v>
      </c>
    </row>
    <row r="979" spans="3:3" x14ac:dyDescent="0.25">
      <c r="C979" s="26">
        <v>977</v>
      </c>
    </row>
    <row r="980" spans="3:3" x14ac:dyDescent="0.25">
      <c r="C980" s="26">
        <v>978</v>
      </c>
    </row>
    <row r="981" spans="3:3" x14ac:dyDescent="0.25">
      <c r="C981" s="26">
        <v>979</v>
      </c>
    </row>
    <row r="982" spans="3:3" x14ac:dyDescent="0.25">
      <c r="C982" s="26">
        <v>980</v>
      </c>
    </row>
    <row r="983" spans="3:3" x14ac:dyDescent="0.25">
      <c r="C983" s="26">
        <v>981</v>
      </c>
    </row>
    <row r="984" spans="3:3" x14ac:dyDescent="0.25">
      <c r="C984" s="26">
        <v>982</v>
      </c>
    </row>
    <row r="985" spans="3:3" x14ac:dyDescent="0.25">
      <c r="C985" s="26">
        <v>983</v>
      </c>
    </row>
    <row r="986" spans="3:3" x14ac:dyDescent="0.25">
      <c r="C986" s="26">
        <v>984</v>
      </c>
    </row>
    <row r="987" spans="3:3" x14ac:dyDescent="0.25">
      <c r="C987" s="26">
        <v>985</v>
      </c>
    </row>
    <row r="988" spans="3:3" x14ac:dyDescent="0.25">
      <c r="C988" s="26">
        <v>986</v>
      </c>
    </row>
    <row r="989" spans="3:3" x14ac:dyDescent="0.25">
      <c r="C989" s="26">
        <v>987</v>
      </c>
    </row>
    <row r="990" spans="3:3" x14ac:dyDescent="0.25">
      <c r="C990" s="26">
        <v>988</v>
      </c>
    </row>
    <row r="991" spans="3:3" x14ac:dyDescent="0.25">
      <c r="C991" s="26">
        <v>989</v>
      </c>
    </row>
    <row r="992" spans="3:3" x14ac:dyDescent="0.25">
      <c r="C992" s="26">
        <v>990</v>
      </c>
    </row>
    <row r="993" spans="3:3" x14ac:dyDescent="0.25">
      <c r="C993" s="26">
        <v>991</v>
      </c>
    </row>
    <row r="994" spans="3:3" x14ac:dyDescent="0.25">
      <c r="C994" s="26">
        <v>992</v>
      </c>
    </row>
    <row r="995" spans="3:3" x14ac:dyDescent="0.25">
      <c r="C995" s="26">
        <v>993</v>
      </c>
    </row>
    <row r="996" spans="3:3" x14ac:dyDescent="0.25">
      <c r="C996" s="26">
        <v>994</v>
      </c>
    </row>
    <row r="997" spans="3:3" x14ac:dyDescent="0.25">
      <c r="C997" s="26">
        <v>995</v>
      </c>
    </row>
    <row r="998" spans="3:3" x14ac:dyDescent="0.25">
      <c r="C998" s="26">
        <v>996</v>
      </c>
    </row>
    <row r="999" spans="3:3" x14ac:dyDescent="0.25">
      <c r="C999" s="26">
        <v>997</v>
      </c>
    </row>
    <row r="1000" spans="3:3" x14ac:dyDescent="0.25">
      <c r="C1000" s="26">
        <v>998</v>
      </c>
    </row>
    <row r="1001" spans="3:3" x14ac:dyDescent="0.25">
      <c r="C1001" s="26">
        <v>999</v>
      </c>
    </row>
    <row r="1002" spans="3:3" x14ac:dyDescent="0.25">
      <c r="C1002" s="26">
        <v>1000</v>
      </c>
    </row>
    <row r="1003" spans="3:3" x14ac:dyDescent="0.25">
      <c r="C1003" s="26">
        <v>1001</v>
      </c>
    </row>
    <row r="1004" spans="3:3" x14ac:dyDescent="0.25">
      <c r="C1004" s="26">
        <v>1002</v>
      </c>
    </row>
    <row r="1005" spans="3:3" x14ac:dyDescent="0.25">
      <c r="C1005" s="26">
        <v>1003</v>
      </c>
    </row>
    <row r="1006" spans="3:3" x14ac:dyDescent="0.25">
      <c r="C1006" s="26">
        <v>1004</v>
      </c>
    </row>
    <row r="1007" spans="3:3" x14ac:dyDescent="0.25">
      <c r="C1007" s="26">
        <v>1005</v>
      </c>
    </row>
    <row r="1008" spans="3:3" x14ac:dyDescent="0.25">
      <c r="C1008" s="26">
        <v>1006</v>
      </c>
    </row>
    <row r="1009" spans="3:3" x14ac:dyDescent="0.25">
      <c r="C1009" s="26">
        <v>1007</v>
      </c>
    </row>
    <row r="1010" spans="3:3" x14ac:dyDescent="0.25">
      <c r="C1010" s="26">
        <v>1008</v>
      </c>
    </row>
    <row r="1011" spans="3:3" x14ac:dyDescent="0.25">
      <c r="C1011" s="26">
        <v>1009</v>
      </c>
    </row>
    <row r="1012" spans="3:3" x14ac:dyDescent="0.25">
      <c r="C1012" s="26">
        <v>1010</v>
      </c>
    </row>
    <row r="1013" spans="3:3" x14ac:dyDescent="0.25">
      <c r="C1013" s="26">
        <v>1011</v>
      </c>
    </row>
    <row r="1014" spans="3:3" x14ac:dyDescent="0.25">
      <c r="C1014" s="26">
        <v>1012</v>
      </c>
    </row>
    <row r="1015" spans="3:3" x14ac:dyDescent="0.25">
      <c r="C1015" s="26">
        <v>1013</v>
      </c>
    </row>
    <row r="1016" spans="3:3" x14ac:dyDescent="0.25">
      <c r="C1016" s="26">
        <v>1014</v>
      </c>
    </row>
    <row r="1017" spans="3:3" x14ac:dyDescent="0.25">
      <c r="C1017" s="26">
        <v>1015</v>
      </c>
    </row>
    <row r="1018" spans="3:3" x14ac:dyDescent="0.25">
      <c r="C1018" s="26">
        <v>1016</v>
      </c>
    </row>
    <row r="1019" spans="3:3" x14ac:dyDescent="0.25">
      <c r="C1019" s="26">
        <v>1017</v>
      </c>
    </row>
    <row r="1020" spans="3:3" x14ac:dyDescent="0.25">
      <c r="C1020" s="26">
        <v>1018</v>
      </c>
    </row>
    <row r="1021" spans="3:3" x14ac:dyDescent="0.25">
      <c r="C1021" s="26">
        <v>1019</v>
      </c>
    </row>
    <row r="1022" spans="3:3" x14ac:dyDescent="0.25">
      <c r="C1022" s="26">
        <v>1020</v>
      </c>
    </row>
    <row r="1023" spans="3:3" x14ac:dyDescent="0.25">
      <c r="C1023" s="26">
        <v>1021</v>
      </c>
    </row>
    <row r="1024" spans="3:3" x14ac:dyDescent="0.25">
      <c r="C1024" s="26">
        <v>1022</v>
      </c>
    </row>
    <row r="1025" spans="3:3" x14ac:dyDescent="0.25">
      <c r="C1025" s="26">
        <v>1023</v>
      </c>
    </row>
    <row r="1026" spans="3:3" x14ac:dyDescent="0.25">
      <c r="C1026" s="26">
        <v>1024</v>
      </c>
    </row>
    <row r="1027" spans="3:3" x14ac:dyDescent="0.25">
      <c r="C1027" s="26">
        <v>1025</v>
      </c>
    </row>
    <row r="1028" spans="3:3" x14ac:dyDescent="0.25">
      <c r="C1028" s="26">
        <v>1026</v>
      </c>
    </row>
    <row r="1029" spans="3:3" x14ac:dyDescent="0.25">
      <c r="C1029" s="26">
        <v>1027</v>
      </c>
    </row>
    <row r="1030" spans="3:3" x14ac:dyDescent="0.25">
      <c r="C1030" s="26">
        <v>1028</v>
      </c>
    </row>
    <row r="1031" spans="3:3" x14ac:dyDescent="0.25">
      <c r="C1031" s="26">
        <v>1029</v>
      </c>
    </row>
    <row r="1032" spans="3:3" x14ac:dyDescent="0.25">
      <c r="C1032" s="26">
        <v>1030</v>
      </c>
    </row>
    <row r="1033" spans="3:3" x14ac:dyDescent="0.25">
      <c r="C1033" s="26">
        <v>1031</v>
      </c>
    </row>
    <row r="1034" spans="3:3" x14ac:dyDescent="0.25">
      <c r="C1034" s="26">
        <v>1032</v>
      </c>
    </row>
    <row r="1035" spans="3:3" x14ac:dyDescent="0.25">
      <c r="C1035" s="26">
        <v>1033</v>
      </c>
    </row>
    <row r="1036" spans="3:3" x14ac:dyDescent="0.25">
      <c r="C1036" s="26">
        <v>1034</v>
      </c>
    </row>
    <row r="1037" spans="3:3" x14ac:dyDescent="0.25">
      <c r="C1037" s="26">
        <v>1035</v>
      </c>
    </row>
    <row r="1038" spans="3:3" x14ac:dyDescent="0.25">
      <c r="C1038" s="26">
        <v>1036</v>
      </c>
    </row>
    <row r="1039" spans="3:3" x14ac:dyDescent="0.25">
      <c r="C1039" s="26">
        <v>1037</v>
      </c>
    </row>
    <row r="1040" spans="3:3" x14ac:dyDescent="0.25">
      <c r="C1040" s="26">
        <v>1038</v>
      </c>
    </row>
    <row r="1041" spans="3:3" x14ac:dyDescent="0.25">
      <c r="C1041" s="26">
        <v>1039</v>
      </c>
    </row>
    <row r="1042" spans="3:3" x14ac:dyDescent="0.25">
      <c r="C1042" s="26">
        <v>1040</v>
      </c>
    </row>
    <row r="1043" spans="3:3" x14ac:dyDescent="0.25">
      <c r="C1043" s="26">
        <v>1041</v>
      </c>
    </row>
    <row r="1044" spans="3:3" x14ac:dyDescent="0.25">
      <c r="C1044" s="26">
        <v>1042</v>
      </c>
    </row>
    <row r="1045" spans="3:3" x14ac:dyDescent="0.25">
      <c r="C1045" s="26">
        <v>1043</v>
      </c>
    </row>
    <row r="1046" spans="3:3" x14ac:dyDescent="0.25">
      <c r="C1046" s="26">
        <v>1044</v>
      </c>
    </row>
    <row r="1047" spans="3:3" x14ac:dyDescent="0.25">
      <c r="C1047" s="26">
        <v>1045</v>
      </c>
    </row>
    <row r="1048" spans="3:3" x14ac:dyDescent="0.25">
      <c r="C1048" s="26">
        <v>1046</v>
      </c>
    </row>
    <row r="1049" spans="3:3" x14ac:dyDescent="0.25">
      <c r="C1049" s="26">
        <v>1047</v>
      </c>
    </row>
    <row r="1050" spans="3:3" x14ac:dyDescent="0.25">
      <c r="C1050" s="26">
        <v>1048</v>
      </c>
    </row>
    <row r="1051" spans="3:3" x14ac:dyDescent="0.25">
      <c r="C1051" s="26">
        <v>1049</v>
      </c>
    </row>
    <row r="1052" spans="3:3" x14ac:dyDescent="0.25">
      <c r="C1052" s="26">
        <v>1050</v>
      </c>
    </row>
    <row r="1053" spans="3:3" x14ac:dyDescent="0.25">
      <c r="C1053" s="26">
        <v>1051</v>
      </c>
    </row>
    <row r="1054" spans="3:3" x14ac:dyDescent="0.25">
      <c r="C1054" s="26">
        <v>1052</v>
      </c>
    </row>
    <row r="1055" spans="3:3" x14ac:dyDescent="0.25">
      <c r="C1055" s="26">
        <v>1053</v>
      </c>
    </row>
    <row r="1056" spans="3:3" x14ac:dyDescent="0.25">
      <c r="C1056" s="26">
        <v>1054</v>
      </c>
    </row>
    <row r="1057" spans="3:3" x14ac:dyDescent="0.25">
      <c r="C1057" s="26">
        <v>1055</v>
      </c>
    </row>
    <row r="1058" spans="3:3" x14ac:dyDescent="0.25">
      <c r="C1058" s="26">
        <v>1056</v>
      </c>
    </row>
    <row r="1059" spans="3:3" x14ac:dyDescent="0.25">
      <c r="C1059" s="26">
        <v>1057</v>
      </c>
    </row>
    <row r="1060" spans="3:3" x14ac:dyDescent="0.25">
      <c r="C1060" s="26">
        <v>1058</v>
      </c>
    </row>
    <row r="1061" spans="3:3" x14ac:dyDescent="0.25">
      <c r="C1061" s="26">
        <v>1059</v>
      </c>
    </row>
    <row r="1062" spans="3:3" x14ac:dyDescent="0.25">
      <c r="C1062" s="26">
        <v>1060</v>
      </c>
    </row>
    <row r="1063" spans="3:3" x14ac:dyDescent="0.25">
      <c r="C1063" s="26">
        <v>1061</v>
      </c>
    </row>
    <row r="1064" spans="3:3" x14ac:dyDescent="0.25">
      <c r="C1064" s="26">
        <v>1062</v>
      </c>
    </row>
    <row r="1065" spans="3:3" x14ac:dyDescent="0.25">
      <c r="C1065" s="26">
        <v>1063</v>
      </c>
    </row>
    <row r="1066" spans="3:3" x14ac:dyDescent="0.25">
      <c r="C1066" s="26">
        <v>1064</v>
      </c>
    </row>
    <row r="1067" spans="3:3" x14ac:dyDescent="0.25">
      <c r="C1067" s="26">
        <v>1065</v>
      </c>
    </row>
    <row r="1068" spans="3:3" x14ac:dyDescent="0.25">
      <c r="C1068" s="26">
        <v>1066</v>
      </c>
    </row>
    <row r="1069" spans="3:3" x14ac:dyDescent="0.25">
      <c r="C1069" s="26">
        <v>1067</v>
      </c>
    </row>
    <row r="1070" spans="3:3" x14ac:dyDescent="0.25">
      <c r="C1070" s="26">
        <v>1068</v>
      </c>
    </row>
    <row r="1071" spans="3:3" x14ac:dyDescent="0.25">
      <c r="C1071" s="26">
        <v>1069</v>
      </c>
    </row>
    <row r="1072" spans="3:3" x14ac:dyDescent="0.25">
      <c r="C1072" s="26">
        <v>1070</v>
      </c>
    </row>
    <row r="1073" spans="3:3" x14ac:dyDescent="0.25">
      <c r="C1073" s="26">
        <v>1071</v>
      </c>
    </row>
    <row r="1074" spans="3:3" x14ac:dyDescent="0.25">
      <c r="C1074" s="26">
        <v>1072</v>
      </c>
    </row>
    <row r="1075" spans="3:3" x14ac:dyDescent="0.25">
      <c r="C1075" s="26">
        <v>1073</v>
      </c>
    </row>
    <row r="1076" spans="3:3" x14ac:dyDescent="0.25">
      <c r="C1076" s="26">
        <v>1074</v>
      </c>
    </row>
    <row r="1077" spans="3:3" x14ac:dyDescent="0.25">
      <c r="C1077" s="26">
        <v>1075</v>
      </c>
    </row>
    <row r="1078" spans="3:3" x14ac:dyDescent="0.25">
      <c r="C1078" s="26">
        <v>1076</v>
      </c>
    </row>
    <row r="1079" spans="3:3" x14ac:dyDescent="0.25">
      <c r="C1079" s="26">
        <v>1077</v>
      </c>
    </row>
    <row r="1080" spans="3:3" x14ac:dyDescent="0.25">
      <c r="C1080" s="26">
        <v>1078</v>
      </c>
    </row>
    <row r="1081" spans="3:3" x14ac:dyDescent="0.25">
      <c r="C1081" s="26">
        <v>1079</v>
      </c>
    </row>
    <row r="1082" spans="3:3" x14ac:dyDescent="0.25">
      <c r="C1082" s="26">
        <v>1080</v>
      </c>
    </row>
    <row r="1083" spans="3:3" x14ac:dyDescent="0.25">
      <c r="C1083" s="26">
        <v>1081</v>
      </c>
    </row>
    <row r="1084" spans="3:3" x14ac:dyDescent="0.25">
      <c r="C1084" s="26">
        <v>1082</v>
      </c>
    </row>
    <row r="1085" spans="3:3" x14ac:dyDescent="0.25">
      <c r="C1085" s="26">
        <v>1083</v>
      </c>
    </row>
    <row r="1086" spans="3:3" x14ac:dyDescent="0.25">
      <c r="C1086" s="26">
        <v>1084</v>
      </c>
    </row>
    <row r="1087" spans="3:3" x14ac:dyDescent="0.25">
      <c r="C1087" s="26">
        <v>1085</v>
      </c>
    </row>
    <row r="1088" spans="3:3" x14ac:dyDescent="0.25">
      <c r="C1088" s="26">
        <v>1086</v>
      </c>
    </row>
    <row r="1089" spans="3:3" x14ac:dyDescent="0.25">
      <c r="C1089" s="26">
        <v>1087</v>
      </c>
    </row>
    <row r="1090" spans="3:3" x14ac:dyDescent="0.25">
      <c r="C1090" s="26">
        <v>1088</v>
      </c>
    </row>
    <row r="1091" spans="3:3" x14ac:dyDescent="0.25">
      <c r="C1091" s="26">
        <v>1089</v>
      </c>
    </row>
    <row r="1092" spans="3:3" x14ac:dyDescent="0.25">
      <c r="C1092" s="26">
        <v>1090</v>
      </c>
    </row>
    <row r="1093" spans="3:3" x14ac:dyDescent="0.25">
      <c r="C1093" s="26">
        <v>1091</v>
      </c>
    </row>
    <row r="1094" spans="3:3" x14ac:dyDescent="0.25">
      <c r="C1094" s="26">
        <v>1092</v>
      </c>
    </row>
    <row r="1095" spans="3:3" x14ac:dyDescent="0.25">
      <c r="C1095" s="26">
        <v>1093</v>
      </c>
    </row>
    <row r="1096" spans="3:3" x14ac:dyDescent="0.25">
      <c r="C1096" s="26">
        <v>1094</v>
      </c>
    </row>
    <row r="1097" spans="3:3" x14ac:dyDescent="0.25">
      <c r="C1097" s="26">
        <v>1095</v>
      </c>
    </row>
    <row r="1098" spans="3:3" x14ac:dyDescent="0.25">
      <c r="C1098" s="26">
        <v>1096</v>
      </c>
    </row>
    <row r="1099" spans="3:3" x14ac:dyDescent="0.25">
      <c r="C1099" s="26">
        <v>1097</v>
      </c>
    </row>
    <row r="1100" spans="3:3" x14ac:dyDescent="0.25">
      <c r="C1100" s="26">
        <v>1098</v>
      </c>
    </row>
    <row r="1101" spans="3:3" x14ac:dyDescent="0.25">
      <c r="C1101" s="26">
        <v>1099</v>
      </c>
    </row>
    <row r="1102" spans="3:3" x14ac:dyDescent="0.25">
      <c r="C1102" s="26">
        <v>1100</v>
      </c>
    </row>
    <row r="1103" spans="3:3" x14ac:dyDescent="0.25">
      <c r="C1103" s="26">
        <v>1101</v>
      </c>
    </row>
    <row r="1104" spans="3:3" x14ac:dyDescent="0.25">
      <c r="C1104" s="26">
        <v>1102</v>
      </c>
    </row>
    <row r="1105" spans="3:3" x14ac:dyDescent="0.25">
      <c r="C1105" s="26">
        <v>1103</v>
      </c>
    </row>
    <row r="1106" spans="3:3" x14ac:dyDescent="0.25">
      <c r="C1106" s="26">
        <v>1104</v>
      </c>
    </row>
    <row r="1107" spans="3:3" x14ac:dyDescent="0.25">
      <c r="C1107" s="26">
        <v>1105</v>
      </c>
    </row>
    <row r="1108" spans="3:3" x14ac:dyDescent="0.25">
      <c r="C1108" s="26">
        <v>1106</v>
      </c>
    </row>
    <row r="1109" spans="3:3" x14ac:dyDescent="0.25">
      <c r="C1109" s="26">
        <v>1107</v>
      </c>
    </row>
    <row r="1110" spans="3:3" x14ac:dyDescent="0.25">
      <c r="C1110" s="26">
        <v>1108</v>
      </c>
    </row>
    <row r="1111" spans="3:3" x14ac:dyDescent="0.25">
      <c r="C1111" s="26">
        <v>1109</v>
      </c>
    </row>
    <row r="1112" spans="3:3" x14ac:dyDescent="0.25">
      <c r="C1112" s="26">
        <v>1110</v>
      </c>
    </row>
    <row r="1113" spans="3:3" x14ac:dyDescent="0.25">
      <c r="C1113" s="26">
        <v>1111</v>
      </c>
    </row>
    <row r="1114" spans="3:3" x14ac:dyDescent="0.25">
      <c r="C1114" s="26">
        <v>1112</v>
      </c>
    </row>
    <row r="1115" spans="3:3" x14ac:dyDescent="0.25">
      <c r="C1115" s="26">
        <v>1113</v>
      </c>
    </row>
    <row r="1116" spans="3:3" x14ac:dyDescent="0.25">
      <c r="C1116" s="26">
        <v>1114</v>
      </c>
    </row>
    <row r="1117" spans="3:3" x14ac:dyDescent="0.25">
      <c r="C1117" s="26">
        <v>1115</v>
      </c>
    </row>
    <row r="1118" spans="3:3" x14ac:dyDescent="0.25">
      <c r="C1118" s="26">
        <v>1116</v>
      </c>
    </row>
    <row r="1119" spans="3:3" x14ac:dyDescent="0.25">
      <c r="C1119" s="26">
        <v>1117</v>
      </c>
    </row>
    <row r="1120" spans="3:3" x14ac:dyDescent="0.25">
      <c r="C1120" s="26">
        <v>1118</v>
      </c>
    </row>
    <row r="1121" spans="3:3" x14ac:dyDescent="0.25">
      <c r="C1121" s="26">
        <v>1119</v>
      </c>
    </row>
    <row r="1122" spans="3:3" x14ac:dyDescent="0.25">
      <c r="C1122" s="26">
        <v>1120</v>
      </c>
    </row>
    <row r="1123" spans="3:3" x14ac:dyDescent="0.25">
      <c r="C1123" s="26">
        <v>1121</v>
      </c>
    </row>
    <row r="1124" spans="3:3" x14ac:dyDescent="0.25">
      <c r="C1124" s="26">
        <v>1122</v>
      </c>
    </row>
    <row r="1125" spans="3:3" x14ac:dyDescent="0.25">
      <c r="C1125" s="26">
        <v>1123</v>
      </c>
    </row>
    <row r="1126" spans="3:3" x14ac:dyDescent="0.25">
      <c r="C1126" s="26">
        <v>1124</v>
      </c>
    </row>
    <row r="1127" spans="3:3" x14ac:dyDescent="0.25">
      <c r="C1127" s="26">
        <v>1125</v>
      </c>
    </row>
    <row r="1128" spans="3:3" x14ac:dyDescent="0.25">
      <c r="C1128" s="26">
        <v>1126</v>
      </c>
    </row>
    <row r="1129" spans="3:3" x14ac:dyDescent="0.25">
      <c r="C1129" s="26">
        <v>1127</v>
      </c>
    </row>
    <row r="1130" spans="3:3" x14ac:dyDescent="0.25">
      <c r="C1130" s="26">
        <v>1128</v>
      </c>
    </row>
    <row r="1131" spans="3:3" x14ac:dyDescent="0.25">
      <c r="C1131" s="26">
        <v>1129</v>
      </c>
    </row>
    <row r="1132" spans="3:3" x14ac:dyDescent="0.25">
      <c r="C1132" s="26">
        <v>1130</v>
      </c>
    </row>
    <row r="1133" spans="3:3" x14ac:dyDescent="0.25">
      <c r="C1133" s="26">
        <v>1131</v>
      </c>
    </row>
    <row r="1134" spans="3:3" x14ac:dyDescent="0.25">
      <c r="C1134" s="26">
        <v>1132</v>
      </c>
    </row>
    <row r="1135" spans="3:3" x14ac:dyDescent="0.25">
      <c r="C1135" s="26">
        <v>1133</v>
      </c>
    </row>
    <row r="1136" spans="3:3" x14ac:dyDescent="0.25">
      <c r="C1136" s="26">
        <v>1134</v>
      </c>
    </row>
    <row r="1137" spans="3:3" x14ac:dyDescent="0.25">
      <c r="C1137" s="26">
        <v>1135</v>
      </c>
    </row>
    <row r="1138" spans="3:3" x14ac:dyDescent="0.25">
      <c r="C1138" s="26">
        <v>1136</v>
      </c>
    </row>
    <row r="1139" spans="3:3" x14ac:dyDescent="0.25">
      <c r="C1139" s="26">
        <v>1137</v>
      </c>
    </row>
    <row r="1140" spans="3:3" x14ac:dyDescent="0.25">
      <c r="C1140" s="26">
        <v>1138</v>
      </c>
    </row>
    <row r="1141" spans="3:3" x14ac:dyDescent="0.25">
      <c r="C1141" s="26">
        <v>1139</v>
      </c>
    </row>
    <row r="1142" spans="3:3" x14ac:dyDescent="0.25">
      <c r="C1142" s="26">
        <v>1140</v>
      </c>
    </row>
    <row r="1143" spans="3:3" x14ac:dyDescent="0.25">
      <c r="C1143" s="26">
        <v>1141</v>
      </c>
    </row>
    <row r="1144" spans="3:3" x14ac:dyDescent="0.25">
      <c r="C1144" s="26">
        <v>1142</v>
      </c>
    </row>
    <row r="1145" spans="3:3" x14ac:dyDescent="0.25">
      <c r="C1145" s="26">
        <v>1143</v>
      </c>
    </row>
    <row r="1146" spans="3:3" x14ac:dyDescent="0.25">
      <c r="C1146" s="26">
        <v>1144</v>
      </c>
    </row>
    <row r="1147" spans="3:3" x14ac:dyDescent="0.25">
      <c r="C1147" s="26">
        <v>1145</v>
      </c>
    </row>
    <row r="1148" spans="3:3" x14ac:dyDescent="0.25">
      <c r="C1148" s="26">
        <v>1146</v>
      </c>
    </row>
    <row r="1149" spans="3:3" x14ac:dyDescent="0.25">
      <c r="C1149" s="26">
        <v>1147</v>
      </c>
    </row>
    <row r="1150" spans="3:3" x14ac:dyDescent="0.25">
      <c r="C1150" s="26">
        <v>1148</v>
      </c>
    </row>
    <row r="1151" spans="3:3" x14ac:dyDescent="0.25">
      <c r="C1151" s="26">
        <v>1149</v>
      </c>
    </row>
    <row r="1152" spans="3:3" x14ac:dyDescent="0.25">
      <c r="C1152" s="26">
        <v>1150</v>
      </c>
    </row>
    <row r="1153" spans="3:3" x14ac:dyDescent="0.25">
      <c r="C1153" s="26">
        <v>1151</v>
      </c>
    </row>
    <row r="1154" spans="3:3" x14ac:dyDescent="0.25">
      <c r="C1154" s="26">
        <v>1152</v>
      </c>
    </row>
    <row r="1155" spans="3:3" x14ac:dyDescent="0.25">
      <c r="C1155" s="26">
        <v>1153</v>
      </c>
    </row>
    <row r="1156" spans="3:3" x14ac:dyDescent="0.25">
      <c r="C1156" s="26">
        <v>1154</v>
      </c>
    </row>
    <row r="1157" spans="3:3" x14ac:dyDescent="0.25">
      <c r="C1157" s="26">
        <v>1155</v>
      </c>
    </row>
    <row r="1158" spans="3:3" x14ac:dyDescent="0.25">
      <c r="C1158" s="26">
        <v>1156</v>
      </c>
    </row>
    <row r="1159" spans="3:3" x14ac:dyDescent="0.25">
      <c r="C1159" s="26">
        <v>1157</v>
      </c>
    </row>
    <row r="1160" spans="3:3" x14ac:dyDescent="0.25">
      <c r="C1160" s="26">
        <v>1158</v>
      </c>
    </row>
    <row r="1161" spans="3:3" x14ac:dyDescent="0.25">
      <c r="C1161" s="26">
        <v>1159</v>
      </c>
    </row>
    <row r="1162" spans="3:3" x14ac:dyDescent="0.25">
      <c r="C1162" s="26">
        <v>1160</v>
      </c>
    </row>
    <row r="1163" spans="3:3" x14ac:dyDescent="0.25">
      <c r="C1163" s="26">
        <v>1161</v>
      </c>
    </row>
    <row r="1164" spans="3:3" x14ac:dyDescent="0.25">
      <c r="C1164" s="26">
        <v>1162</v>
      </c>
    </row>
    <row r="1165" spans="3:3" x14ac:dyDescent="0.25">
      <c r="C1165" s="26">
        <v>1163</v>
      </c>
    </row>
    <row r="1166" spans="3:3" x14ac:dyDescent="0.25">
      <c r="C1166" s="26">
        <v>1164</v>
      </c>
    </row>
    <row r="1167" spans="3:3" x14ac:dyDescent="0.25">
      <c r="C1167" s="26">
        <v>1165</v>
      </c>
    </row>
    <row r="1168" spans="3:3" x14ac:dyDescent="0.25">
      <c r="C1168" s="26">
        <v>1166</v>
      </c>
    </row>
    <row r="1169" spans="3:3" x14ac:dyDescent="0.25">
      <c r="C1169" s="26">
        <v>1167</v>
      </c>
    </row>
    <row r="1170" spans="3:3" x14ac:dyDescent="0.25">
      <c r="C1170" s="26">
        <v>1168</v>
      </c>
    </row>
    <row r="1171" spans="3:3" x14ac:dyDescent="0.25">
      <c r="C1171" s="26">
        <v>1169</v>
      </c>
    </row>
    <row r="1172" spans="3:3" x14ac:dyDescent="0.25">
      <c r="C1172" s="26">
        <v>1170</v>
      </c>
    </row>
    <row r="1173" spans="3:3" x14ac:dyDescent="0.25">
      <c r="C1173" s="26">
        <v>1171</v>
      </c>
    </row>
    <row r="1174" spans="3:3" x14ac:dyDescent="0.25">
      <c r="C1174" s="26">
        <v>1172</v>
      </c>
    </row>
    <row r="1175" spans="3:3" x14ac:dyDescent="0.25">
      <c r="C1175" s="26">
        <v>1173</v>
      </c>
    </row>
    <row r="1176" spans="3:3" x14ac:dyDescent="0.25">
      <c r="C1176" s="26">
        <v>1174</v>
      </c>
    </row>
    <row r="1177" spans="3:3" x14ac:dyDescent="0.25">
      <c r="C1177" s="26">
        <v>1175</v>
      </c>
    </row>
    <row r="1178" spans="3:3" x14ac:dyDescent="0.25">
      <c r="C1178" s="26">
        <v>1176</v>
      </c>
    </row>
    <row r="1179" spans="3:3" x14ac:dyDescent="0.25">
      <c r="C1179" s="26">
        <v>1177</v>
      </c>
    </row>
    <row r="1180" spans="3:3" x14ac:dyDescent="0.25">
      <c r="C1180" s="26">
        <v>1178</v>
      </c>
    </row>
    <row r="1181" spans="3:3" x14ac:dyDescent="0.25">
      <c r="C1181" s="26">
        <v>1179</v>
      </c>
    </row>
    <row r="1182" spans="3:3" x14ac:dyDescent="0.25">
      <c r="C1182" s="26">
        <v>1180</v>
      </c>
    </row>
    <row r="1183" spans="3:3" x14ac:dyDescent="0.25">
      <c r="C1183" s="26">
        <v>1181</v>
      </c>
    </row>
    <row r="1184" spans="3:3" x14ac:dyDescent="0.25">
      <c r="C1184" s="26">
        <v>1182</v>
      </c>
    </row>
    <row r="1185" spans="3:3" x14ac:dyDescent="0.25">
      <c r="C1185" s="26">
        <v>1183</v>
      </c>
    </row>
    <row r="1186" spans="3:3" x14ac:dyDescent="0.25">
      <c r="C1186" s="26">
        <v>1184</v>
      </c>
    </row>
    <row r="1187" spans="3:3" x14ac:dyDescent="0.25">
      <c r="C1187" s="26">
        <v>1185</v>
      </c>
    </row>
    <row r="1188" spans="3:3" x14ac:dyDescent="0.25">
      <c r="C1188" s="26">
        <v>1186</v>
      </c>
    </row>
    <row r="1189" spans="3:3" x14ac:dyDescent="0.25">
      <c r="C1189" s="26">
        <v>1187</v>
      </c>
    </row>
    <row r="1190" spans="3:3" x14ac:dyDescent="0.25">
      <c r="C1190" s="26">
        <v>1188</v>
      </c>
    </row>
    <row r="1191" spans="3:3" x14ac:dyDescent="0.25">
      <c r="C1191" s="26">
        <v>1189</v>
      </c>
    </row>
    <row r="1192" spans="3:3" x14ac:dyDescent="0.25">
      <c r="C1192" s="26">
        <v>1190</v>
      </c>
    </row>
    <row r="1193" spans="3:3" x14ac:dyDescent="0.25">
      <c r="C1193" s="26">
        <v>1191</v>
      </c>
    </row>
    <row r="1194" spans="3:3" x14ac:dyDescent="0.25">
      <c r="C1194" s="26">
        <v>1192</v>
      </c>
    </row>
    <row r="1195" spans="3:3" x14ac:dyDescent="0.25">
      <c r="C1195" s="26">
        <v>1193</v>
      </c>
    </row>
    <row r="1196" spans="3:3" x14ac:dyDescent="0.25">
      <c r="C1196" s="26">
        <v>1194</v>
      </c>
    </row>
    <row r="1197" spans="3:3" x14ac:dyDescent="0.25">
      <c r="C1197" s="26">
        <v>1195</v>
      </c>
    </row>
    <row r="1198" spans="3:3" x14ac:dyDescent="0.25">
      <c r="C1198" s="26">
        <v>1196</v>
      </c>
    </row>
    <row r="1199" spans="3:3" x14ac:dyDescent="0.25">
      <c r="C1199" s="26">
        <v>1197</v>
      </c>
    </row>
    <row r="1200" spans="3:3" x14ac:dyDescent="0.25">
      <c r="C1200" s="26">
        <v>1198</v>
      </c>
    </row>
    <row r="1201" spans="3:3" x14ac:dyDescent="0.25">
      <c r="C1201" s="26">
        <v>1199</v>
      </c>
    </row>
    <row r="1202" spans="3:3" x14ac:dyDescent="0.25">
      <c r="C1202" s="26">
        <v>1200</v>
      </c>
    </row>
    <row r="1203" spans="3:3" x14ac:dyDescent="0.25">
      <c r="C1203" s="26">
        <v>1201</v>
      </c>
    </row>
    <row r="1204" spans="3:3" x14ac:dyDescent="0.25">
      <c r="C1204" s="26">
        <v>1202</v>
      </c>
    </row>
    <row r="1205" spans="3:3" x14ac:dyDescent="0.25">
      <c r="C1205" s="26">
        <v>1203</v>
      </c>
    </row>
    <row r="1206" spans="3:3" x14ac:dyDescent="0.25">
      <c r="C1206" s="26">
        <v>1204</v>
      </c>
    </row>
    <row r="1207" spans="3:3" x14ac:dyDescent="0.25">
      <c r="C1207" s="26">
        <v>1205</v>
      </c>
    </row>
    <row r="1208" spans="3:3" x14ac:dyDescent="0.25">
      <c r="C1208" s="26">
        <v>1206</v>
      </c>
    </row>
    <row r="1209" spans="3:3" x14ac:dyDescent="0.25">
      <c r="C1209" s="26">
        <v>1207</v>
      </c>
    </row>
    <row r="1210" spans="3:3" x14ac:dyDescent="0.25">
      <c r="C1210" s="26">
        <v>1208</v>
      </c>
    </row>
    <row r="1211" spans="3:3" x14ac:dyDescent="0.25">
      <c r="C1211" s="26">
        <v>1209</v>
      </c>
    </row>
    <row r="1212" spans="3:3" x14ac:dyDescent="0.25">
      <c r="C1212" s="26">
        <v>1210</v>
      </c>
    </row>
    <row r="1213" spans="3:3" x14ac:dyDescent="0.25">
      <c r="C1213" s="26">
        <v>1211</v>
      </c>
    </row>
    <row r="1214" spans="3:3" x14ac:dyDescent="0.25">
      <c r="C1214" s="26">
        <v>1212</v>
      </c>
    </row>
    <row r="1215" spans="3:3" x14ac:dyDescent="0.25">
      <c r="C1215" s="26">
        <v>1213</v>
      </c>
    </row>
    <row r="1216" spans="3:3" x14ac:dyDescent="0.25">
      <c r="C1216" s="26">
        <v>1214</v>
      </c>
    </row>
    <row r="1217" spans="3:3" x14ac:dyDescent="0.25">
      <c r="C1217" s="26">
        <v>1215</v>
      </c>
    </row>
    <row r="1218" spans="3:3" x14ac:dyDescent="0.25">
      <c r="C1218" s="26">
        <v>1216</v>
      </c>
    </row>
    <row r="1219" spans="3:3" x14ac:dyDescent="0.25">
      <c r="C1219" s="26">
        <v>1217</v>
      </c>
    </row>
    <row r="1220" spans="3:3" x14ac:dyDescent="0.25">
      <c r="C1220" s="26">
        <v>1218</v>
      </c>
    </row>
    <row r="1221" spans="3:3" x14ac:dyDescent="0.25">
      <c r="C1221" s="26">
        <v>1219</v>
      </c>
    </row>
    <row r="1222" spans="3:3" x14ac:dyDescent="0.25">
      <c r="C1222" s="26">
        <v>1220</v>
      </c>
    </row>
    <row r="1223" spans="3:3" x14ac:dyDescent="0.25">
      <c r="C1223" s="26">
        <v>1221</v>
      </c>
    </row>
    <row r="1224" spans="3:3" x14ac:dyDescent="0.25">
      <c r="C1224" s="26">
        <v>1222</v>
      </c>
    </row>
    <row r="1225" spans="3:3" x14ac:dyDescent="0.25">
      <c r="C1225" s="26">
        <v>1223</v>
      </c>
    </row>
    <row r="1226" spans="3:3" x14ac:dyDescent="0.25">
      <c r="C1226" s="26">
        <v>1224</v>
      </c>
    </row>
    <row r="1227" spans="3:3" x14ac:dyDescent="0.25">
      <c r="C1227" s="26">
        <v>1225</v>
      </c>
    </row>
    <row r="1228" spans="3:3" x14ac:dyDescent="0.25">
      <c r="C1228" s="26">
        <v>1226</v>
      </c>
    </row>
    <row r="1229" spans="3:3" x14ac:dyDescent="0.25">
      <c r="C1229" s="26">
        <v>1227</v>
      </c>
    </row>
    <row r="1230" spans="3:3" x14ac:dyDescent="0.25">
      <c r="C1230" s="26">
        <v>1228</v>
      </c>
    </row>
    <row r="1231" spans="3:3" x14ac:dyDescent="0.25">
      <c r="C1231" s="26">
        <v>1229</v>
      </c>
    </row>
    <row r="1232" spans="3:3" x14ac:dyDescent="0.25">
      <c r="C1232" s="26">
        <v>1230</v>
      </c>
    </row>
    <row r="1233" spans="3:3" x14ac:dyDescent="0.25">
      <c r="C1233" s="26">
        <v>1231</v>
      </c>
    </row>
    <row r="1234" spans="3:3" x14ac:dyDescent="0.25">
      <c r="C1234" s="26">
        <v>1232</v>
      </c>
    </row>
    <row r="1235" spans="3:3" x14ac:dyDescent="0.25">
      <c r="C1235" s="26">
        <v>1233</v>
      </c>
    </row>
    <row r="1236" spans="3:3" x14ac:dyDescent="0.25">
      <c r="C1236" s="26">
        <v>1234</v>
      </c>
    </row>
    <row r="1237" spans="3:3" x14ac:dyDescent="0.25">
      <c r="C1237" s="26">
        <v>1235</v>
      </c>
    </row>
    <row r="1238" spans="3:3" x14ac:dyDescent="0.25">
      <c r="C1238" s="26">
        <v>1236</v>
      </c>
    </row>
    <row r="1239" spans="3:3" x14ac:dyDescent="0.25">
      <c r="C1239" s="26">
        <v>1237</v>
      </c>
    </row>
    <row r="1240" spans="3:3" x14ac:dyDescent="0.25">
      <c r="C1240" s="26">
        <v>1238</v>
      </c>
    </row>
    <row r="1241" spans="3:3" x14ac:dyDescent="0.25">
      <c r="C1241" s="26">
        <v>1239</v>
      </c>
    </row>
    <row r="1242" spans="3:3" x14ac:dyDescent="0.25">
      <c r="C1242" s="26">
        <v>1240</v>
      </c>
    </row>
    <row r="1243" spans="3:3" x14ac:dyDescent="0.25">
      <c r="C1243" s="26">
        <v>1241</v>
      </c>
    </row>
    <row r="1244" spans="3:3" x14ac:dyDescent="0.25">
      <c r="C1244" s="26">
        <v>1242</v>
      </c>
    </row>
    <row r="1245" spans="3:3" x14ac:dyDescent="0.25">
      <c r="C1245" s="26">
        <v>1243</v>
      </c>
    </row>
    <row r="1246" spans="3:3" x14ac:dyDescent="0.25">
      <c r="C1246" s="26">
        <v>1244</v>
      </c>
    </row>
    <row r="1247" spans="3:3" x14ac:dyDescent="0.25">
      <c r="C1247" s="26">
        <v>1245</v>
      </c>
    </row>
    <row r="1248" spans="3:3" x14ac:dyDescent="0.25">
      <c r="C1248" s="26">
        <v>1246</v>
      </c>
    </row>
    <row r="1249" spans="3:3" x14ac:dyDescent="0.25">
      <c r="C1249" s="26">
        <v>1247</v>
      </c>
    </row>
    <row r="1250" spans="3:3" x14ac:dyDescent="0.25">
      <c r="C1250" s="26">
        <v>1248</v>
      </c>
    </row>
    <row r="1251" spans="3:3" x14ac:dyDescent="0.25">
      <c r="C1251" s="26">
        <v>1249</v>
      </c>
    </row>
    <row r="1252" spans="3:3" x14ac:dyDescent="0.25">
      <c r="C1252" s="26">
        <v>1250</v>
      </c>
    </row>
    <row r="1253" spans="3:3" x14ac:dyDescent="0.25">
      <c r="C1253" s="26">
        <v>1251</v>
      </c>
    </row>
    <row r="1254" spans="3:3" x14ac:dyDescent="0.25">
      <c r="C1254" s="26">
        <v>1252</v>
      </c>
    </row>
    <row r="1255" spans="3:3" x14ac:dyDescent="0.25">
      <c r="C1255" s="26">
        <v>1253</v>
      </c>
    </row>
    <row r="1256" spans="3:3" x14ac:dyDescent="0.25">
      <c r="C1256" s="26">
        <v>1254</v>
      </c>
    </row>
    <row r="1257" spans="3:3" x14ac:dyDescent="0.25">
      <c r="C1257" s="26">
        <v>1255</v>
      </c>
    </row>
    <row r="1258" spans="3:3" x14ac:dyDescent="0.25">
      <c r="C1258" s="26">
        <v>1256</v>
      </c>
    </row>
    <row r="1259" spans="3:3" x14ac:dyDescent="0.25">
      <c r="C1259" s="26">
        <v>1257</v>
      </c>
    </row>
    <row r="1260" spans="3:3" x14ac:dyDescent="0.25">
      <c r="C1260" s="26">
        <v>1258</v>
      </c>
    </row>
    <row r="1261" spans="3:3" x14ac:dyDescent="0.25">
      <c r="C1261" s="26">
        <v>1259</v>
      </c>
    </row>
    <row r="1262" spans="3:3" x14ac:dyDescent="0.25">
      <c r="C1262" s="26">
        <v>1260</v>
      </c>
    </row>
    <row r="1263" spans="3:3" x14ac:dyDescent="0.25">
      <c r="C1263" s="26">
        <v>1261</v>
      </c>
    </row>
    <row r="1264" spans="3:3" x14ac:dyDescent="0.25">
      <c r="C1264" s="26">
        <v>1262</v>
      </c>
    </row>
    <row r="1265" spans="3:3" x14ac:dyDescent="0.25">
      <c r="C1265" s="26">
        <v>1263</v>
      </c>
    </row>
    <row r="1266" spans="3:3" x14ac:dyDescent="0.25">
      <c r="C1266" s="26">
        <v>1264</v>
      </c>
    </row>
    <row r="1267" spans="3:3" x14ac:dyDescent="0.25">
      <c r="C1267" s="26">
        <v>1265</v>
      </c>
    </row>
    <row r="1268" spans="3:3" x14ac:dyDescent="0.25">
      <c r="C1268" s="26">
        <v>1266</v>
      </c>
    </row>
    <row r="1269" spans="3:3" x14ac:dyDescent="0.25">
      <c r="C1269" s="26">
        <v>1267</v>
      </c>
    </row>
    <row r="1270" spans="3:3" x14ac:dyDescent="0.25">
      <c r="C1270" s="26">
        <v>1268</v>
      </c>
    </row>
    <row r="1271" spans="3:3" x14ac:dyDescent="0.25">
      <c r="C1271" s="26">
        <v>1269</v>
      </c>
    </row>
    <row r="1272" spans="3:3" x14ac:dyDescent="0.25">
      <c r="C1272" s="26">
        <v>1270</v>
      </c>
    </row>
    <row r="1273" spans="3:3" x14ac:dyDescent="0.25">
      <c r="C1273" s="26">
        <v>1271</v>
      </c>
    </row>
    <row r="1274" spans="3:3" x14ac:dyDescent="0.25">
      <c r="C1274" s="26">
        <v>1272</v>
      </c>
    </row>
    <row r="1275" spans="3:3" x14ac:dyDescent="0.25">
      <c r="C1275" s="26">
        <v>1273</v>
      </c>
    </row>
    <row r="1276" spans="3:3" x14ac:dyDescent="0.25">
      <c r="C1276" s="26">
        <v>1274</v>
      </c>
    </row>
    <row r="1277" spans="3:3" x14ac:dyDescent="0.25">
      <c r="C1277" s="26">
        <v>1275</v>
      </c>
    </row>
    <row r="1278" spans="3:3" x14ac:dyDescent="0.25">
      <c r="C1278" s="26">
        <v>1276</v>
      </c>
    </row>
    <row r="1279" spans="3:3" x14ac:dyDescent="0.25">
      <c r="C1279" s="26">
        <v>1277</v>
      </c>
    </row>
    <row r="1280" spans="3:3" x14ac:dyDescent="0.25">
      <c r="C1280" s="26">
        <v>1278</v>
      </c>
    </row>
    <row r="1281" spans="3:3" x14ac:dyDescent="0.25">
      <c r="C1281" s="26">
        <v>1279</v>
      </c>
    </row>
    <row r="1282" spans="3:3" x14ac:dyDescent="0.25">
      <c r="C1282" s="26">
        <v>1280</v>
      </c>
    </row>
    <row r="1283" spans="3:3" x14ac:dyDescent="0.25">
      <c r="C1283" s="26">
        <v>1281</v>
      </c>
    </row>
    <row r="1284" spans="3:3" x14ac:dyDescent="0.25">
      <c r="C1284" s="26">
        <v>1282</v>
      </c>
    </row>
    <row r="1285" spans="3:3" x14ac:dyDescent="0.25">
      <c r="C1285" s="26">
        <v>1283</v>
      </c>
    </row>
    <row r="1286" spans="3:3" x14ac:dyDescent="0.25">
      <c r="C1286" s="26">
        <v>1284</v>
      </c>
    </row>
    <row r="1287" spans="3:3" x14ac:dyDescent="0.25">
      <c r="C1287" s="26">
        <v>1285</v>
      </c>
    </row>
    <row r="1288" spans="3:3" x14ac:dyDescent="0.25">
      <c r="C1288" s="26">
        <v>1286</v>
      </c>
    </row>
    <row r="1289" spans="3:3" x14ac:dyDescent="0.25">
      <c r="C1289" s="26">
        <v>1287</v>
      </c>
    </row>
    <row r="1290" spans="3:3" x14ac:dyDescent="0.25">
      <c r="C1290" s="26">
        <v>1288</v>
      </c>
    </row>
    <row r="1291" spans="3:3" x14ac:dyDescent="0.25">
      <c r="C1291" s="26">
        <v>1289</v>
      </c>
    </row>
    <row r="1292" spans="3:3" x14ac:dyDescent="0.25">
      <c r="C1292" s="26">
        <v>1290</v>
      </c>
    </row>
    <row r="1293" spans="3:3" x14ac:dyDescent="0.25">
      <c r="C1293" s="26">
        <v>1291</v>
      </c>
    </row>
    <row r="1294" spans="3:3" x14ac:dyDescent="0.25">
      <c r="C1294" s="26">
        <v>1292</v>
      </c>
    </row>
    <row r="1295" spans="3:3" x14ac:dyDescent="0.25">
      <c r="C1295" s="26">
        <v>1293</v>
      </c>
    </row>
    <row r="1296" spans="3:3" x14ac:dyDescent="0.25">
      <c r="C1296" s="26">
        <v>1294</v>
      </c>
    </row>
    <row r="1297" spans="3:3" x14ac:dyDescent="0.25">
      <c r="C1297" s="26">
        <v>1295</v>
      </c>
    </row>
    <row r="1298" spans="3:3" x14ac:dyDescent="0.25">
      <c r="C1298" s="26">
        <v>1296</v>
      </c>
    </row>
    <row r="1299" spans="3:3" x14ac:dyDescent="0.25">
      <c r="C1299" s="26">
        <v>1297</v>
      </c>
    </row>
    <row r="1300" spans="3:3" x14ac:dyDescent="0.25">
      <c r="C1300" s="26">
        <v>1298</v>
      </c>
    </row>
    <row r="1301" spans="3:3" x14ac:dyDescent="0.25">
      <c r="C1301" s="26">
        <v>1299</v>
      </c>
    </row>
    <row r="1302" spans="3:3" x14ac:dyDescent="0.25">
      <c r="C1302" s="26">
        <v>1300</v>
      </c>
    </row>
    <row r="1303" spans="3:3" x14ac:dyDescent="0.25">
      <c r="C1303" s="26">
        <v>1301</v>
      </c>
    </row>
    <row r="1304" spans="3:3" x14ac:dyDescent="0.25">
      <c r="C1304" s="26">
        <v>1302</v>
      </c>
    </row>
    <row r="1305" spans="3:3" x14ac:dyDescent="0.25">
      <c r="C1305" s="26">
        <v>1303</v>
      </c>
    </row>
    <row r="1306" spans="3:3" x14ac:dyDescent="0.25">
      <c r="C1306" s="26">
        <v>1304</v>
      </c>
    </row>
    <row r="1307" spans="3:3" x14ac:dyDescent="0.25">
      <c r="C1307" s="26">
        <v>1305</v>
      </c>
    </row>
    <row r="1308" spans="3:3" x14ac:dyDescent="0.25">
      <c r="C1308" s="26">
        <v>1306</v>
      </c>
    </row>
    <row r="1309" spans="3:3" x14ac:dyDescent="0.25">
      <c r="C1309" s="26">
        <v>1307</v>
      </c>
    </row>
    <row r="1310" spans="3:3" x14ac:dyDescent="0.25">
      <c r="C1310" s="26">
        <v>1308</v>
      </c>
    </row>
    <row r="1311" spans="3:3" x14ac:dyDescent="0.25">
      <c r="C1311" s="26">
        <v>1309</v>
      </c>
    </row>
    <row r="1312" spans="3:3" x14ac:dyDescent="0.25">
      <c r="C1312" s="26">
        <v>1310</v>
      </c>
    </row>
    <row r="1313" spans="3:3" x14ac:dyDescent="0.25">
      <c r="C1313" s="26">
        <v>1311</v>
      </c>
    </row>
    <row r="1314" spans="3:3" x14ac:dyDescent="0.25">
      <c r="C1314" s="26">
        <v>1312</v>
      </c>
    </row>
    <row r="1315" spans="3:3" x14ac:dyDescent="0.25">
      <c r="C1315" s="26">
        <v>1313</v>
      </c>
    </row>
    <row r="1316" spans="3:3" x14ac:dyDescent="0.25">
      <c r="C1316" s="26">
        <v>1314</v>
      </c>
    </row>
    <row r="1317" spans="3:3" x14ac:dyDescent="0.25">
      <c r="C1317" s="26">
        <v>1315</v>
      </c>
    </row>
    <row r="1318" spans="3:3" x14ac:dyDescent="0.25">
      <c r="C1318" s="26">
        <v>1316</v>
      </c>
    </row>
    <row r="1319" spans="3:3" x14ac:dyDescent="0.25">
      <c r="C1319" s="26">
        <v>1317</v>
      </c>
    </row>
    <row r="1320" spans="3:3" x14ac:dyDescent="0.25">
      <c r="C1320" s="26">
        <v>1318</v>
      </c>
    </row>
    <row r="1321" spans="3:3" x14ac:dyDescent="0.25">
      <c r="C1321" s="26">
        <v>1319</v>
      </c>
    </row>
    <row r="1322" spans="3:3" x14ac:dyDescent="0.25">
      <c r="C1322" s="26">
        <v>1320</v>
      </c>
    </row>
    <row r="1323" spans="3:3" x14ac:dyDescent="0.25">
      <c r="C1323" s="26">
        <v>1321</v>
      </c>
    </row>
    <row r="1324" spans="3:3" x14ac:dyDescent="0.25">
      <c r="C1324" s="26">
        <v>1322</v>
      </c>
    </row>
    <row r="1325" spans="3:3" x14ac:dyDescent="0.25">
      <c r="C1325" s="26">
        <v>1323</v>
      </c>
    </row>
    <row r="1326" spans="3:3" x14ac:dyDescent="0.25">
      <c r="C1326" s="26">
        <v>1324</v>
      </c>
    </row>
    <row r="1327" spans="3:3" x14ac:dyDescent="0.25">
      <c r="C1327" s="26">
        <v>1325</v>
      </c>
    </row>
    <row r="1328" spans="3:3" x14ac:dyDescent="0.25">
      <c r="C1328" s="26">
        <v>1326</v>
      </c>
    </row>
    <row r="1329" spans="3:3" x14ac:dyDescent="0.25">
      <c r="C1329" s="26">
        <v>1327</v>
      </c>
    </row>
    <row r="1330" spans="3:3" x14ac:dyDescent="0.25">
      <c r="C1330" s="26">
        <v>1328</v>
      </c>
    </row>
    <row r="1331" spans="3:3" x14ac:dyDescent="0.25">
      <c r="C1331" s="26">
        <v>1329</v>
      </c>
    </row>
    <row r="1332" spans="3:3" x14ac:dyDescent="0.25">
      <c r="C1332" s="26">
        <v>1330</v>
      </c>
    </row>
    <row r="1333" spans="3:3" x14ac:dyDescent="0.25">
      <c r="C1333" s="26">
        <v>1331</v>
      </c>
    </row>
    <row r="1334" spans="3:3" x14ac:dyDescent="0.25">
      <c r="C1334" s="26">
        <v>1332</v>
      </c>
    </row>
    <row r="1335" spans="3:3" x14ac:dyDescent="0.25">
      <c r="C1335" s="26">
        <v>1333</v>
      </c>
    </row>
    <row r="1336" spans="3:3" x14ac:dyDescent="0.25">
      <c r="C1336" s="26">
        <v>1334</v>
      </c>
    </row>
    <row r="1337" spans="3:3" x14ac:dyDescent="0.25">
      <c r="C1337" s="26">
        <v>1335</v>
      </c>
    </row>
    <row r="1338" spans="3:3" x14ac:dyDescent="0.25">
      <c r="C1338" s="26">
        <v>1336</v>
      </c>
    </row>
    <row r="1339" spans="3:3" x14ac:dyDescent="0.25">
      <c r="C1339" s="26">
        <v>1337</v>
      </c>
    </row>
    <row r="1340" spans="3:3" x14ac:dyDescent="0.25">
      <c r="C1340" s="26">
        <v>1338</v>
      </c>
    </row>
    <row r="1341" spans="3:3" x14ac:dyDescent="0.25">
      <c r="C1341" s="26">
        <v>1339</v>
      </c>
    </row>
    <row r="1342" spans="3:3" x14ac:dyDescent="0.25">
      <c r="C1342" s="26">
        <v>1340</v>
      </c>
    </row>
    <row r="1343" spans="3:3" x14ac:dyDescent="0.25">
      <c r="C1343" s="26">
        <v>1341</v>
      </c>
    </row>
    <row r="1344" spans="3:3" x14ac:dyDescent="0.25">
      <c r="C1344" s="26">
        <v>1342</v>
      </c>
    </row>
    <row r="1345" spans="3:3" x14ac:dyDescent="0.25">
      <c r="C1345" s="26">
        <v>1343</v>
      </c>
    </row>
    <row r="1346" spans="3:3" x14ac:dyDescent="0.25">
      <c r="C1346" s="26">
        <v>1344</v>
      </c>
    </row>
    <row r="1347" spans="3:3" x14ac:dyDescent="0.25">
      <c r="C1347" s="26">
        <v>1345</v>
      </c>
    </row>
    <row r="1348" spans="3:3" x14ac:dyDescent="0.25">
      <c r="C1348" s="26">
        <v>1346</v>
      </c>
    </row>
    <row r="1349" spans="3:3" x14ac:dyDescent="0.25">
      <c r="C1349" s="26">
        <v>1347</v>
      </c>
    </row>
    <row r="1350" spans="3:3" x14ac:dyDescent="0.25">
      <c r="C1350" s="26">
        <v>1348</v>
      </c>
    </row>
    <row r="1351" spans="3:3" x14ac:dyDescent="0.25">
      <c r="C1351" s="26">
        <v>1349</v>
      </c>
    </row>
    <row r="1352" spans="3:3" x14ac:dyDescent="0.25">
      <c r="C1352" s="26">
        <v>1350</v>
      </c>
    </row>
    <row r="1353" spans="3:3" x14ac:dyDescent="0.25">
      <c r="C1353" s="26">
        <v>1351</v>
      </c>
    </row>
    <row r="1354" spans="3:3" x14ac:dyDescent="0.25">
      <c r="C1354" s="26">
        <v>1352</v>
      </c>
    </row>
    <row r="1355" spans="3:3" x14ac:dyDescent="0.25">
      <c r="C1355" s="26">
        <v>1353</v>
      </c>
    </row>
    <row r="1356" spans="3:3" x14ac:dyDescent="0.25">
      <c r="C1356" s="26">
        <v>1354</v>
      </c>
    </row>
    <row r="1357" spans="3:3" x14ac:dyDescent="0.25">
      <c r="C1357" s="26">
        <v>1355</v>
      </c>
    </row>
    <row r="1358" spans="3:3" x14ac:dyDescent="0.25">
      <c r="C1358" s="26">
        <v>1356</v>
      </c>
    </row>
    <row r="1359" spans="3:3" x14ac:dyDescent="0.25">
      <c r="C1359" s="26">
        <v>1357</v>
      </c>
    </row>
    <row r="1360" spans="3:3" x14ac:dyDescent="0.25">
      <c r="C1360" s="26">
        <v>1358</v>
      </c>
    </row>
    <row r="1361" spans="3:3" x14ac:dyDescent="0.25">
      <c r="C1361" s="26">
        <v>1359</v>
      </c>
    </row>
    <row r="1362" spans="3:3" x14ac:dyDescent="0.25">
      <c r="C1362" s="26">
        <v>1360</v>
      </c>
    </row>
    <row r="1363" spans="3:3" x14ac:dyDescent="0.25">
      <c r="C1363" s="26">
        <v>1361</v>
      </c>
    </row>
    <row r="1364" spans="3:3" x14ac:dyDescent="0.25">
      <c r="C1364" s="26">
        <v>1362</v>
      </c>
    </row>
    <row r="1365" spans="3:3" x14ac:dyDescent="0.25">
      <c r="C1365" s="26">
        <v>1363</v>
      </c>
    </row>
    <row r="1366" spans="3:3" x14ac:dyDescent="0.25">
      <c r="C1366" s="26">
        <v>1364</v>
      </c>
    </row>
    <row r="1367" spans="3:3" x14ac:dyDescent="0.25">
      <c r="C1367" s="26">
        <v>1365</v>
      </c>
    </row>
    <row r="1368" spans="3:3" x14ac:dyDescent="0.25">
      <c r="C1368" s="26">
        <v>1366</v>
      </c>
    </row>
    <row r="1369" spans="3:3" x14ac:dyDescent="0.25">
      <c r="C1369" s="26">
        <v>1367</v>
      </c>
    </row>
    <row r="1370" spans="3:3" x14ac:dyDescent="0.25">
      <c r="C1370" s="26">
        <v>1368</v>
      </c>
    </row>
    <row r="1371" spans="3:3" x14ac:dyDescent="0.25">
      <c r="C1371" s="26">
        <v>1369</v>
      </c>
    </row>
    <row r="1372" spans="3:3" x14ac:dyDescent="0.25">
      <c r="C1372" s="26">
        <v>1370</v>
      </c>
    </row>
    <row r="1373" spans="3:3" x14ac:dyDescent="0.25">
      <c r="C1373" s="26">
        <v>1371</v>
      </c>
    </row>
    <row r="1374" spans="3:3" x14ac:dyDescent="0.25">
      <c r="C1374" s="26">
        <v>1372</v>
      </c>
    </row>
    <row r="1375" spans="3:3" x14ac:dyDescent="0.25">
      <c r="C1375" s="26">
        <v>1373</v>
      </c>
    </row>
    <row r="1376" spans="3:3" x14ac:dyDescent="0.25">
      <c r="C1376" s="26">
        <v>1374</v>
      </c>
    </row>
    <row r="1377" spans="3:3" x14ac:dyDescent="0.25">
      <c r="C1377" s="26">
        <v>1375</v>
      </c>
    </row>
    <row r="1378" spans="3:3" x14ac:dyDescent="0.25">
      <c r="C1378" s="26">
        <v>1376</v>
      </c>
    </row>
    <row r="1379" spans="3:3" x14ac:dyDescent="0.25">
      <c r="C1379" s="26">
        <v>1377</v>
      </c>
    </row>
    <row r="1380" spans="3:3" x14ac:dyDescent="0.25">
      <c r="C1380" s="26">
        <v>1378</v>
      </c>
    </row>
    <row r="1381" spans="3:3" x14ac:dyDescent="0.25">
      <c r="C1381" s="26">
        <v>1379</v>
      </c>
    </row>
    <row r="1382" spans="3:3" x14ac:dyDescent="0.25">
      <c r="C1382" s="26">
        <v>1380</v>
      </c>
    </row>
    <row r="1383" spans="3:3" x14ac:dyDescent="0.25">
      <c r="C1383" s="26">
        <v>1381</v>
      </c>
    </row>
    <row r="1384" spans="3:3" x14ac:dyDescent="0.25">
      <c r="C1384" s="26">
        <v>1382</v>
      </c>
    </row>
    <row r="1385" spans="3:3" x14ac:dyDescent="0.25">
      <c r="C1385" s="26">
        <v>1383</v>
      </c>
    </row>
    <row r="1386" spans="3:3" x14ac:dyDescent="0.25">
      <c r="C1386" s="26">
        <v>1384</v>
      </c>
    </row>
    <row r="1387" spans="3:3" x14ac:dyDescent="0.25">
      <c r="C1387" s="26">
        <v>1385</v>
      </c>
    </row>
    <row r="1388" spans="3:3" x14ac:dyDescent="0.25">
      <c r="C1388" s="26">
        <v>1386</v>
      </c>
    </row>
    <row r="1389" spans="3:3" x14ac:dyDescent="0.25">
      <c r="C1389" s="26">
        <v>1387</v>
      </c>
    </row>
    <row r="1390" spans="3:3" x14ac:dyDescent="0.25">
      <c r="C1390" s="26">
        <v>1388</v>
      </c>
    </row>
    <row r="1391" spans="3:3" x14ac:dyDescent="0.25">
      <c r="C1391" s="26">
        <v>1389</v>
      </c>
    </row>
    <row r="1392" spans="3:3" x14ac:dyDescent="0.25">
      <c r="C1392" s="26">
        <v>1390</v>
      </c>
    </row>
    <row r="1393" spans="3:3" x14ac:dyDescent="0.25">
      <c r="C1393" s="26">
        <v>1391</v>
      </c>
    </row>
    <row r="1394" spans="3:3" x14ac:dyDescent="0.25">
      <c r="C1394" s="26">
        <v>1392</v>
      </c>
    </row>
    <row r="1395" spans="3:3" x14ac:dyDescent="0.25">
      <c r="C1395" s="26">
        <v>1393</v>
      </c>
    </row>
    <row r="1396" spans="3:3" x14ac:dyDescent="0.25">
      <c r="C1396" s="26">
        <v>1394</v>
      </c>
    </row>
    <row r="1397" spans="3:3" x14ac:dyDescent="0.25">
      <c r="C1397" s="26">
        <v>1395</v>
      </c>
    </row>
    <row r="1398" spans="3:3" x14ac:dyDescent="0.25">
      <c r="C1398" s="26">
        <v>1396</v>
      </c>
    </row>
    <row r="1399" spans="3:3" x14ac:dyDescent="0.25">
      <c r="C1399" s="26">
        <v>1397</v>
      </c>
    </row>
    <row r="1400" spans="3:3" x14ac:dyDescent="0.25">
      <c r="C1400" s="26">
        <v>1398</v>
      </c>
    </row>
    <row r="1401" spans="3:3" x14ac:dyDescent="0.25">
      <c r="C1401" s="26">
        <v>1399</v>
      </c>
    </row>
    <row r="1402" spans="3:3" x14ac:dyDescent="0.25">
      <c r="C1402" s="26">
        <v>1400</v>
      </c>
    </row>
    <row r="1403" spans="3:3" x14ac:dyDescent="0.25">
      <c r="C1403" s="26">
        <v>1401</v>
      </c>
    </row>
    <row r="1404" spans="3:3" x14ac:dyDescent="0.25">
      <c r="C1404" s="26">
        <v>1402</v>
      </c>
    </row>
    <row r="1405" spans="3:3" x14ac:dyDescent="0.25">
      <c r="C1405" s="26">
        <v>1403</v>
      </c>
    </row>
    <row r="1406" spans="3:3" x14ac:dyDescent="0.25">
      <c r="C1406" s="26">
        <v>1404</v>
      </c>
    </row>
    <row r="1407" spans="3:3" x14ac:dyDescent="0.25">
      <c r="C1407" s="26">
        <v>1405</v>
      </c>
    </row>
    <row r="1408" spans="3:3" x14ac:dyDescent="0.25">
      <c r="C1408" s="26">
        <v>1406</v>
      </c>
    </row>
    <row r="1409" spans="3:3" x14ac:dyDescent="0.25">
      <c r="C1409" s="26">
        <v>1407</v>
      </c>
    </row>
    <row r="1410" spans="3:3" x14ac:dyDescent="0.25">
      <c r="C1410" s="26">
        <v>1408</v>
      </c>
    </row>
    <row r="1411" spans="3:3" x14ac:dyDescent="0.25">
      <c r="C1411" s="26">
        <v>1409</v>
      </c>
    </row>
    <row r="1412" spans="3:3" x14ac:dyDescent="0.25">
      <c r="C1412" s="26">
        <v>1410</v>
      </c>
    </row>
    <row r="1413" spans="3:3" x14ac:dyDescent="0.25">
      <c r="C1413" s="26">
        <v>1411</v>
      </c>
    </row>
    <row r="1414" spans="3:3" x14ac:dyDescent="0.25">
      <c r="C1414" s="26">
        <v>1412</v>
      </c>
    </row>
    <row r="1415" spans="3:3" x14ac:dyDescent="0.25">
      <c r="C1415" s="26">
        <v>1413</v>
      </c>
    </row>
    <row r="1416" spans="3:3" x14ac:dyDescent="0.25">
      <c r="C1416" s="26">
        <v>1414</v>
      </c>
    </row>
    <row r="1417" spans="3:3" x14ac:dyDescent="0.25">
      <c r="C1417" s="26">
        <v>1415</v>
      </c>
    </row>
    <row r="1418" spans="3:3" x14ac:dyDescent="0.25">
      <c r="C1418" s="26">
        <v>1416</v>
      </c>
    </row>
    <row r="1419" spans="3:3" x14ac:dyDescent="0.25">
      <c r="C1419" s="26">
        <v>1417</v>
      </c>
    </row>
    <row r="1420" spans="3:3" x14ac:dyDescent="0.25">
      <c r="C1420" s="26">
        <v>1418</v>
      </c>
    </row>
    <row r="1421" spans="3:3" x14ac:dyDescent="0.25">
      <c r="C1421" s="26">
        <v>1419</v>
      </c>
    </row>
    <row r="1422" spans="3:3" x14ac:dyDescent="0.25">
      <c r="C1422" s="26">
        <v>1420</v>
      </c>
    </row>
    <row r="1423" spans="3:3" x14ac:dyDescent="0.25">
      <c r="C1423" s="26">
        <v>1421</v>
      </c>
    </row>
    <row r="1424" spans="3:3" x14ac:dyDescent="0.25">
      <c r="C1424" s="26">
        <v>1422</v>
      </c>
    </row>
    <row r="1425" spans="3:3" x14ac:dyDescent="0.25">
      <c r="C1425" s="26">
        <v>1423</v>
      </c>
    </row>
    <row r="1426" spans="3:3" x14ac:dyDescent="0.25">
      <c r="C1426" s="26">
        <v>1424</v>
      </c>
    </row>
    <row r="1427" spans="3:3" x14ac:dyDescent="0.25">
      <c r="C1427" s="26">
        <v>1425</v>
      </c>
    </row>
    <row r="1428" spans="3:3" x14ac:dyDescent="0.25">
      <c r="C1428" s="26">
        <v>1426</v>
      </c>
    </row>
    <row r="1429" spans="3:3" x14ac:dyDescent="0.25">
      <c r="C1429" s="26">
        <v>1427</v>
      </c>
    </row>
    <row r="1430" spans="3:3" x14ac:dyDescent="0.25">
      <c r="C1430" s="26">
        <v>1428</v>
      </c>
    </row>
    <row r="1431" spans="3:3" x14ac:dyDescent="0.25">
      <c r="C1431" s="26">
        <v>1429</v>
      </c>
    </row>
    <row r="1432" spans="3:3" x14ac:dyDescent="0.25">
      <c r="C1432" s="26">
        <v>1430</v>
      </c>
    </row>
    <row r="1433" spans="3:3" x14ac:dyDescent="0.25">
      <c r="C1433" s="26">
        <v>1431</v>
      </c>
    </row>
    <row r="1434" spans="3:3" x14ac:dyDescent="0.25">
      <c r="C1434" s="26">
        <v>1432</v>
      </c>
    </row>
    <row r="1435" spans="3:3" x14ac:dyDescent="0.25">
      <c r="C1435" s="26">
        <v>1433</v>
      </c>
    </row>
    <row r="1436" spans="3:3" x14ac:dyDescent="0.25">
      <c r="C1436" s="26">
        <v>1434</v>
      </c>
    </row>
    <row r="1437" spans="3:3" x14ac:dyDescent="0.25">
      <c r="C1437" s="26">
        <v>1435</v>
      </c>
    </row>
    <row r="1438" spans="3:3" x14ac:dyDescent="0.25">
      <c r="C1438" s="26">
        <v>1436</v>
      </c>
    </row>
    <row r="1439" spans="3:3" x14ac:dyDescent="0.25">
      <c r="C1439" s="26">
        <v>1437</v>
      </c>
    </row>
    <row r="1440" spans="3:3" x14ac:dyDescent="0.25">
      <c r="C1440" s="26">
        <v>1438</v>
      </c>
    </row>
    <row r="1441" spans="3:3" x14ac:dyDescent="0.25">
      <c r="C1441" s="26">
        <v>1439</v>
      </c>
    </row>
    <row r="1442" spans="3:3" x14ac:dyDescent="0.25">
      <c r="C1442" s="26">
        <v>1440</v>
      </c>
    </row>
    <row r="1443" spans="3:3" x14ac:dyDescent="0.25">
      <c r="C1443" s="26">
        <v>1441</v>
      </c>
    </row>
    <row r="1444" spans="3:3" x14ac:dyDescent="0.25">
      <c r="C1444" s="26">
        <v>1442</v>
      </c>
    </row>
    <row r="1445" spans="3:3" x14ac:dyDescent="0.25">
      <c r="C1445" s="26">
        <v>1443</v>
      </c>
    </row>
    <row r="1446" spans="3:3" x14ac:dyDescent="0.25">
      <c r="C1446" s="26">
        <v>1444</v>
      </c>
    </row>
    <row r="1447" spans="3:3" x14ac:dyDescent="0.25">
      <c r="C1447" s="26">
        <v>1445</v>
      </c>
    </row>
    <row r="1448" spans="3:3" x14ac:dyDescent="0.25">
      <c r="C1448" s="26">
        <v>1446</v>
      </c>
    </row>
    <row r="1449" spans="3:3" x14ac:dyDescent="0.25">
      <c r="C1449" s="26">
        <v>1447</v>
      </c>
    </row>
    <row r="1450" spans="3:3" x14ac:dyDescent="0.25">
      <c r="C1450" s="26">
        <v>1448</v>
      </c>
    </row>
    <row r="1451" spans="3:3" x14ac:dyDescent="0.25">
      <c r="C1451" s="26">
        <v>1449</v>
      </c>
    </row>
    <row r="1452" spans="3:3" x14ac:dyDescent="0.25">
      <c r="C1452" s="26">
        <v>1450</v>
      </c>
    </row>
    <row r="1453" spans="3:3" x14ac:dyDescent="0.25">
      <c r="C1453" s="26">
        <v>1451</v>
      </c>
    </row>
    <row r="1454" spans="3:3" x14ac:dyDescent="0.25">
      <c r="C1454" s="26">
        <v>1452</v>
      </c>
    </row>
    <row r="1455" spans="3:3" x14ac:dyDescent="0.25">
      <c r="C1455" s="26">
        <v>1453</v>
      </c>
    </row>
    <row r="1456" spans="3:3" x14ac:dyDescent="0.25">
      <c r="C1456" s="26">
        <v>1454</v>
      </c>
    </row>
    <row r="1457" spans="3:3" x14ac:dyDescent="0.25">
      <c r="C1457" s="26">
        <v>1455</v>
      </c>
    </row>
    <row r="1458" spans="3:3" x14ac:dyDescent="0.25">
      <c r="C1458" s="26">
        <v>1456</v>
      </c>
    </row>
    <row r="1459" spans="3:3" x14ac:dyDescent="0.25">
      <c r="C1459" s="26">
        <v>1457</v>
      </c>
    </row>
    <row r="1460" spans="3:3" x14ac:dyDescent="0.25">
      <c r="C1460" s="26">
        <v>1458</v>
      </c>
    </row>
    <row r="1461" spans="3:3" x14ac:dyDescent="0.25">
      <c r="C1461" s="26">
        <v>1459</v>
      </c>
    </row>
    <row r="1462" spans="3:3" x14ac:dyDescent="0.25">
      <c r="C1462" s="26">
        <v>1460</v>
      </c>
    </row>
    <row r="1463" spans="3:3" x14ac:dyDescent="0.25">
      <c r="C1463" s="26">
        <v>1461</v>
      </c>
    </row>
    <row r="1464" spans="3:3" x14ac:dyDescent="0.25">
      <c r="C1464" s="26">
        <v>1462</v>
      </c>
    </row>
    <row r="1465" spans="3:3" x14ac:dyDescent="0.25">
      <c r="C1465" s="26">
        <v>1463</v>
      </c>
    </row>
    <row r="1466" spans="3:3" x14ac:dyDescent="0.25">
      <c r="C1466" s="26">
        <v>1464</v>
      </c>
    </row>
    <row r="1467" spans="3:3" x14ac:dyDescent="0.25">
      <c r="C1467" s="26">
        <v>1465</v>
      </c>
    </row>
    <row r="1468" spans="3:3" x14ac:dyDescent="0.25">
      <c r="C1468" s="26">
        <v>1466</v>
      </c>
    </row>
    <row r="1469" spans="3:3" x14ac:dyDescent="0.25">
      <c r="C1469" s="26">
        <v>1467</v>
      </c>
    </row>
    <row r="1470" spans="3:3" x14ac:dyDescent="0.25">
      <c r="C1470" s="26">
        <v>1468</v>
      </c>
    </row>
    <row r="1471" spans="3:3" x14ac:dyDescent="0.25">
      <c r="C1471" s="26">
        <v>1469</v>
      </c>
    </row>
    <row r="1472" spans="3:3" x14ac:dyDescent="0.25">
      <c r="C1472" s="26">
        <v>1470</v>
      </c>
    </row>
    <row r="1473" spans="3:3" x14ac:dyDescent="0.25">
      <c r="C1473" s="26">
        <v>1471</v>
      </c>
    </row>
    <row r="1474" spans="3:3" x14ac:dyDescent="0.25">
      <c r="C1474" s="26">
        <v>1472</v>
      </c>
    </row>
    <row r="1475" spans="3:3" x14ac:dyDescent="0.25">
      <c r="C1475" s="26">
        <v>1473</v>
      </c>
    </row>
    <row r="1476" spans="3:3" x14ac:dyDescent="0.25">
      <c r="C1476" s="26">
        <v>1474</v>
      </c>
    </row>
    <row r="1477" spans="3:3" x14ac:dyDescent="0.25">
      <c r="C1477" s="26">
        <v>1475</v>
      </c>
    </row>
    <row r="1478" spans="3:3" x14ac:dyDescent="0.25">
      <c r="C1478" s="26">
        <v>1476</v>
      </c>
    </row>
    <row r="1479" spans="3:3" x14ac:dyDescent="0.25">
      <c r="C1479" s="26">
        <v>1477</v>
      </c>
    </row>
    <row r="1480" spans="3:3" x14ac:dyDescent="0.25">
      <c r="C1480" s="26">
        <v>1478</v>
      </c>
    </row>
    <row r="1481" spans="3:3" x14ac:dyDescent="0.25">
      <c r="C1481" s="26">
        <v>1479</v>
      </c>
    </row>
    <row r="1482" spans="3:3" x14ac:dyDescent="0.25">
      <c r="C1482" s="26">
        <v>1480</v>
      </c>
    </row>
    <row r="1483" spans="3:3" x14ac:dyDescent="0.25">
      <c r="C1483" s="26">
        <v>1481</v>
      </c>
    </row>
    <row r="1484" spans="3:3" x14ac:dyDescent="0.25">
      <c r="C1484" s="26">
        <v>1482</v>
      </c>
    </row>
    <row r="1485" spans="3:3" x14ac:dyDescent="0.25">
      <c r="C1485" s="26">
        <v>1483</v>
      </c>
    </row>
    <row r="1486" spans="3:3" x14ac:dyDescent="0.25">
      <c r="C1486" s="26">
        <v>1484</v>
      </c>
    </row>
    <row r="1487" spans="3:3" x14ac:dyDescent="0.25">
      <c r="C1487" s="26">
        <v>1485</v>
      </c>
    </row>
    <row r="1488" spans="3:3" x14ac:dyDescent="0.25">
      <c r="C1488" s="26">
        <v>1486</v>
      </c>
    </row>
    <row r="1489" spans="3:3" x14ac:dyDescent="0.25">
      <c r="C1489" s="26">
        <v>1487</v>
      </c>
    </row>
    <row r="1490" spans="3:3" x14ac:dyDescent="0.25">
      <c r="C1490" s="26">
        <v>1488</v>
      </c>
    </row>
    <row r="1491" spans="3:3" x14ac:dyDescent="0.25">
      <c r="C1491" s="26">
        <v>1489</v>
      </c>
    </row>
    <row r="1492" spans="3:3" x14ac:dyDescent="0.25">
      <c r="C1492" s="26">
        <v>1490</v>
      </c>
    </row>
    <row r="1493" spans="3:3" x14ac:dyDescent="0.25">
      <c r="C1493" s="26">
        <v>1491</v>
      </c>
    </row>
    <row r="1494" spans="3:3" x14ac:dyDescent="0.25">
      <c r="C1494" s="26">
        <v>1492</v>
      </c>
    </row>
    <row r="1495" spans="3:3" x14ac:dyDescent="0.25">
      <c r="C1495" s="26">
        <v>1493</v>
      </c>
    </row>
    <row r="1496" spans="3:3" x14ac:dyDescent="0.25">
      <c r="C1496" s="26">
        <v>1494</v>
      </c>
    </row>
    <row r="1497" spans="3:3" x14ac:dyDescent="0.25">
      <c r="C1497" s="26">
        <v>1495</v>
      </c>
    </row>
    <row r="1498" spans="3:3" x14ac:dyDescent="0.25">
      <c r="C1498" s="26">
        <v>1496</v>
      </c>
    </row>
    <row r="1499" spans="3:3" x14ac:dyDescent="0.25">
      <c r="C1499" s="26">
        <v>1497</v>
      </c>
    </row>
    <row r="1500" spans="3:3" x14ac:dyDescent="0.25">
      <c r="C1500" s="26">
        <v>1498</v>
      </c>
    </row>
    <row r="1501" spans="3:3" x14ac:dyDescent="0.25">
      <c r="C1501" s="26">
        <v>1499</v>
      </c>
    </row>
    <row r="1502" spans="3:3" x14ac:dyDescent="0.25">
      <c r="C1502" s="26">
        <v>1500</v>
      </c>
    </row>
    <row r="1503" spans="3:3" x14ac:dyDescent="0.25">
      <c r="C1503" s="26">
        <v>1501</v>
      </c>
    </row>
    <row r="1504" spans="3:3" x14ac:dyDescent="0.25">
      <c r="C1504" s="26">
        <v>1502</v>
      </c>
    </row>
    <row r="1505" spans="3:3" x14ac:dyDescent="0.25">
      <c r="C1505" s="26">
        <v>1503</v>
      </c>
    </row>
    <row r="1506" spans="3:3" x14ac:dyDescent="0.25">
      <c r="C1506" s="26">
        <v>1504</v>
      </c>
    </row>
    <row r="1507" spans="3:3" x14ac:dyDescent="0.25">
      <c r="C1507" s="26">
        <v>1505</v>
      </c>
    </row>
    <row r="1508" spans="3:3" x14ac:dyDescent="0.25">
      <c r="C1508" s="26">
        <v>1506</v>
      </c>
    </row>
    <row r="1509" spans="3:3" x14ac:dyDescent="0.25">
      <c r="C1509" s="26">
        <v>1507</v>
      </c>
    </row>
    <row r="1510" spans="3:3" x14ac:dyDescent="0.25">
      <c r="C1510" s="26">
        <v>1508</v>
      </c>
    </row>
    <row r="1511" spans="3:3" x14ac:dyDescent="0.25">
      <c r="C1511" s="26">
        <v>1509</v>
      </c>
    </row>
    <row r="1512" spans="3:3" x14ac:dyDescent="0.25">
      <c r="C1512" s="26">
        <v>1510</v>
      </c>
    </row>
    <row r="1513" spans="3:3" x14ac:dyDescent="0.25">
      <c r="C1513" s="26">
        <v>1511</v>
      </c>
    </row>
    <row r="1514" spans="3:3" x14ac:dyDescent="0.25">
      <c r="C1514" s="26">
        <v>1512</v>
      </c>
    </row>
    <row r="1515" spans="3:3" x14ac:dyDescent="0.25">
      <c r="C1515" s="26">
        <v>1513</v>
      </c>
    </row>
    <row r="1516" spans="3:3" x14ac:dyDescent="0.25">
      <c r="C1516" s="26">
        <v>1514</v>
      </c>
    </row>
    <row r="1517" spans="3:3" x14ac:dyDescent="0.25">
      <c r="C1517" s="26">
        <v>1515</v>
      </c>
    </row>
    <row r="1518" spans="3:3" x14ac:dyDescent="0.25">
      <c r="C1518" s="26">
        <v>1516</v>
      </c>
    </row>
    <row r="1519" spans="3:3" x14ac:dyDescent="0.25">
      <c r="C1519" s="26">
        <v>1517</v>
      </c>
    </row>
    <row r="1520" spans="3:3" x14ac:dyDescent="0.25">
      <c r="C1520" s="26">
        <v>1518</v>
      </c>
    </row>
    <row r="1521" spans="3:3" x14ac:dyDescent="0.25">
      <c r="C1521" s="26">
        <v>1519</v>
      </c>
    </row>
    <row r="1522" spans="3:3" x14ac:dyDescent="0.25">
      <c r="C1522" s="26">
        <v>1520</v>
      </c>
    </row>
    <row r="1523" spans="3:3" x14ac:dyDescent="0.25">
      <c r="C1523" s="26">
        <v>1521</v>
      </c>
    </row>
    <row r="1524" spans="3:3" x14ac:dyDescent="0.25">
      <c r="C1524" s="26">
        <v>1522</v>
      </c>
    </row>
    <row r="1525" spans="3:3" x14ac:dyDescent="0.25">
      <c r="C1525" s="26">
        <v>1523</v>
      </c>
    </row>
    <row r="1526" spans="3:3" x14ac:dyDescent="0.25">
      <c r="C1526" s="26">
        <v>1524</v>
      </c>
    </row>
    <row r="1527" spans="3:3" x14ac:dyDescent="0.25">
      <c r="C1527" s="26">
        <v>1525</v>
      </c>
    </row>
    <row r="1528" spans="3:3" x14ac:dyDescent="0.25">
      <c r="C1528" s="26">
        <v>1526</v>
      </c>
    </row>
    <row r="1529" spans="3:3" x14ac:dyDescent="0.25">
      <c r="C1529" s="26">
        <v>1527</v>
      </c>
    </row>
    <row r="1530" spans="3:3" x14ac:dyDescent="0.25">
      <c r="C1530" s="26">
        <v>1528</v>
      </c>
    </row>
    <row r="1531" spans="3:3" x14ac:dyDescent="0.25">
      <c r="C1531" s="26">
        <v>1529</v>
      </c>
    </row>
    <row r="1532" spans="3:3" x14ac:dyDescent="0.25">
      <c r="C1532" s="26">
        <v>1530</v>
      </c>
    </row>
    <row r="1533" spans="3:3" x14ac:dyDescent="0.25">
      <c r="C1533" s="26">
        <v>1531</v>
      </c>
    </row>
    <row r="1534" spans="3:3" x14ac:dyDescent="0.25">
      <c r="C1534" s="26">
        <v>1532</v>
      </c>
    </row>
    <row r="1535" spans="3:3" x14ac:dyDescent="0.25">
      <c r="C1535" s="26">
        <v>1533</v>
      </c>
    </row>
    <row r="1536" spans="3:3" x14ac:dyDescent="0.25">
      <c r="C1536" s="26">
        <v>1534</v>
      </c>
    </row>
    <row r="1537" spans="3:3" x14ac:dyDescent="0.25">
      <c r="C1537" s="26">
        <v>1535</v>
      </c>
    </row>
    <row r="1538" spans="3:3" x14ac:dyDescent="0.25">
      <c r="C1538" s="26">
        <v>1536</v>
      </c>
    </row>
    <row r="1539" spans="3:3" x14ac:dyDescent="0.25">
      <c r="C1539" s="26">
        <v>1537</v>
      </c>
    </row>
    <row r="1540" spans="3:3" x14ac:dyDescent="0.25">
      <c r="C1540" s="26">
        <v>1538</v>
      </c>
    </row>
    <row r="1541" spans="3:3" x14ac:dyDescent="0.25">
      <c r="C1541" s="26">
        <v>1539</v>
      </c>
    </row>
    <row r="1542" spans="3:3" x14ac:dyDescent="0.25">
      <c r="C1542" s="26">
        <v>1540</v>
      </c>
    </row>
    <row r="1543" spans="3:3" x14ac:dyDescent="0.25">
      <c r="C1543" s="26">
        <v>1541</v>
      </c>
    </row>
    <row r="1544" spans="3:3" x14ac:dyDescent="0.25">
      <c r="C1544" s="26">
        <v>1542</v>
      </c>
    </row>
    <row r="1545" spans="3:3" x14ac:dyDescent="0.25">
      <c r="C1545" s="26">
        <v>1543</v>
      </c>
    </row>
    <row r="1546" spans="3:3" x14ac:dyDescent="0.25">
      <c r="C1546" s="26">
        <v>1544</v>
      </c>
    </row>
    <row r="1547" spans="3:3" x14ac:dyDescent="0.25">
      <c r="C1547" s="26">
        <v>1545</v>
      </c>
    </row>
    <row r="1548" spans="3:3" x14ac:dyDescent="0.25">
      <c r="C1548" s="26">
        <v>1546</v>
      </c>
    </row>
    <row r="1549" spans="3:3" x14ac:dyDescent="0.25">
      <c r="C1549" s="26">
        <v>1547</v>
      </c>
    </row>
    <row r="1550" spans="3:3" x14ac:dyDescent="0.25">
      <c r="C1550" s="26">
        <v>1548</v>
      </c>
    </row>
    <row r="1551" spans="3:3" x14ac:dyDescent="0.25">
      <c r="C1551" s="26">
        <v>1549</v>
      </c>
    </row>
    <row r="1552" spans="3:3" x14ac:dyDescent="0.25">
      <c r="C1552" s="26">
        <v>1550</v>
      </c>
    </row>
    <row r="1553" spans="3:3" x14ac:dyDescent="0.25">
      <c r="C1553" s="26">
        <v>1551</v>
      </c>
    </row>
    <row r="1554" spans="3:3" x14ac:dyDescent="0.25">
      <c r="C1554" s="26">
        <v>1552</v>
      </c>
    </row>
    <row r="1555" spans="3:3" x14ac:dyDescent="0.25">
      <c r="C1555" s="26">
        <v>1553</v>
      </c>
    </row>
    <row r="1556" spans="3:3" x14ac:dyDescent="0.25">
      <c r="C1556" s="26">
        <v>1554</v>
      </c>
    </row>
    <row r="1557" spans="3:3" x14ac:dyDescent="0.25">
      <c r="C1557" s="26">
        <v>1555</v>
      </c>
    </row>
    <row r="1558" spans="3:3" x14ac:dyDescent="0.25">
      <c r="C1558" s="26">
        <v>1556</v>
      </c>
    </row>
    <row r="1559" spans="3:3" x14ac:dyDescent="0.25">
      <c r="C1559" s="26">
        <v>1557</v>
      </c>
    </row>
    <row r="1560" spans="3:3" x14ac:dyDescent="0.25">
      <c r="C1560" s="26">
        <v>1558</v>
      </c>
    </row>
    <row r="1561" spans="3:3" x14ac:dyDescent="0.25">
      <c r="C1561" s="26">
        <v>1559</v>
      </c>
    </row>
    <row r="1562" spans="3:3" x14ac:dyDescent="0.25">
      <c r="C1562" s="26">
        <v>1560</v>
      </c>
    </row>
    <row r="1563" spans="3:3" x14ac:dyDescent="0.25">
      <c r="C1563" s="26">
        <v>1561</v>
      </c>
    </row>
    <row r="1564" spans="3:3" x14ac:dyDescent="0.25">
      <c r="C1564" s="26">
        <v>1562</v>
      </c>
    </row>
    <row r="1565" spans="3:3" x14ac:dyDescent="0.25">
      <c r="C1565" s="26">
        <v>1563</v>
      </c>
    </row>
    <row r="1566" spans="3:3" x14ac:dyDescent="0.25">
      <c r="C1566" s="26">
        <v>1564</v>
      </c>
    </row>
    <row r="1567" spans="3:3" x14ac:dyDescent="0.25">
      <c r="C1567" s="26">
        <v>1565</v>
      </c>
    </row>
    <row r="1568" spans="3:3" x14ac:dyDescent="0.25">
      <c r="C1568" s="26">
        <v>1566</v>
      </c>
    </row>
    <row r="1569" spans="3:3" x14ac:dyDescent="0.25">
      <c r="C1569" s="26">
        <v>1567</v>
      </c>
    </row>
    <row r="1570" spans="3:3" x14ac:dyDescent="0.25">
      <c r="C1570" s="26">
        <v>1568</v>
      </c>
    </row>
    <row r="1571" spans="3:3" x14ac:dyDescent="0.25">
      <c r="C1571" s="26">
        <v>1569</v>
      </c>
    </row>
    <row r="1572" spans="3:3" x14ac:dyDescent="0.25">
      <c r="C1572" s="26">
        <v>1570</v>
      </c>
    </row>
    <row r="1573" spans="3:3" x14ac:dyDescent="0.25">
      <c r="C1573" s="26">
        <v>1571</v>
      </c>
    </row>
    <row r="1574" spans="3:3" x14ac:dyDescent="0.25">
      <c r="C1574" s="26">
        <v>1572</v>
      </c>
    </row>
    <row r="1575" spans="3:3" x14ac:dyDescent="0.25">
      <c r="C1575" s="26">
        <v>1573</v>
      </c>
    </row>
    <row r="1576" spans="3:3" x14ac:dyDescent="0.25">
      <c r="C1576" s="26">
        <v>1574</v>
      </c>
    </row>
    <row r="1577" spans="3:3" x14ac:dyDescent="0.25">
      <c r="C1577" s="26">
        <v>1575</v>
      </c>
    </row>
    <row r="1578" spans="3:3" x14ac:dyDescent="0.25">
      <c r="C1578" s="26">
        <v>1576</v>
      </c>
    </row>
    <row r="1579" spans="3:3" x14ac:dyDescent="0.25">
      <c r="C1579" s="26">
        <v>1577</v>
      </c>
    </row>
    <row r="1580" spans="3:3" x14ac:dyDescent="0.25">
      <c r="C1580" s="26">
        <v>1578</v>
      </c>
    </row>
    <row r="1581" spans="3:3" x14ac:dyDescent="0.25">
      <c r="C1581" s="26">
        <v>1579</v>
      </c>
    </row>
    <row r="1582" spans="3:3" x14ac:dyDescent="0.25">
      <c r="C1582" s="26">
        <v>1580</v>
      </c>
    </row>
    <row r="1583" spans="3:3" x14ac:dyDescent="0.25">
      <c r="C1583" s="26">
        <v>1581</v>
      </c>
    </row>
    <row r="1584" spans="3:3" x14ac:dyDescent="0.25">
      <c r="C1584" s="26">
        <v>1582</v>
      </c>
    </row>
    <row r="1585" spans="3:3" x14ac:dyDescent="0.25">
      <c r="C1585" s="26">
        <v>1583</v>
      </c>
    </row>
    <row r="1586" spans="3:3" x14ac:dyDescent="0.25">
      <c r="C1586" s="26">
        <v>1584</v>
      </c>
    </row>
    <row r="1587" spans="3:3" x14ac:dyDescent="0.25">
      <c r="C1587" s="26">
        <v>1585</v>
      </c>
    </row>
    <row r="1588" spans="3:3" x14ac:dyDescent="0.25">
      <c r="C1588" s="26">
        <v>1586</v>
      </c>
    </row>
    <row r="1589" spans="3:3" x14ac:dyDescent="0.25">
      <c r="C1589" s="26">
        <v>1587</v>
      </c>
    </row>
    <row r="1590" spans="3:3" x14ac:dyDescent="0.25">
      <c r="C1590" s="26">
        <v>1588</v>
      </c>
    </row>
    <row r="1591" spans="3:3" x14ac:dyDescent="0.25">
      <c r="C1591" s="26">
        <v>1589</v>
      </c>
    </row>
    <row r="1592" spans="3:3" x14ac:dyDescent="0.25">
      <c r="C1592" s="26">
        <v>1590</v>
      </c>
    </row>
    <row r="1593" spans="3:3" x14ac:dyDescent="0.25">
      <c r="C1593" s="26">
        <v>1591</v>
      </c>
    </row>
    <row r="1594" spans="3:3" x14ac:dyDescent="0.25">
      <c r="C1594" s="26">
        <v>1592</v>
      </c>
    </row>
    <row r="1595" spans="3:3" x14ac:dyDescent="0.25">
      <c r="C1595" s="26">
        <v>1593</v>
      </c>
    </row>
    <row r="1596" spans="3:3" x14ac:dyDescent="0.25">
      <c r="C1596" s="26">
        <v>1594</v>
      </c>
    </row>
    <row r="1597" spans="3:3" x14ac:dyDescent="0.25">
      <c r="C1597" s="26">
        <v>1595</v>
      </c>
    </row>
    <row r="1598" spans="3:3" x14ac:dyDescent="0.25">
      <c r="C1598" s="26">
        <v>1596</v>
      </c>
    </row>
    <row r="1599" spans="3:3" x14ac:dyDescent="0.25">
      <c r="C1599" s="26">
        <v>1597</v>
      </c>
    </row>
    <row r="1600" spans="3:3" x14ac:dyDescent="0.25">
      <c r="C1600" s="26">
        <v>1598</v>
      </c>
    </row>
    <row r="1601" spans="3:3" x14ac:dyDescent="0.25">
      <c r="C1601" s="26">
        <v>1599</v>
      </c>
    </row>
    <row r="1602" spans="3:3" x14ac:dyDescent="0.25">
      <c r="C1602" s="26">
        <v>1600</v>
      </c>
    </row>
    <row r="1603" spans="3:3" x14ac:dyDescent="0.25">
      <c r="C1603" s="26">
        <v>1601</v>
      </c>
    </row>
    <row r="1604" spans="3:3" x14ac:dyDescent="0.25">
      <c r="C1604" s="26">
        <v>1602</v>
      </c>
    </row>
    <row r="1605" spans="3:3" x14ac:dyDescent="0.25">
      <c r="C1605" s="26">
        <v>1603</v>
      </c>
    </row>
    <row r="1606" spans="3:3" x14ac:dyDescent="0.25">
      <c r="C1606" s="26">
        <v>1604</v>
      </c>
    </row>
    <row r="1607" spans="3:3" x14ac:dyDescent="0.25">
      <c r="C1607" s="26">
        <v>1605</v>
      </c>
    </row>
    <row r="1608" spans="3:3" x14ac:dyDescent="0.25">
      <c r="C1608" s="26">
        <v>1606</v>
      </c>
    </row>
    <row r="1609" spans="3:3" x14ac:dyDescent="0.25">
      <c r="C1609" s="26">
        <v>1607</v>
      </c>
    </row>
    <row r="1610" spans="3:3" x14ac:dyDescent="0.25">
      <c r="C1610" s="26">
        <v>1608</v>
      </c>
    </row>
    <row r="1611" spans="3:3" x14ac:dyDescent="0.25">
      <c r="C1611" s="26">
        <v>1609</v>
      </c>
    </row>
    <row r="1612" spans="3:3" x14ac:dyDescent="0.25">
      <c r="C1612" s="26">
        <v>1610</v>
      </c>
    </row>
    <row r="1613" spans="3:3" x14ac:dyDescent="0.25">
      <c r="C1613" s="26">
        <v>1611</v>
      </c>
    </row>
    <row r="1614" spans="3:3" x14ac:dyDescent="0.25">
      <c r="C1614" s="26">
        <v>1612</v>
      </c>
    </row>
    <row r="1615" spans="3:3" x14ac:dyDescent="0.25">
      <c r="C1615" s="26">
        <v>1613</v>
      </c>
    </row>
    <row r="1616" spans="3:3" x14ac:dyDescent="0.25">
      <c r="C1616" s="26">
        <v>1614</v>
      </c>
    </row>
    <row r="1617" spans="3:3" x14ac:dyDescent="0.25">
      <c r="C1617" s="26">
        <v>1615</v>
      </c>
    </row>
    <row r="1618" spans="3:3" x14ac:dyDescent="0.25">
      <c r="C1618" s="26">
        <v>1616</v>
      </c>
    </row>
    <row r="1619" spans="3:3" x14ac:dyDescent="0.25">
      <c r="C1619" s="26">
        <v>1617</v>
      </c>
    </row>
    <row r="1620" spans="3:3" x14ac:dyDescent="0.25">
      <c r="C1620" s="26">
        <v>1618</v>
      </c>
    </row>
    <row r="1621" spans="3:3" x14ac:dyDescent="0.25">
      <c r="C1621" s="26">
        <v>1619</v>
      </c>
    </row>
    <row r="1622" spans="3:3" x14ac:dyDescent="0.25">
      <c r="C1622" s="26">
        <v>1620</v>
      </c>
    </row>
    <row r="1623" spans="3:3" x14ac:dyDescent="0.25">
      <c r="C1623" s="26">
        <v>1621</v>
      </c>
    </row>
    <row r="1624" spans="3:3" x14ac:dyDescent="0.25">
      <c r="C1624" s="26">
        <v>1622</v>
      </c>
    </row>
    <row r="1625" spans="3:3" x14ac:dyDescent="0.25">
      <c r="C1625" s="26">
        <v>1623</v>
      </c>
    </row>
    <row r="1626" spans="3:3" x14ac:dyDescent="0.25">
      <c r="C1626" s="26">
        <v>1624</v>
      </c>
    </row>
    <row r="1627" spans="3:3" x14ac:dyDescent="0.25">
      <c r="C1627" s="26">
        <v>1625</v>
      </c>
    </row>
    <row r="1628" spans="3:3" x14ac:dyDescent="0.25">
      <c r="C1628" s="26">
        <v>1626</v>
      </c>
    </row>
    <row r="1629" spans="3:3" x14ac:dyDescent="0.25">
      <c r="C1629" s="26">
        <v>1627</v>
      </c>
    </row>
    <row r="1630" spans="3:3" x14ac:dyDescent="0.25">
      <c r="C1630" s="26">
        <v>1628</v>
      </c>
    </row>
    <row r="1631" spans="3:3" x14ac:dyDescent="0.25">
      <c r="C1631" s="26">
        <v>1629</v>
      </c>
    </row>
    <row r="1632" spans="3:3" x14ac:dyDescent="0.25">
      <c r="C1632" s="26">
        <v>1630</v>
      </c>
    </row>
    <row r="1633" spans="3:3" x14ac:dyDescent="0.25">
      <c r="C1633" s="26">
        <v>1631</v>
      </c>
    </row>
    <row r="1634" spans="3:3" x14ac:dyDescent="0.25">
      <c r="C1634" s="26">
        <v>1632</v>
      </c>
    </row>
    <row r="1635" spans="3:3" x14ac:dyDescent="0.25">
      <c r="C1635" s="26">
        <v>1633</v>
      </c>
    </row>
    <row r="1636" spans="3:3" x14ac:dyDescent="0.25">
      <c r="C1636" s="26">
        <v>1634</v>
      </c>
    </row>
    <row r="1637" spans="3:3" x14ac:dyDescent="0.25">
      <c r="C1637" s="26">
        <v>1635</v>
      </c>
    </row>
    <row r="1638" spans="3:3" x14ac:dyDescent="0.25">
      <c r="C1638" s="26">
        <v>1636</v>
      </c>
    </row>
    <row r="1639" spans="3:3" x14ac:dyDescent="0.25">
      <c r="C1639" s="26">
        <v>1637</v>
      </c>
    </row>
    <row r="1640" spans="3:3" x14ac:dyDescent="0.25">
      <c r="C1640" s="26">
        <v>1638</v>
      </c>
    </row>
    <row r="1641" spans="3:3" x14ac:dyDescent="0.25">
      <c r="C1641" s="26">
        <v>1639</v>
      </c>
    </row>
    <row r="1642" spans="3:3" x14ac:dyDescent="0.25">
      <c r="C1642" s="26">
        <v>1640</v>
      </c>
    </row>
    <row r="1643" spans="3:3" x14ac:dyDescent="0.25">
      <c r="C1643" s="26">
        <v>1641</v>
      </c>
    </row>
    <row r="1644" spans="3:3" x14ac:dyDescent="0.25">
      <c r="C1644" s="26">
        <v>1642</v>
      </c>
    </row>
    <row r="1645" spans="3:3" x14ac:dyDescent="0.25">
      <c r="C1645" s="26">
        <v>1643</v>
      </c>
    </row>
    <row r="1646" spans="3:3" x14ac:dyDescent="0.25">
      <c r="C1646" s="26">
        <v>1644</v>
      </c>
    </row>
    <row r="1647" spans="3:3" x14ac:dyDescent="0.25">
      <c r="C1647" s="26">
        <v>1645</v>
      </c>
    </row>
    <row r="1648" spans="3:3" x14ac:dyDescent="0.25">
      <c r="C1648" s="26">
        <v>1646</v>
      </c>
    </row>
    <row r="1649" spans="3:3" x14ac:dyDescent="0.25">
      <c r="C1649" s="26">
        <v>1647</v>
      </c>
    </row>
    <row r="1650" spans="3:3" x14ac:dyDescent="0.25">
      <c r="C1650" s="26">
        <v>1648</v>
      </c>
    </row>
    <row r="1651" spans="3:3" x14ac:dyDescent="0.25">
      <c r="C1651" s="26">
        <v>1649</v>
      </c>
    </row>
    <row r="1652" spans="3:3" x14ac:dyDescent="0.25">
      <c r="C1652" s="26">
        <v>1650</v>
      </c>
    </row>
    <row r="1653" spans="3:3" x14ac:dyDescent="0.25">
      <c r="C1653" s="26">
        <v>1651</v>
      </c>
    </row>
    <row r="1654" spans="3:3" x14ac:dyDescent="0.25">
      <c r="C1654" s="26">
        <v>1652</v>
      </c>
    </row>
    <row r="1655" spans="3:3" x14ac:dyDescent="0.25">
      <c r="C1655" s="26">
        <v>1653</v>
      </c>
    </row>
    <row r="1656" spans="3:3" x14ac:dyDescent="0.25">
      <c r="C1656" s="26">
        <v>1654</v>
      </c>
    </row>
    <row r="1657" spans="3:3" x14ac:dyDescent="0.25">
      <c r="C1657" s="26">
        <v>1655</v>
      </c>
    </row>
    <row r="1658" spans="3:3" x14ac:dyDescent="0.25">
      <c r="C1658" s="26">
        <v>1656</v>
      </c>
    </row>
    <row r="1659" spans="3:3" x14ac:dyDescent="0.25">
      <c r="C1659" s="26">
        <v>1657</v>
      </c>
    </row>
    <row r="1660" spans="3:3" x14ac:dyDescent="0.25">
      <c r="C1660" s="26">
        <v>1658</v>
      </c>
    </row>
    <row r="1661" spans="3:3" x14ac:dyDescent="0.25">
      <c r="C1661" s="26">
        <v>1659</v>
      </c>
    </row>
    <row r="1662" spans="3:3" x14ac:dyDescent="0.25">
      <c r="C1662" s="26">
        <v>1660</v>
      </c>
    </row>
    <row r="1663" spans="3:3" x14ac:dyDescent="0.25">
      <c r="C1663" s="26">
        <v>1661</v>
      </c>
    </row>
    <row r="1664" spans="3:3" x14ac:dyDescent="0.25">
      <c r="C1664" s="26">
        <v>1662</v>
      </c>
    </row>
    <row r="1665" spans="3:3" x14ac:dyDescent="0.25">
      <c r="C1665" s="26">
        <v>1663</v>
      </c>
    </row>
    <row r="1666" spans="3:3" x14ac:dyDescent="0.25">
      <c r="C1666" s="26">
        <v>1664</v>
      </c>
    </row>
    <row r="1667" spans="3:3" x14ac:dyDescent="0.25">
      <c r="C1667" s="26">
        <v>1665</v>
      </c>
    </row>
    <row r="1668" spans="3:3" x14ac:dyDescent="0.25">
      <c r="C1668" s="26">
        <v>1666</v>
      </c>
    </row>
    <row r="1669" spans="3:3" x14ac:dyDescent="0.25">
      <c r="C1669" s="26">
        <v>1667</v>
      </c>
    </row>
    <row r="1670" spans="3:3" x14ac:dyDescent="0.25">
      <c r="C1670" s="26">
        <v>1668</v>
      </c>
    </row>
    <row r="1671" spans="3:3" x14ac:dyDescent="0.25">
      <c r="C1671" s="26">
        <v>1669</v>
      </c>
    </row>
    <row r="1672" spans="3:3" x14ac:dyDescent="0.25">
      <c r="C1672" s="26">
        <v>1670</v>
      </c>
    </row>
    <row r="1673" spans="3:3" x14ac:dyDescent="0.25">
      <c r="C1673" s="26">
        <v>1671</v>
      </c>
    </row>
    <row r="1674" spans="3:3" x14ac:dyDescent="0.25">
      <c r="C1674" s="26">
        <v>1672</v>
      </c>
    </row>
    <row r="1675" spans="3:3" x14ac:dyDescent="0.25">
      <c r="C1675" s="26">
        <v>1673</v>
      </c>
    </row>
    <row r="1676" spans="3:3" x14ac:dyDescent="0.25">
      <c r="C1676" s="26">
        <v>1674</v>
      </c>
    </row>
    <row r="1677" spans="3:3" x14ac:dyDescent="0.25">
      <c r="C1677" s="26">
        <v>1675</v>
      </c>
    </row>
    <row r="1678" spans="3:3" x14ac:dyDescent="0.25">
      <c r="C1678" s="26">
        <v>1676</v>
      </c>
    </row>
    <row r="1679" spans="3:3" x14ac:dyDescent="0.25">
      <c r="C1679" s="26">
        <v>1677</v>
      </c>
    </row>
    <row r="1680" spans="3:3" x14ac:dyDescent="0.25">
      <c r="C1680" s="26">
        <v>1678</v>
      </c>
    </row>
    <row r="1681" spans="3:3" x14ac:dyDescent="0.25">
      <c r="C1681" s="26">
        <v>1679</v>
      </c>
    </row>
    <row r="1682" spans="3:3" x14ac:dyDescent="0.25">
      <c r="C1682" s="26">
        <v>1680</v>
      </c>
    </row>
    <row r="1683" spans="3:3" x14ac:dyDescent="0.25">
      <c r="C1683" s="26">
        <v>1681</v>
      </c>
    </row>
    <row r="1684" spans="3:3" x14ac:dyDescent="0.25">
      <c r="C1684" s="26">
        <v>1682</v>
      </c>
    </row>
    <row r="1685" spans="3:3" x14ac:dyDescent="0.25">
      <c r="C1685" s="26">
        <v>1683</v>
      </c>
    </row>
    <row r="1686" spans="3:3" x14ac:dyDescent="0.25">
      <c r="C1686" s="26">
        <v>1684</v>
      </c>
    </row>
    <row r="1687" spans="3:3" x14ac:dyDescent="0.25">
      <c r="C1687" s="26">
        <v>1685</v>
      </c>
    </row>
    <row r="1688" spans="3:3" x14ac:dyDescent="0.25">
      <c r="C1688" s="26">
        <v>1686</v>
      </c>
    </row>
    <row r="1689" spans="3:3" x14ac:dyDescent="0.25">
      <c r="C1689" s="26">
        <v>1687</v>
      </c>
    </row>
    <row r="1690" spans="3:3" x14ac:dyDescent="0.25">
      <c r="C1690" s="26">
        <v>1688</v>
      </c>
    </row>
    <row r="1691" spans="3:3" x14ac:dyDescent="0.25">
      <c r="C1691" s="26">
        <v>1689</v>
      </c>
    </row>
    <row r="1692" spans="3:3" x14ac:dyDescent="0.25">
      <c r="C1692" s="26">
        <v>1690</v>
      </c>
    </row>
    <row r="1693" spans="3:3" x14ac:dyDescent="0.25">
      <c r="C1693" s="26">
        <v>1691</v>
      </c>
    </row>
    <row r="1694" spans="3:3" x14ac:dyDescent="0.25">
      <c r="C1694" s="26">
        <v>1692</v>
      </c>
    </row>
    <row r="1695" spans="3:3" x14ac:dyDescent="0.25">
      <c r="C1695" s="26">
        <v>1693</v>
      </c>
    </row>
    <row r="1696" spans="3:3" x14ac:dyDescent="0.25">
      <c r="C1696" s="26">
        <v>1694</v>
      </c>
    </row>
    <row r="1697" spans="3:3" x14ac:dyDescent="0.25">
      <c r="C1697" s="26">
        <v>1695</v>
      </c>
    </row>
    <row r="1698" spans="3:3" x14ac:dyDescent="0.25">
      <c r="C1698" s="26">
        <v>1696</v>
      </c>
    </row>
    <row r="1699" spans="3:3" x14ac:dyDescent="0.25">
      <c r="C1699" s="26">
        <v>1697</v>
      </c>
    </row>
    <row r="1700" spans="3:3" x14ac:dyDescent="0.25">
      <c r="C1700" s="26">
        <v>1698</v>
      </c>
    </row>
    <row r="1701" spans="3:3" x14ac:dyDescent="0.25">
      <c r="C1701" s="26">
        <v>1699</v>
      </c>
    </row>
    <row r="1702" spans="3:3" x14ac:dyDescent="0.25">
      <c r="C1702" s="26">
        <v>1700</v>
      </c>
    </row>
    <row r="1703" spans="3:3" x14ac:dyDescent="0.25">
      <c r="C1703" s="26">
        <v>1701</v>
      </c>
    </row>
    <row r="1704" spans="3:3" x14ac:dyDescent="0.25">
      <c r="C1704" s="26">
        <v>1702</v>
      </c>
    </row>
    <row r="1705" spans="3:3" x14ac:dyDescent="0.25">
      <c r="C1705" s="26">
        <v>1703</v>
      </c>
    </row>
    <row r="1706" spans="3:3" x14ac:dyDescent="0.25">
      <c r="C1706" s="26">
        <v>1704</v>
      </c>
    </row>
    <row r="1707" spans="3:3" x14ac:dyDescent="0.25">
      <c r="C1707" s="26">
        <v>1705</v>
      </c>
    </row>
    <row r="1708" spans="3:3" x14ac:dyDescent="0.25">
      <c r="C1708" s="26">
        <v>1706</v>
      </c>
    </row>
    <row r="1709" spans="3:3" x14ac:dyDescent="0.25">
      <c r="C1709" s="26">
        <v>1707</v>
      </c>
    </row>
    <row r="1710" spans="3:3" x14ac:dyDescent="0.25">
      <c r="C1710" s="26">
        <v>1708</v>
      </c>
    </row>
    <row r="1711" spans="3:3" x14ac:dyDescent="0.25">
      <c r="C1711" s="26">
        <v>1709</v>
      </c>
    </row>
    <row r="1712" spans="3:3" x14ac:dyDescent="0.25">
      <c r="C1712" s="26">
        <v>1710</v>
      </c>
    </row>
    <row r="1713" spans="3:3" x14ac:dyDescent="0.25">
      <c r="C1713" s="26">
        <v>1711</v>
      </c>
    </row>
    <row r="1714" spans="3:3" x14ac:dyDescent="0.25">
      <c r="C1714" s="26">
        <v>1712</v>
      </c>
    </row>
    <row r="1715" spans="3:3" x14ac:dyDescent="0.25">
      <c r="C1715" s="26">
        <v>1713</v>
      </c>
    </row>
    <row r="1716" spans="3:3" x14ac:dyDescent="0.25">
      <c r="C1716" s="26">
        <v>1714</v>
      </c>
    </row>
    <row r="1717" spans="3:3" x14ac:dyDescent="0.25">
      <c r="C1717" s="26">
        <v>1715</v>
      </c>
    </row>
    <row r="1718" spans="3:3" x14ac:dyDescent="0.25">
      <c r="C1718" s="26">
        <v>1716</v>
      </c>
    </row>
    <row r="1719" spans="3:3" x14ac:dyDescent="0.25">
      <c r="C1719" s="26">
        <v>1717</v>
      </c>
    </row>
    <row r="1720" spans="3:3" x14ac:dyDescent="0.25">
      <c r="C1720" s="26">
        <v>1718</v>
      </c>
    </row>
    <row r="1721" spans="3:3" x14ac:dyDescent="0.25">
      <c r="C1721" s="26">
        <v>1719</v>
      </c>
    </row>
    <row r="1722" spans="3:3" x14ac:dyDescent="0.25">
      <c r="C1722" s="26">
        <v>1720</v>
      </c>
    </row>
    <row r="1723" spans="3:3" x14ac:dyDescent="0.25">
      <c r="C1723" s="26">
        <v>1721</v>
      </c>
    </row>
    <row r="1724" spans="3:3" x14ac:dyDescent="0.25">
      <c r="C1724" s="26">
        <v>1722</v>
      </c>
    </row>
    <row r="1725" spans="3:3" x14ac:dyDescent="0.25">
      <c r="C1725" s="26">
        <v>1723</v>
      </c>
    </row>
    <row r="1726" spans="3:3" x14ac:dyDescent="0.25">
      <c r="C1726" s="26">
        <v>1724</v>
      </c>
    </row>
    <row r="1727" spans="3:3" x14ac:dyDescent="0.25">
      <c r="C1727" s="26">
        <v>1725</v>
      </c>
    </row>
    <row r="1728" spans="3:3" x14ac:dyDescent="0.25">
      <c r="C1728" s="26">
        <v>1726</v>
      </c>
    </row>
    <row r="1729" spans="3:3" x14ac:dyDescent="0.25">
      <c r="C1729" s="26">
        <v>1727</v>
      </c>
    </row>
    <row r="1730" spans="3:3" x14ac:dyDescent="0.25">
      <c r="C1730" s="26">
        <v>1728</v>
      </c>
    </row>
    <row r="1731" spans="3:3" x14ac:dyDescent="0.25">
      <c r="C1731" s="26">
        <v>1729</v>
      </c>
    </row>
    <row r="1732" spans="3:3" x14ac:dyDescent="0.25">
      <c r="C1732" s="26">
        <v>1730</v>
      </c>
    </row>
    <row r="1733" spans="3:3" x14ac:dyDescent="0.25">
      <c r="C1733" s="26">
        <v>1731</v>
      </c>
    </row>
    <row r="1734" spans="3:3" x14ac:dyDescent="0.25">
      <c r="C1734" s="26">
        <v>1732</v>
      </c>
    </row>
    <row r="1735" spans="3:3" x14ac:dyDescent="0.25">
      <c r="C1735" s="26">
        <v>1733</v>
      </c>
    </row>
    <row r="1736" spans="3:3" x14ac:dyDescent="0.25">
      <c r="C1736" s="26">
        <v>1734</v>
      </c>
    </row>
    <row r="1737" spans="3:3" x14ac:dyDescent="0.25">
      <c r="C1737" s="26">
        <v>1735</v>
      </c>
    </row>
    <row r="1738" spans="3:3" x14ac:dyDescent="0.25">
      <c r="C1738" s="26">
        <v>1736</v>
      </c>
    </row>
    <row r="1739" spans="3:3" x14ac:dyDescent="0.25">
      <c r="C1739" s="26">
        <v>1737</v>
      </c>
    </row>
    <row r="1740" spans="3:3" x14ac:dyDescent="0.25">
      <c r="C1740" s="26">
        <v>1738</v>
      </c>
    </row>
    <row r="1741" spans="3:3" x14ac:dyDescent="0.25">
      <c r="C1741" s="26">
        <v>1739</v>
      </c>
    </row>
    <row r="1742" spans="3:3" x14ac:dyDescent="0.25">
      <c r="C1742" s="26">
        <v>1740</v>
      </c>
    </row>
    <row r="1743" spans="3:3" x14ac:dyDescent="0.25">
      <c r="C1743" s="26">
        <v>1741</v>
      </c>
    </row>
    <row r="1744" spans="3:3" x14ac:dyDescent="0.25">
      <c r="C1744" s="26">
        <v>1742</v>
      </c>
    </row>
    <row r="1745" spans="3:3" x14ac:dyDescent="0.25">
      <c r="C1745" s="26">
        <v>1743</v>
      </c>
    </row>
    <row r="1746" spans="3:3" x14ac:dyDescent="0.25">
      <c r="C1746" s="26">
        <v>1744</v>
      </c>
    </row>
    <row r="1747" spans="3:3" x14ac:dyDescent="0.25">
      <c r="C1747" s="26">
        <v>1745</v>
      </c>
    </row>
    <row r="1748" spans="3:3" x14ac:dyDescent="0.25">
      <c r="C1748" s="26">
        <v>1746</v>
      </c>
    </row>
    <row r="1749" spans="3:3" x14ac:dyDescent="0.25">
      <c r="C1749" s="26">
        <v>1747</v>
      </c>
    </row>
    <row r="1750" spans="3:3" x14ac:dyDescent="0.25">
      <c r="C1750" s="26">
        <v>1748</v>
      </c>
    </row>
    <row r="1751" spans="3:3" x14ac:dyDescent="0.25">
      <c r="C1751" s="26">
        <v>1749</v>
      </c>
    </row>
    <row r="1752" spans="3:3" x14ac:dyDescent="0.25">
      <c r="C1752" s="26">
        <v>1750</v>
      </c>
    </row>
    <row r="1753" spans="3:3" x14ac:dyDescent="0.25">
      <c r="C1753" s="26">
        <v>1751</v>
      </c>
    </row>
    <row r="1754" spans="3:3" x14ac:dyDescent="0.25">
      <c r="C1754" s="26">
        <v>1752</v>
      </c>
    </row>
    <row r="1755" spans="3:3" x14ac:dyDescent="0.25">
      <c r="C1755" s="26">
        <v>1753</v>
      </c>
    </row>
    <row r="1756" spans="3:3" x14ac:dyDescent="0.25">
      <c r="C1756" s="26">
        <v>1754</v>
      </c>
    </row>
    <row r="1757" spans="3:3" x14ac:dyDescent="0.25">
      <c r="C1757" s="26">
        <v>1755</v>
      </c>
    </row>
    <row r="1758" spans="3:3" x14ac:dyDescent="0.25">
      <c r="C1758" s="26">
        <v>1756</v>
      </c>
    </row>
    <row r="1759" spans="3:3" x14ac:dyDescent="0.25">
      <c r="C1759" s="26">
        <v>1757</v>
      </c>
    </row>
    <row r="1760" spans="3:3" x14ac:dyDescent="0.25">
      <c r="C1760" s="26">
        <v>1758</v>
      </c>
    </row>
    <row r="1761" spans="3:3" x14ac:dyDescent="0.25">
      <c r="C1761" s="26">
        <v>1759</v>
      </c>
    </row>
    <row r="1762" spans="3:3" x14ac:dyDescent="0.25">
      <c r="C1762" s="26">
        <v>1760</v>
      </c>
    </row>
    <row r="1763" spans="3:3" x14ac:dyDescent="0.25">
      <c r="C1763" s="26">
        <v>1761</v>
      </c>
    </row>
    <row r="1764" spans="3:3" x14ac:dyDescent="0.25">
      <c r="C1764" s="26">
        <v>1762</v>
      </c>
    </row>
    <row r="1765" spans="3:3" x14ac:dyDescent="0.25">
      <c r="C1765" s="26">
        <v>1763</v>
      </c>
    </row>
    <row r="1766" spans="3:3" x14ac:dyDescent="0.25">
      <c r="C1766" s="26">
        <v>1764</v>
      </c>
    </row>
    <row r="1767" spans="3:3" x14ac:dyDescent="0.25">
      <c r="C1767" s="26">
        <v>1765</v>
      </c>
    </row>
    <row r="1768" spans="3:3" x14ac:dyDescent="0.25">
      <c r="C1768" s="26">
        <v>1766</v>
      </c>
    </row>
    <row r="1769" spans="3:3" x14ac:dyDescent="0.25">
      <c r="C1769" s="26">
        <v>1767</v>
      </c>
    </row>
    <row r="1770" spans="3:3" x14ac:dyDescent="0.25">
      <c r="C1770" s="26">
        <v>1768</v>
      </c>
    </row>
    <row r="1771" spans="3:3" x14ac:dyDescent="0.25">
      <c r="C1771" s="26">
        <v>1769</v>
      </c>
    </row>
    <row r="1772" spans="3:3" x14ac:dyDescent="0.25">
      <c r="C1772" s="26">
        <v>1770</v>
      </c>
    </row>
    <row r="1773" spans="3:3" x14ac:dyDescent="0.25">
      <c r="C1773" s="26">
        <v>1771</v>
      </c>
    </row>
    <row r="1774" spans="3:3" x14ac:dyDescent="0.25">
      <c r="C1774" s="26">
        <v>1772</v>
      </c>
    </row>
    <row r="1775" spans="3:3" x14ac:dyDescent="0.25">
      <c r="C1775" s="26">
        <v>1773</v>
      </c>
    </row>
    <row r="1776" spans="3:3" x14ac:dyDescent="0.25">
      <c r="C1776" s="26">
        <v>1774</v>
      </c>
    </row>
    <row r="1777" spans="3:3" x14ac:dyDescent="0.25">
      <c r="C1777" s="26">
        <v>1775</v>
      </c>
    </row>
    <row r="1778" spans="3:3" x14ac:dyDescent="0.25">
      <c r="C1778" s="26">
        <v>1776</v>
      </c>
    </row>
    <row r="1779" spans="3:3" x14ac:dyDescent="0.25">
      <c r="C1779" s="26">
        <v>1777</v>
      </c>
    </row>
    <row r="1780" spans="3:3" x14ac:dyDescent="0.25">
      <c r="C1780" s="26">
        <v>1778</v>
      </c>
    </row>
    <row r="1781" spans="3:3" x14ac:dyDescent="0.25">
      <c r="C1781" s="26">
        <v>1779</v>
      </c>
    </row>
    <row r="1782" spans="3:3" x14ac:dyDescent="0.25">
      <c r="C1782" s="26">
        <v>1780</v>
      </c>
    </row>
    <row r="1783" spans="3:3" x14ac:dyDescent="0.25">
      <c r="C1783" s="26">
        <v>1781</v>
      </c>
    </row>
    <row r="1784" spans="3:3" x14ac:dyDescent="0.25">
      <c r="C1784" s="26">
        <v>1782</v>
      </c>
    </row>
    <row r="1785" spans="3:3" x14ac:dyDescent="0.25">
      <c r="C1785" s="26">
        <v>1783</v>
      </c>
    </row>
    <row r="1786" spans="3:3" x14ac:dyDescent="0.25">
      <c r="C1786" s="26">
        <v>1784</v>
      </c>
    </row>
    <row r="1787" spans="3:3" x14ac:dyDescent="0.25">
      <c r="C1787" s="26">
        <v>1785</v>
      </c>
    </row>
    <row r="1788" spans="3:3" x14ac:dyDescent="0.25">
      <c r="C1788" s="26">
        <v>1786</v>
      </c>
    </row>
    <row r="1789" spans="3:3" x14ac:dyDescent="0.25">
      <c r="C1789" s="26">
        <v>1787</v>
      </c>
    </row>
    <row r="1790" spans="3:3" x14ac:dyDescent="0.25">
      <c r="C1790" s="26">
        <v>1788</v>
      </c>
    </row>
    <row r="1791" spans="3:3" x14ac:dyDescent="0.25">
      <c r="C1791" s="26">
        <v>1789</v>
      </c>
    </row>
    <row r="1792" spans="3:3" x14ac:dyDescent="0.25">
      <c r="C1792" s="26">
        <v>1790</v>
      </c>
    </row>
    <row r="1793" spans="3:3" x14ac:dyDescent="0.25">
      <c r="C1793" s="26">
        <v>1791</v>
      </c>
    </row>
    <row r="1794" spans="3:3" x14ac:dyDescent="0.25">
      <c r="C1794" s="26">
        <v>1792</v>
      </c>
    </row>
    <row r="1795" spans="3:3" x14ac:dyDescent="0.25">
      <c r="C1795" s="26">
        <v>1793</v>
      </c>
    </row>
    <row r="1796" spans="3:3" x14ac:dyDescent="0.25">
      <c r="C1796" s="26">
        <v>1794</v>
      </c>
    </row>
    <row r="1797" spans="3:3" x14ac:dyDescent="0.25">
      <c r="C1797" s="26">
        <v>1795</v>
      </c>
    </row>
    <row r="1798" spans="3:3" x14ac:dyDescent="0.25">
      <c r="C1798" s="26">
        <v>1796</v>
      </c>
    </row>
    <row r="1799" spans="3:3" x14ac:dyDescent="0.25">
      <c r="C1799" s="26">
        <v>1797</v>
      </c>
    </row>
    <row r="1800" spans="3:3" x14ac:dyDescent="0.25">
      <c r="C1800" s="26">
        <v>1798</v>
      </c>
    </row>
    <row r="1801" spans="3:3" x14ac:dyDescent="0.25">
      <c r="C1801" s="26">
        <v>1799</v>
      </c>
    </row>
    <row r="1802" spans="3:3" x14ac:dyDescent="0.25">
      <c r="C1802" s="26">
        <v>1800</v>
      </c>
    </row>
    <row r="1803" spans="3:3" x14ac:dyDescent="0.25">
      <c r="C1803" s="26">
        <v>1801</v>
      </c>
    </row>
    <row r="1804" spans="3:3" x14ac:dyDescent="0.25">
      <c r="C1804" s="26">
        <v>1802</v>
      </c>
    </row>
    <row r="1805" spans="3:3" x14ac:dyDescent="0.25">
      <c r="C1805" s="26">
        <v>1803</v>
      </c>
    </row>
    <row r="1806" spans="3:3" x14ac:dyDescent="0.25">
      <c r="C1806" s="26">
        <v>1804</v>
      </c>
    </row>
    <row r="1807" spans="3:3" x14ac:dyDescent="0.25">
      <c r="C1807" s="26">
        <v>1805</v>
      </c>
    </row>
    <row r="1808" spans="3:3" x14ac:dyDescent="0.25">
      <c r="C1808" s="26">
        <v>1806</v>
      </c>
    </row>
    <row r="1809" spans="3:3" x14ac:dyDescent="0.25">
      <c r="C1809" s="26">
        <v>1807</v>
      </c>
    </row>
    <row r="1810" spans="3:3" x14ac:dyDescent="0.25">
      <c r="C1810" s="26">
        <v>1808</v>
      </c>
    </row>
    <row r="1811" spans="3:3" x14ac:dyDescent="0.25">
      <c r="C1811" s="26">
        <v>1809</v>
      </c>
    </row>
    <row r="1812" spans="3:3" x14ac:dyDescent="0.25">
      <c r="C1812" s="26">
        <v>1810</v>
      </c>
    </row>
    <row r="1813" spans="3:3" x14ac:dyDescent="0.25">
      <c r="C1813" s="26">
        <v>1811</v>
      </c>
    </row>
    <row r="1814" spans="3:3" x14ac:dyDescent="0.25">
      <c r="C1814" s="26">
        <v>1812</v>
      </c>
    </row>
    <row r="1815" spans="3:3" x14ac:dyDescent="0.25">
      <c r="C1815" s="26">
        <v>1813</v>
      </c>
    </row>
    <row r="1816" spans="3:3" x14ac:dyDescent="0.25">
      <c r="C1816" s="26">
        <v>1814</v>
      </c>
    </row>
    <row r="1817" spans="3:3" x14ac:dyDescent="0.25">
      <c r="C1817" s="26">
        <v>1815</v>
      </c>
    </row>
    <row r="1818" spans="3:3" x14ac:dyDescent="0.25">
      <c r="C1818" s="26">
        <v>1816</v>
      </c>
    </row>
    <row r="1819" spans="3:3" x14ac:dyDescent="0.25">
      <c r="C1819" s="26">
        <v>1817</v>
      </c>
    </row>
    <row r="1820" spans="3:3" x14ac:dyDescent="0.25">
      <c r="C1820" s="26">
        <v>1818</v>
      </c>
    </row>
    <row r="1821" spans="3:3" x14ac:dyDescent="0.25">
      <c r="C1821" s="26">
        <v>1819</v>
      </c>
    </row>
    <row r="1822" spans="3:3" x14ac:dyDescent="0.25">
      <c r="C1822" s="26">
        <v>1820</v>
      </c>
    </row>
    <row r="1823" spans="3:3" x14ac:dyDescent="0.25">
      <c r="C1823" s="26">
        <v>1821</v>
      </c>
    </row>
    <row r="1824" spans="3:3" x14ac:dyDescent="0.25">
      <c r="C1824" s="26">
        <v>1822</v>
      </c>
    </row>
    <row r="1825" spans="3:3" x14ac:dyDescent="0.25">
      <c r="C1825" s="26">
        <v>1823</v>
      </c>
    </row>
    <row r="1826" spans="3:3" x14ac:dyDescent="0.25">
      <c r="C1826" s="26">
        <v>1824</v>
      </c>
    </row>
    <row r="1827" spans="3:3" x14ac:dyDescent="0.25">
      <c r="C1827" s="26">
        <v>1825</v>
      </c>
    </row>
    <row r="1828" spans="3:3" x14ac:dyDescent="0.25">
      <c r="C1828" s="26">
        <v>1826</v>
      </c>
    </row>
    <row r="1829" spans="3:3" x14ac:dyDescent="0.25">
      <c r="C1829" s="26">
        <v>1827</v>
      </c>
    </row>
    <row r="1830" spans="3:3" x14ac:dyDescent="0.25">
      <c r="C1830" s="26">
        <v>1828</v>
      </c>
    </row>
    <row r="1831" spans="3:3" x14ac:dyDescent="0.25">
      <c r="C1831" s="26">
        <v>1829</v>
      </c>
    </row>
    <row r="1832" spans="3:3" x14ac:dyDescent="0.25">
      <c r="C1832" s="26">
        <v>1830</v>
      </c>
    </row>
    <row r="1833" spans="3:3" x14ac:dyDescent="0.25">
      <c r="C1833" s="26">
        <v>1831</v>
      </c>
    </row>
    <row r="1834" spans="3:3" x14ac:dyDescent="0.25">
      <c r="C1834" s="26">
        <v>1832</v>
      </c>
    </row>
    <row r="1835" spans="3:3" x14ac:dyDescent="0.25">
      <c r="C1835" s="26">
        <v>1833</v>
      </c>
    </row>
    <row r="1836" spans="3:3" x14ac:dyDescent="0.25">
      <c r="C1836" s="26">
        <v>1834</v>
      </c>
    </row>
    <row r="1837" spans="3:3" x14ac:dyDescent="0.25">
      <c r="C1837" s="26">
        <v>1835</v>
      </c>
    </row>
    <row r="1838" spans="3:3" x14ac:dyDescent="0.25">
      <c r="C1838" s="26">
        <v>1836</v>
      </c>
    </row>
    <row r="1839" spans="3:3" x14ac:dyDescent="0.25">
      <c r="C1839" s="26">
        <v>1837</v>
      </c>
    </row>
    <row r="1840" spans="3:3" x14ac:dyDescent="0.25">
      <c r="C1840" s="26">
        <v>1838</v>
      </c>
    </row>
    <row r="1841" spans="3:3" x14ac:dyDescent="0.25">
      <c r="C1841" s="26">
        <v>1839</v>
      </c>
    </row>
    <row r="1842" spans="3:3" x14ac:dyDescent="0.25">
      <c r="C1842" s="26">
        <v>1840</v>
      </c>
    </row>
    <row r="1843" spans="3:3" x14ac:dyDescent="0.25">
      <c r="C1843" s="26">
        <v>1841</v>
      </c>
    </row>
    <row r="1844" spans="3:3" x14ac:dyDescent="0.25">
      <c r="C1844" s="26">
        <v>1842</v>
      </c>
    </row>
    <row r="1845" spans="3:3" x14ac:dyDescent="0.25">
      <c r="C1845" s="26">
        <v>1843</v>
      </c>
    </row>
    <row r="1846" spans="3:3" x14ac:dyDescent="0.25">
      <c r="C1846" s="26">
        <v>1844</v>
      </c>
    </row>
    <row r="1847" spans="3:3" x14ac:dyDescent="0.25">
      <c r="C1847" s="26">
        <v>1845</v>
      </c>
    </row>
    <row r="1848" spans="3:3" x14ac:dyDescent="0.25">
      <c r="C1848" s="26">
        <v>1846</v>
      </c>
    </row>
    <row r="1849" spans="3:3" x14ac:dyDescent="0.25">
      <c r="C1849" s="26">
        <v>1847</v>
      </c>
    </row>
    <row r="1850" spans="3:3" x14ac:dyDescent="0.25">
      <c r="C1850" s="26">
        <v>1848</v>
      </c>
    </row>
    <row r="1851" spans="3:3" x14ac:dyDescent="0.25">
      <c r="C1851" s="26">
        <v>1849</v>
      </c>
    </row>
    <row r="1852" spans="3:3" x14ac:dyDescent="0.25">
      <c r="C1852" s="26">
        <v>1850</v>
      </c>
    </row>
    <row r="1853" spans="3:3" x14ac:dyDescent="0.25">
      <c r="C1853" s="26">
        <v>1851</v>
      </c>
    </row>
    <row r="1854" spans="3:3" x14ac:dyDescent="0.25">
      <c r="C1854" s="26">
        <v>1852</v>
      </c>
    </row>
    <row r="1855" spans="3:3" x14ac:dyDescent="0.25">
      <c r="C1855" s="26">
        <v>1853</v>
      </c>
    </row>
    <row r="1856" spans="3:3" x14ac:dyDescent="0.25">
      <c r="C1856" s="26">
        <v>1854</v>
      </c>
    </row>
    <row r="1857" spans="3:3" x14ac:dyDescent="0.25">
      <c r="C1857" s="26">
        <v>1855</v>
      </c>
    </row>
    <row r="1858" spans="3:3" x14ac:dyDescent="0.25">
      <c r="C1858" s="26">
        <v>1856</v>
      </c>
    </row>
    <row r="1859" spans="3:3" x14ac:dyDescent="0.25">
      <c r="C1859" s="26">
        <v>1857</v>
      </c>
    </row>
    <row r="1860" spans="3:3" x14ac:dyDescent="0.25">
      <c r="C1860" s="26">
        <v>1858</v>
      </c>
    </row>
    <row r="1861" spans="3:3" x14ac:dyDescent="0.25">
      <c r="C1861" s="26">
        <v>1859</v>
      </c>
    </row>
    <row r="1862" spans="3:3" x14ac:dyDescent="0.25">
      <c r="C1862" s="26">
        <v>1860</v>
      </c>
    </row>
    <row r="1863" spans="3:3" x14ac:dyDescent="0.25">
      <c r="C1863" s="26">
        <v>1861</v>
      </c>
    </row>
    <row r="1864" spans="3:3" x14ac:dyDescent="0.25">
      <c r="C1864" s="26">
        <v>1862</v>
      </c>
    </row>
    <row r="1865" spans="3:3" x14ac:dyDescent="0.25">
      <c r="C1865" s="26">
        <v>1863</v>
      </c>
    </row>
    <row r="1866" spans="3:3" x14ac:dyDescent="0.25">
      <c r="C1866" s="26">
        <v>1864</v>
      </c>
    </row>
    <row r="1867" spans="3:3" x14ac:dyDescent="0.25">
      <c r="C1867" s="26">
        <v>1865</v>
      </c>
    </row>
    <row r="1868" spans="3:3" x14ac:dyDescent="0.25">
      <c r="C1868" s="26">
        <v>1866</v>
      </c>
    </row>
    <row r="1869" spans="3:3" x14ac:dyDescent="0.25">
      <c r="C1869" s="26">
        <v>1867</v>
      </c>
    </row>
    <row r="1870" spans="3:3" x14ac:dyDescent="0.25">
      <c r="C1870" s="26">
        <v>1868</v>
      </c>
    </row>
    <row r="1871" spans="3:3" x14ac:dyDescent="0.25">
      <c r="C1871" s="26">
        <v>1869</v>
      </c>
    </row>
    <row r="1872" spans="3:3" x14ac:dyDescent="0.25">
      <c r="C1872" s="26">
        <v>1870</v>
      </c>
    </row>
    <row r="1873" spans="3:3" x14ac:dyDescent="0.25">
      <c r="C1873" s="26">
        <v>1871</v>
      </c>
    </row>
    <row r="1874" spans="3:3" x14ac:dyDescent="0.25">
      <c r="C1874" s="26">
        <v>1872</v>
      </c>
    </row>
    <row r="1875" spans="3:3" x14ac:dyDescent="0.25">
      <c r="C1875" s="26">
        <v>1873</v>
      </c>
    </row>
    <row r="1876" spans="3:3" x14ac:dyDescent="0.25">
      <c r="C1876" s="26">
        <v>1874</v>
      </c>
    </row>
    <row r="1877" spans="3:3" x14ac:dyDescent="0.25">
      <c r="C1877" s="26">
        <v>1875</v>
      </c>
    </row>
    <row r="1878" spans="3:3" x14ac:dyDescent="0.25">
      <c r="C1878" s="26">
        <v>1876</v>
      </c>
    </row>
    <row r="1879" spans="3:3" x14ac:dyDescent="0.25">
      <c r="C1879" s="26">
        <v>1877</v>
      </c>
    </row>
    <row r="1880" spans="3:3" x14ac:dyDescent="0.25">
      <c r="C1880" s="26">
        <v>1878</v>
      </c>
    </row>
    <row r="1881" spans="3:3" x14ac:dyDescent="0.25">
      <c r="C1881" s="26">
        <v>1879</v>
      </c>
    </row>
    <row r="1882" spans="3:3" x14ac:dyDescent="0.25">
      <c r="C1882" s="26">
        <v>1880</v>
      </c>
    </row>
    <row r="1883" spans="3:3" x14ac:dyDescent="0.25">
      <c r="C1883" s="26">
        <v>1881</v>
      </c>
    </row>
    <row r="1884" spans="3:3" x14ac:dyDescent="0.25">
      <c r="C1884" s="26">
        <v>1882</v>
      </c>
    </row>
    <row r="1885" spans="3:3" x14ac:dyDescent="0.25">
      <c r="C1885" s="26">
        <v>1883</v>
      </c>
    </row>
    <row r="1886" spans="3:3" x14ac:dyDescent="0.25">
      <c r="C1886" s="26">
        <v>1884</v>
      </c>
    </row>
    <row r="1887" spans="3:3" x14ac:dyDescent="0.25">
      <c r="C1887" s="26">
        <v>1885</v>
      </c>
    </row>
    <row r="1888" spans="3:3" x14ac:dyDescent="0.25">
      <c r="C1888" s="26">
        <v>1886</v>
      </c>
    </row>
    <row r="1889" spans="3:3" x14ac:dyDescent="0.25">
      <c r="C1889" s="26">
        <v>1887</v>
      </c>
    </row>
    <row r="1890" spans="3:3" x14ac:dyDescent="0.25">
      <c r="C1890" s="26">
        <v>1888</v>
      </c>
    </row>
    <row r="1891" spans="3:3" x14ac:dyDescent="0.25">
      <c r="C1891" s="26">
        <v>1889</v>
      </c>
    </row>
    <row r="1892" spans="3:3" x14ac:dyDescent="0.25">
      <c r="C1892" s="26">
        <v>1890</v>
      </c>
    </row>
    <row r="1893" spans="3:3" x14ac:dyDescent="0.25">
      <c r="C1893" s="26">
        <v>1891</v>
      </c>
    </row>
    <row r="1894" spans="3:3" x14ac:dyDescent="0.25">
      <c r="C1894" s="26">
        <v>1892</v>
      </c>
    </row>
    <row r="1895" spans="3:3" x14ac:dyDescent="0.25">
      <c r="C1895" s="26">
        <v>1893</v>
      </c>
    </row>
    <row r="1896" spans="3:3" x14ac:dyDescent="0.25">
      <c r="C1896" s="26">
        <v>1894</v>
      </c>
    </row>
    <row r="1897" spans="3:3" x14ac:dyDescent="0.25">
      <c r="C1897" s="26">
        <v>1895</v>
      </c>
    </row>
    <row r="1898" spans="3:3" x14ac:dyDescent="0.25">
      <c r="C1898" s="26">
        <v>1896</v>
      </c>
    </row>
    <row r="1899" spans="3:3" x14ac:dyDescent="0.25">
      <c r="C1899" s="26">
        <v>1897</v>
      </c>
    </row>
    <row r="1900" spans="3:3" x14ac:dyDescent="0.25">
      <c r="C1900" s="26">
        <v>1898</v>
      </c>
    </row>
    <row r="1901" spans="3:3" x14ac:dyDescent="0.25">
      <c r="C1901" s="26">
        <v>1899</v>
      </c>
    </row>
    <row r="1902" spans="3:3" x14ac:dyDescent="0.25">
      <c r="C1902" s="26">
        <v>1900</v>
      </c>
    </row>
    <row r="1903" spans="3:3" x14ac:dyDescent="0.25">
      <c r="C1903" s="26">
        <v>1901</v>
      </c>
    </row>
    <row r="1904" spans="3:3" x14ac:dyDescent="0.25">
      <c r="C1904" s="26">
        <v>1902</v>
      </c>
    </row>
    <row r="1905" spans="3:3" x14ac:dyDescent="0.25">
      <c r="C1905" s="26">
        <v>1903</v>
      </c>
    </row>
    <row r="1906" spans="3:3" x14ac:dyDescent="0.25">
      <c r="C1906" s="26">
        <v>1904</v>
      </c>
    </row>
    <row r="1907" spans="3:3" x14ac:dyDescent="0.25">
      <c r="C1907" s="26">
        <v>1905</v>
      </c>
    </row>
    <row r="1908" spans="3:3" x14ac:dyDescent="0.25">
      <c r="C1908" s="26">
        <v>1906</v>
      </c>
    </row>
    <row r="1909" spans="3:3" x14ac:dyDescent="0.25">
      <c r="C1909" s="26">
        <v>1907</v>
      </c>
    </row>
    <row r="1910" spans="3:3" x14ac:dyDescent="0.25">
      <c r="C1910" s="26">
        <v>1908</v>
      </c>
    </row>
    <row r="1911" spans="3:3" x14ac:dyDescent="0.25">
      <c r="C1911" s="26">
        <v>1909</v>
      </c>
    </row>
    <row r="1912" spans="3:3" x14ac:dyDescent="0.25">
      <c r="C1912" s="26">
        <v>1910</v>
      </c>
    </row>
    <row r="1913" spans="3:3" x14ac:dyDescent="0.25">
      <c r="C1913" s="26">
        <v>1911</v>
      </c>
    </row>
    <row r="1914" spans="3:3" x14ac:dyDescent="0.25">
      <c r="C1914" s="26">
        <v>1912</v>
      </c>
    </row>
    <row r="1915" spans="3:3" x14ac:dyDescent="0.25">
      <c r="C1915" s="26">
        <v>1913</v>
      </c>
    </row>
    <row r="1916" spans="3:3" x14ac:dyDescent="0.25">
      <c r="C1916" s="26">
        <v>1914</v>
      </c>
    </row>
    <row r="1917" spans="3:3" x14ac:dyDescent="0.25">
      <c r="C1917" s="26">
        <v>1915</v>
      </c>
    </row>
    <row r="1918" spans="3:3" x14ac:dyDescent="0.25">
      <c r="C1918" s="26">
        <v>1916</v>
      </c>
    </row>
    <row r="1919" spans="3:3" x14ac:dyDescent="0.25">
      <c r="C1919" s="26">
        <v>1917</v>
      </c>
    </row>
    <row r="1920" spans="3:3" x14ac:dyDescent="0.25">
      <c r="C1920" s="26">
        <v>1918</v>
      </c>
    </row>
    <row r="1921" spans="3:3" x14ac:dyDescent="0.25">
      <c r="C1921" s="26">
        <v>1919</v>
      </c>
    </row>
    <row r="1922" spans="3:3" x14ac:dyDescent="0.25">
      <c r="C1922" s="26">
        <v>1920</v>
      </c>
    </row>
    <row r="1923" spans="3:3" x14ac:dyDescent="0.25">
      <c r="C1923" s="26">
        <v>1921</v>
      </c>
    </row>
    <row r="1924" spans="3:3" x14ac:dyDescent="0.25">
      <c r="C1924" s="26">
        <v>1922</v>
      </c>
    </row>
    <row r="1925" spans="3:3" x14ac:dyDescent="0.25">
      <c r="C1925" s="26">
        <v>1923</v>
      </c>
    </row>
    <row r="1926" spans="3:3" x14ac:dyDescent="0.25">
      <c r="C1926" s="26">
        <v>1924</v>
      </c>
    </row>
    <row r="1927" spans="3:3" x14ac:dyDescent="0.25">
      <c r="C1927" s="26">
        <v>1925</v>
      </c>
    </row>
    <row r="1928" spans="3:3" x14ac:dyDescent="0.25">
      <c r="C1928" s="26">
        <v>1926</v>
      </c>
    </row>
    <row r="1929" spans="3:3" x14ac:dyDescent="0.25">
      <c r="C1929" s="26">
        <v>1927</v>
      </c>
    </row>
    <row r="1930" spans="3:3" x14ac:dyDescent="0.25">
      <c r="C1930" s="26">
        <v>1928</v>
      </c>
    </row>
    <row r="1931" spans="3:3" x14ac:dyDescent="0.25">
      <c r="C1931" s="26">
        <v>1929</v>
      </c>
    </row>
    <row r="1932" spans="3:3" x14ac:dyDescent="0.25">
      <c r="C1932" s="26">
        <v>1930</v>
      </c>
    </row>
    <row r="1933" spans="3:3" x14ac:dyDescent="0.25">
      <c r="C1933" s="26">
        <v>1931</v>
      </c>
    </row>
    <row r="1934" spans="3:3" x14ac:dyDescent="0.25">
      <c r="C1934" s="26">
        <v>1932</v>
      </c>
    </row>
    <row r="1935" spans="3:3" x14ac:dyDescent="0.25">
      <c r="C1935" s="26">
        <v>1933</v>
      </c>
    </row>
    <row r="1936" spans="3:3" x14ac:dyDescent="0.25">
      <c r="C1936" s="26">
        <v>1934</v>
      </c>
    </row>
    <row r="1937" spans="3:3" x14ac:dyDescent="0.25">
      <c r="C1937" s="26">
        <v>1935</v>
      </c>
    </row>
    <row r="1938" spans="3:3" x14ac:dyDescent="0.25">
      <c r="C1938" s="26">
        <v>1936</v>
      </c>
    </row>
    <row r="1939" spans="3:3" x14ac:dyDescent="0.25">
      <c r="C1939" s="26">
        <v>1937</v>
      </c>
    </row>
    <row r="1940" spans="3:3" x14ac:dyDescent="0.25">
      <c r="C1940" s="26">
        <v>1938</v>
      </c>
    </row>
    <row r="1941" spans="3:3" x14ac:dyDescent="0.25">
      <c r="C1941" s="26">
        <v>1939</v>
      </c>
    </row>
    <row r="1942" spans="3:3" x14ac:dyDescent="0.25">
      <c r="C1942" s="26">
        <v>1940</v>
      </c>
    </row>
    <row r="1943" spans="3:3" x14ac:dyDescent="0.25">
      <c r="C1943" s="26">
        <v>1941</v>
      </c>
    </row>
    <row r="1944" spans="3:3" x14ac:dyDescent="0.25">
      <c r="C1944" s="26">
        <v>1942</v>
      </c>
    </row>
    <row r="1945" spans="3:3" x14ac:dyDescent="0.25">
      <c r="C1945" s="26">
        <v>1943</v>
      </c>
    </row>
    <row r="1946" spans="3:3" x14ac:dyDescent="0.25">
      <c r="C1946" s="26">
        <v>1944</v>
      </c>
    </row>
    <row r="1947" spans="3:3" x14ac:dyDescent="0.25">
      <c r="C1947" s="26">
        <v>1945</v>
      </c>
    </row>
    <row r="1948" spans="3:3" x14ac:dyDescent="0.25">
      <c r="C1948" s="26">
        <v>1946</v>
      </c>
    </row>
    <row r="1949" spans="3:3" x14ac:dyDescent="0.25">
      <c r="C1949" s="26">
        <v>1947</v>
      </c>
    </row>
    <row r="1950" spans="3:3" x14ac:dyDescent="0.25">
      <c r="C1950" s="26">
        <v>1948</v>
      </c>
    </row>
    <row r="1951" spans="3:3" x14ac:dyDescent="0.25">
      <c r="C1951" s="26">
        <v>1949</v>
      </c>
    </row>
    <row r="1952" spans="3:3" x14ac:dyDescent="0.25">
      <c r="C1952" s="26">
        <v>1950</v>
      </c>
    </row>
    <row r="1953" spans="3:3" x14ac:dyDescent="0.25">
      <c r="C1953" s="26">
        <v>1951</v>
      </c>
    </row>
    <row r="1954" spans="3:3" x14ac:dyDescent="0.25">
      <c r="C1954" s="26">
        <v>1952</v>
      </c>
    </row>
    <row r="1955" spans="3:3" x14ac:dyDescent="0.25">
      <c r="C1955" s="26">
        <v>1953</v>
      </c>
    </row>
    <row r="1956" spans="3:3" x14ac:dyDescent="0.25">
      <c r="C1956" s="26">
        <v>1954</v>
      </c>
    </row>
    <row r="1957" spans="3:3" x14ac:dyDescent="0.25">
      <c r="C1957" s="26">
        <v>1955</v>
      </c>
    </row>
    <row r="1958" spans="3:3" x14ac:dyDescent="0.25">
      <c r="C1958" s="26">
        <v>1956</v>
      </c>
    </row>
    <row r="1959" spans="3:3" x14ac:dyDescent="0.25">
      <c r="C1959" s="26">
        <v>1957</v>
      </c>
    </row>
    <row r="1960" spans="3:3" x14ac:dyDescent="0.25">
      <c r="C1960" s="26">
        <v>1958</v>
      </c>
    </row>
    <row r="1961" spans="3:3" x14ac:dyDescent="0.25">
      <c r="C1961" s="26">
        <v>1959</v>
      </c>
    </row>
    <row r="1962" spans="3:3" x14ac:dyDescent="0.25">
      <c r="C1962" s="26">
        <v>1960</v>
      </c>
    </row>
    <row r="1963" spans="3:3" x14ac:dyDescent="0.25">
      <c r="C1963" s="26">
        <v>1961</v>
      </c>
    </row>
    <row r="1964" spans="3:3" x14ac:dyDescent="0.25">
      <c r="C1964" s="26">
        <v>1962</v>
      </c>
    </row>
    <row r="1965" spans="3:3" x14ac:dyDescent="0.25">
      <c r="C1965" s="26">
        <v>1963</v>
      </c>
    </row>
    <row r="1966" spans="3:3" x14ac:dyDescent="0.25">
      <c r="C1966" s="26">
        <v>1964</v>
      </c>
    </row>
    <row r="1967" spans="3:3" x14ac:dyDescent="0.25">
      <c r="C1967" s="26">
        <v>1965</v>
      </c>
    </row>
    <row r="1968" spans="3:3" x14ac:dyDescent="0.25">
      <c r="C1968" s="26">
        <v>1966</v>
      </c>
    </row>
    <row r="1969" spans="3:3" x14ac:dyDescent="0.25">
      <c r="C1969" s="26">
        <v>1967</v>
      </c>
    </row>
    <row r="1970" spans="3:3" x14ac:dyDescent="0.25">
      <c r="C1970" s="26">
        <v>1968</v>
      </c>
    </row>
    <row r="1971" spans="3:3" x14ac:dyDescent="0.25">
      <c r="C1971" s="26">
        <v>1969</v>
      </c>
    </row>
    <row r="1972" spans="3:3" x14ac:dyDescent="0.25">
      <c r="C1972" s="26">
        <v>1970</v>
      </c>
    </row>
    <row r="1973" spans="3:3" x14ac:dyDescent="0.25">
      <c r="C1973" s="26">
        <v>1971</v>
      </c>
    </row>
    <row r="1974" spans="3:3" x14ac:dyDescent="0.25">
      <c r="C1974" s="26">
        <v>1972</v>
      </c>
    </row>
    <row r="1975" spans="3:3" x14ac:dyDescent="0.25">
      <c r="C1975" s="26">
        <v>1973</v>
      </c>
    </row>
    <row r="1976" spans="3:3" x14ac:dyDescent="0.25">
      <c r="C1976" s="26">
        <v>1974</v>
      </c>
    </row>
    <row r="1977" spans="3:3" x14ac:dyDescent="0.25">
      <c r="C1977" s="26">
        <v>1975</v>
      </c>
    </row>
    <row r="1978" spans="3:3" x14ac:dyDescent="0.25">
      <c r="C1978" s="26">
        <v>1976</v>
      </c>
    </row>
    <row r="1979" spans="3:3" x14ac:dyDescent="0.25">
      <c r="C1979" s="26">
        <v>1977</v>
      </c>
    </row>
    <row r="1980" spans="3:3" x14ac:dyDescent="0.25">
      <c r="C1980" s="26">
        <v>1978</v>
      </c>
    </row>
    <row r="1981" spans="3:3" x14ac:dyDescent="0.25">
      <c r="C1981" s="26">
        <v>1979</v>
      </c>
    </row>
    <row r="1982" spans="3:3" x14ac:dyDescent="0.25">
      <c r="C1982" s="26">
        <v>1980</v>
      </c>
    </row>
    <row r="1983" spans="3:3" x14ac:dyDescent="0.25">
      <c r="C1983" s="26">
        <v>1981</v>
      </c>
    </row>
    <row r="1984" spans="3:3" x14ac:dyDescent="0.25">
      <c r="C1984" s="26">
        <v>1982</v>
      </c>
    </row>
    <row r="1985" spans="3:3" x14ac:dyDescent="0.25">
      <c r="C1985" s="26">
        <v>1983</v>
      </c>
    </row>
    <row r="1986" spans="3:3" x14ac:dyDescent="0.25">
      <c r="C1986" s="26">
        <v>1984</v>
      </c>
    </row>
    <row r="1987" spans="3:3" x14ac:dyDescent="0.25">
      <c r="C1987" s="26">
        <v>1985</v>
      </c>
    </row>
    <row r="1988" spans="3:3" x14ac:dyDescent="0.25">
      <c r="C1988" s="26">
        <v>1986</v>
      </c>
    </row>
    <row r="1989" spans="3:3" x14ac:dyDescent="0.25">
      <c r="C1989" s="26">
        <v>1987</v>
      </c>
    </row>
    <row r="1990" spans="3:3" x14ac:dyDescent="0.25">
      <c r="C1990" s="26">
        <v>1988</v>
      </c>
    </row>
    <row r="1991" spans="3:3" x14ac:dyDescent="0.25">
      <c r="C1991" s="26">
        <v>1989</v>
      </c>
    </row>
    <row r="1992" spans="3:3" x14ac:dyDescent="0.25">
      <c r="C1992" s="26">
        <v>1990</v>
      </c>
    </row>
    <row r="1993" spans="3:3" x14ac:dyDescent="0.25">
      <c r="C1993" s="26">
        <v>1991</v>
      </c>
    </row>
    <row r="1994" spans="3:3" x14ac:dyDescent="0.25">
      <c r="C1994" s="26">
        <v>1992</v>
      </c>
    </row>
    <row r="1995" spans="3:3" x14ac:dyDescent="0.25">
      <c r="C1995" s="26">
        <v>1993</v>
      </c>
    </row>
    <row r="1996" spans="3:3" x14ac:dyDescent="0.25">
      <c r="C1996" s="26">
        <v>1994</v>
      </c>
    </row>
    <row r="1997" spans="3:3" x14ac:dyDescent="0.25">
      <c r="C1997" s="26">
        <v>1995</v>
      </c>
    </row>
    <row r="1998" spans="3:3" x14ac:dyDescent="0.25">
      <c r="C1998" s="26">
        <v>1996</v>
      </c>
    </row>
    <row r="1999" spans="3:3" x14ac:dyDescent="0.25">
      <c r="C1999" s="26">
        <v>1997</v>
      </c>
    </row>
    <row r="2000" spans="3:3" x14ac:dyDescent="0.25">
      <c r="C2000" s="26">
        <v>1998</v>
      </c>
    </row>
    <row r="2001" spans="3:3" x14ac:dyDescent="0.25">
      <c r="C2001" s="26">
        <v>1999</v>
      </c>
    </row>
    <row r="2002" spans="3:3" x14ac:dyDescent="0.25">
      <c r="C2002" s="26">
        <v>2000</v>
      </c>
    </row>
    <row r="2003" spans="3:3" x14ac:dyDescent="0.25">
      <c r="C2003" s="26">
        <v>2001</v>
      </c>
    </row>
    <row r="2004" spans="3:3" x14ac:dyDescent="0.25">
      <c r="C2004" s="26">
        <v>2002</v>
      </c>
    </row>
    <row r="2005" spans="3:3" x14ac:dyDescent="0.25">
      <c r="C2005" s="26">
        <v>2003</v>
      </c>
    </row>
    <row r="2006" spans="3:3" x14ac:dyDescent="0.25">
      <c r="C2006" s="26">
        <v>2004</v>
      </c>
    </row>
    <row r="2007" spans="3:3" x14ac:dyDescent="0.25">
      <c r="C2007" s="26">
        <v>2005</v>
      </c>
    </row>
    <row r="2008" spans="3:3" x14ac:dyDescent="0.25">
      <c r="C2008" s="26">
        <v>2006</v>
      </c>
    </row>
    <row r="2009" spans="3:3" x14ac:dyDescent="0.25">
      <c r="C2009" s="26">
        <v>2007</v>
      </c>
    </row>
    <row r="2010" spans="3:3" x14ac:dyDescent="0.25">
      <c r="C2010" s="26">
        <v>2008</v>
      </c>
    </row>
    <row r="2011" spans="3:3" x14ac:dyDescent="0.25">
      <c r="C2011" s="26">
        <v>2009</v>
      </c>
    </row>
    <row r="2012" spans="3:3" x14ac:dyDescent="0.25">
      <c r="C2012" s="26">
        <v>2010</v>
      </c>
    </row>
    <row r="2013" spans="3:3" x14ac:dyDescent="0.25">
      <c r="C2013" s="26">
        <v>2011</v>
      </c>
    </row>
    <row r="2014" spans="3:3" x14ac:dyDescent="0.25">
      <c r="C2014" s="26">
        <v>2012</v>
      </c>
    </row>
    <row r="2015" spans="3:3" x14ac:dyDescent="0.25">
      <c r="C2015" s="26">
        <v>2013</v>
      </c>
    </row>
    <row r="2016" spans="3:3" x14ac:dyDescent="0.25">
      <c r="C2016" s="26">
        <v>2014</v>
      </c>
    </row>
    <row r="2017" spans="3:3" x14ac:dyDescent="0.25">
      <c r="C2017" s="26">
        <v>2015</v>
      </c>
    </row>
    <row r="2018" spans="3:3" x14ac:dyDescent="0.25">
      <c r="C2018" s="26">
        <v>2016</v>
      </c>
    </row>
    <row r="2019" spans="3:3" x14ac:dyDescent="0.25">
      <c r="C2019" s="26">
        <v>2017</v>
      </c>
    </row>
    <row r="2020" spans="3:3" x14ac:dyDescent="0.25">
      <c r="C2020" s="26">
        <v>2018</v>
      </c>
    </row>
    <row r="2021" spans="3:3" x14ac:dyDescent="0.25">
      <c r="C2021" s="26">
        <v>2019</v>
      </c>
    </row>
    <row r="2022" spans="3:3" x14ac:dyDescent="0.25">
      <c r="C2022" s="26">
        <v>2020</v>
      </c>
    </row>
    <row r="2023" spans="3:3" x14ac:dyDescent="0.25">
      <c r="C2023" s="26">
        <v>2021</v>
      </c>
    </row>
    <row r="2024" spans="3:3" x14ac:dyDescent="0.25">
      <c r="C2024" s="26">
        <v>2022</v>
      </c>
    </row>
    <row r="2025" spans="3:3" x14ac:dyDescent="0.25">
      <c r="C2025" s="26">
        <v>2023</v>
      </c>
    </row>
    <row r="2026" spans="3:3" x14ac:dyDescent="0.25">
      <c r="C2026" s="26">
        <v>2024</v>
      </c>
    </row>
    <row r="2027" spans="3:3" x14ac:dyDescent="0.25">
      <c r="C2027" s="26">
        <v>2025</v>
      </c>
    </row>
    <row r="2028" spans="3:3" x14ac:dyDescent="0.25">
      <c r="C2028" s="26">
        <v>2026</v>
      </c>
    </row>
    <row r="2029" spans="3:3" x14ac:dyDescent="0.25">
      <c r="C2029" s="26">
        <v>2027</v>
      </c>
    </row>
    <row r="2030" spans="3:3" x14ac:dyDescent="0.25">
      <c r="C2030" s="26">
        <v>2028</v>
      </c>
    </row>
    <row r="2031" spans="3:3" x14ac:dyDescent="0.25">
      <c r="C2031" s="26">
        <v>2029</v>
      </c>
    </row>
    <row r="2032" spans="3:3" x14ac:dyDescent="0.25">
      <c r="C2032" s="26">
        <v>2030</v>
      </c>
    </row>
    <row r="2033" spans="3:3" x14ac:dyDescent="0.25">
      <c r="C2033" s="26">
        <v>2031</v>
      </c>
    </row>
    <row r="2034" spans="3:3" x14ac:dyDescent="0.25">
      <c r="C2034" s="26">
        <v>2032</v>
      </c>
    </row>
    <row r="2035" spans="3:3" x14ac:dyDescent="0.25">
      <c r="C2035" s="26">
        <v>2033</v>
      </c>
    </row>
    <row r="2036" spans="3:3" x14ac:dyDescent="0.25">
      <c r="C2036" s="26">
        <v>2034</v>
      </c>
    </row>
    <row r="2037" spans="3:3" x14ac:dyDescent="0.25">
      <c r="C2037" s="26">
        <v>2035</v>
      </c>
    </row>
    <row r="2038" spans="3:3" x14ac:dyDescent="0.25">
      <c r="C2038" s="26">
        <v>2036</v>
      </c>
    </row>
    <row r="2039" spans="3:3" x14ac:dyDescent="0.25">
      <c r="C2039" s="26">
        <v>2037</v>
      </c>
    </row>
    <row r="2040" spans="3:3" x14ac:dyDescent="0.25">
      <c r="C2040" s="26">
        <v>2038</v>
      </c>
    </row>
    <row r="2041" spans="3:3" x14ac:dyDescent="0.25">
      <c r="C2041" s="26">
        <v>2039</v>
      </c>
    </row>
    <row r="2042" spans="3:3" x14ac:dyDescent="0.25">
      <c r="C2042" s="26">
        <v>2040</v>
      </c>
    </row>
    <row r="2043" spans="3:3" x14ac:dyDescent="0.25">
      <c r="C2043" s="26">
        <v>2041</v>
      </c>
    </row>
    <row r="2044" spans="3:3" x14ac:dyDescent="0.25">
      <c r="C2044" s="26">
        <v>2042</v>
      </c>
    </row>
    <row r="2045" spans="3:3" x14ac:dyDescent="0.25">
      <c r="C2045" s="26">
        <v>2043</v>
      </c>
    </row>
    <row r="2046" spans="3:3" x14ac:dyDescent="0.25">
      <c r="C2046" s="26">
        <v>2044</v>
      </c>
    </row>
    <row r="2047" spans="3:3" x14ac:dyDescent="0.25">
      <c r="C2047" s="26">
        <v>2045</v>
      </c>
    </row>
    <row r="2048" spans="3:3" x14ac:dyDescent="0.25">
      <c r="C2048" s="26">
        <v>2046</v>
      </c>
    </row>
    <row r="2049" spans="3:3" x14ac:dyDescent="0.25">
      <c r="C2049" s="26">
        <v>2047</v>
      </c>
    </row>
    <row r="2050" spans="3:3" x14ac:dyDescent="0.25">
      <c r="C2050" s="26">
        <v>2048</v>
      </c>
    </row>
    <row r="2051" spans="3:3" x14ac:dyDescent="0.25">
      <c r="C2051" s="26">
        <v>2049</v>
      </c>
    </row>
    <row r="2052" spans="3:3" x14ac:dyDescent="0.25">
      <c r="C2052" s="26">
        <v>2050</v>
      </c>
    </row>
    <row r="2053" spans="3:3" x14ac:dyDescent="0.25">
      <c r="C2053" s="26">
        <v>2051</v>
      </c>
    </row>
    <row r="2054" spans="3:3" x14ac:dyDescent="0.25">
      <c r="C2054" s="26">
        <v>2052</v>
      </c>
    </row>
    <row r="2055" spans="3:3" x14ac:dyDescent="0.25">
      <c r="C2055" s="26">
        <v>2053</v>
      </c>
    </row>
    <row r="2056" spans="3:3" x14ac:dyDescent="0.25">
      <c r="C2056" s="26">
        <v>2054</v>
      </c>
    </row>
    <row r="2057" spans="3:3" x14ac:dyDescent="0.25">
      <c r="C2057" s="26">
        <v>2055</v>
      </c>
    </row>
    <row r="2058" spans="3:3" x14ac:dyDescent="0.25">
      <c r="C2058" s="26">
        <v>2056</v>
      </c>
    </row>
    <row r="2059" spans="3:3" x14ac:dyDescent="0.25">
      <c r="C2059" s="26">
        <v>2057</v>
      </c>
    </row>
    <row r="2060" spans="3:3" x14ac:dyDescent="0.25">
      <c r="C2060" s="26">
        <v>2058</v>
      </c>
    </row>
    <row r="2061" spans="3:3" x14ac:dyDescent="0.25">
      <c r="C2061" s="26">
        <v>2059</v>
      </c>
    </row>
    <row r="2062" spans="3:3" x14ac:dyDescent="0.25">
      <c r="C2062" s="26">
        <v>2060</v>
      </c>
    </row>
    <row r="2063" spans="3:3" x14ac:dyDescent="0.25">
      <c r="C2063" s="26">
        <v>2061</v>
      </c>
    </row>
    <row r="2064" spans="3:3" x14ac:dyDescent="0.25">
      <c r="C2064" s="26">
        <v>2062</v>
      </c>
    </row>
    <row r="2065" spans="3:3" x14ac:dyDescent="0.25">
      <c r="C2065" s="26">
        <v>2063</v>
      </c>
    </row>
    <row r="2066" spans="3:3" x14ac:dyDescent="0.25">
      <c r="C2066" s="26">
        <v>2064</v>
      </c>
    </row>
    <row r="2067" spans="3:3" x14ac:dyDescent="0.25">
      <c r="C2067" s="26">
        <v>2065</v>
      </c>
    </row>
    <row r="2068" spans="3:3" x14ac:dyDescent="0.25">
      <c r="C2068" s="26">
        <v>2066</v>
      </c>
    </row>
    <row r="2069" spans="3:3" x14ac:dyDescent="0.25">
      <c r="C2069" s="26">
        <v>2067</v>
      </c>
    </row>
    <row r="2070" spans="3:3" x14ac:dyDescent="0.25">
      <c r="C2070" s="26">
        <v>2068</v>
      </c>
    </row>
    <row r="2071" spans="3:3" x14ac:dyDescent="0.25">
      <c r="C2071" s="26">
        <v>2069</v>
      </c>
    </row>
    <row r="2072" spans="3:3" x14ac:dyDescent="0.25">
      <c r="C2072" s="26">
        <v>2070</v>
      </c>
    </row>
    <row r="2073" spans="3:3" x14ac:dyDescent="0.25">
      <c r="C2073" s="26">
        <v>2071</v>
      </c>
    </row>
    <row r="2074" spans="3:3" x14ac:dyDescent="0.25">
      <c r="C2074" s="26">
        <v>2072</v>
      </c>
    </row>
    <row r="2075" spans="3:3" x14ac:dyDescent="0.25">
      <c r="C2075" s="26">
        <v>2073</v>
      </c>
    </row>
    <row r="2076" spans="3:3" x14ac:dyDescent="0.25">
      <c r="C2076" s="26">
        <v>2074</v>
      </c>
    </row>
    <row r="2077" spans="3:3" x14ac:dyDescent="0.25">
      <c r="C2077" s="26">
        <v>2075</v>
      </c>
    </row>
    <row r="2078" spans="3:3" x14ac:dyDescent="0.25">
      <c r="C2078" s="26">
        <v>2076</v>
      </c>
    </row>
    <row r="2079" spans="3:3" x14ac:dyDescent="0.25">
      <c r="C2079" s="26">
        <v>2077</v>
      </c>
    </row>
    <row r="2080" spans="3:3" x14ac:dyDescent="0.25">
      <c r="C2080" s="26">
        <v>2078</v>
      </c>
    </row>
    <row r="2081" spans="3:3" x14ac:dyDescent="0.25">
      <c r="C2081" s="26">
        <v>2079</v>
      </c>
    </row>
    <row r="2082" spans="3:3" x14ac:dyDescent="0.25">
      <c r="C2082" s="26">
        <v>2080</v>
      </c>
    </row>
    <row r="2083" spans="3:3" x14ac:dyDescent="0.25">
      <c r="C2083" s="26">
        <v>2081</v>
      </c>
    </row>
    <row r="2084" spans="3:3" x14ac:dyDescent="0.25">
      <c r="C2084" s="26">
        <v>2082</v>
      </c>
    </row>
    <row r="2085" spans="3:3" x14ac:dyDescent="0.25">
      <c r="C2085" s="26">
        <v>2083</v>
      </c>
    </row>
    <row r="2086" spans="3:3" x14ac:dyDescent="0.25">
      <c r="C2086" s="26">
        <v>2084</v>
      </c>
    </row>
    <row r="2087" spans="3:3" x14ac:dyDescent="0.25">
      <c r="C2087" s="26">
        <v>2085</v>
      </c>
    </row>
    <row r="2088" spans="3:3" x14ac:dyDescent="0.25">
      <c r="C2088" s="26">
        <v>2086</v>
      </c>
    </row>
    <row r="2089" spans="3:3" x14ac:dyDescent="0.25">
      <c r="C2089" s="26">
        <v>2087</v>
      </c>
    </row>
    <row r="2090" spans="3:3" x14ac:dyDescent="0.25">
      <c r="C2090" s="26">
        <v>2088</v>
      </c>
    </row>
    <row r="2091" spans="3:3" x14ac:dyDescent="0.25">
      <c r="C2091" s="26">
        <v>2089</v>
      </c>
    </row>
    <row r="2092" spans="3:3" x14ac:dyDescent="0.25">
      <c r="C2092" s="26">
        <v>2090</v>
      </c>
    </row>
    <row r="2093" spans="3:3" x14ac:dyDescent="0.25">
      <c r="C2093" s="26">
        <v>2091</v>
      </c>
    </row>
    <row r="2094" spans="3:3" x14ac:dyDescent="0.25">
      <c r="C2094" s="26">
        <v>2092</v>
      </c>
    </row>
    <row r="2095" spans="3:3" x14ac:dyDescent="0.25">
      <c r="C2095" s="26">
        <v>2093</v>
      </c>
    </row>
    <row r="2096" spans="3:3" x14ac:dyDescent="0.25">
      <c r="C2096" s="26">
        <v>2094</v>
      </c>
    </row>
    <row r="2097" spans="3:3" x14ac:dyDescent="0.25">
      <c r="C2097" s="26">
        <v>2095</v>
      </c>
    </row>
    <row r="2098" spans="3:3" x14ac:dyDescent="0.25">
      <c r="C2098" s="26">
        <v>2096</v>
      </c>
    </row>
    <row r="2099" spans="3:3" x14ac:dyDescent="0.25">
      <c r="C2099" s="26">
        <v>2097</v>
      </c>
    </row>
    <row r="2100" spans="3:3" x14ac:dyDescent="0.25">
      <c r="C2100" s="26">
        <v>2098</v>
      </c>
    </row>
    <row r="2101" spans="3:3" x14ac:dyDescent="0.25">
      <c r="C2101" s="26">
        <v>2099</v>
      </c>
    </row>
    <row r="2102" spans="3:3" x14ac:dyDescent="0.25">
      <c r="C2102" s="26">
        <v>2100</v>
      </c>
    </row>
    <row r="2103" spans="3:3" x14ac:dyDescent="0.25">
      <c r="C2103" s="26">
        <v>2101</v>
      </c>
    </row>
    <row r="2104" spans="3:3" x14ac:dyDescent="0.25">
      <c r="C2104" s="26">
        <v>2102</v>
      </c>
    </row>
    <row r="2105" spans="3:3" x14ac:dyDescent="0.25">
      <c r="C2105" s="26">
        <v>2103</v>
      </c>
    </row>
    <row r="2106" spans="3:3" x14ac:dyDescent="0.25">
      <c r="C2106" s="26">
        <v>2104</v>
      </c>
    </row>
    <row r="2107" spans="3:3" x14ac:dyDescent="0.25">
      <c r="C2107" s="26">
        <v>2105</v>
      </c>
    </row>
    <row r="2108" spans="3:3" x14ac:dyDescent="0.25">
      <c r="C2108" s="26">
        <v>2106</v>
      </c>
    </row>
    <row r="2109" spans="3:3" x14ac:dyDescent="0.25">
      <c r="C2109" s="26">
        <v>2107</v>
      </c>
    </row>
    <row r="2110" spans="3:3" x14ac:dyDescent="0.25">
      <c r="C2110" s="26">
        <v>2108</v>
      </c>
    </row>
    <row r="2111" spans="3:3" x14ac:dyDescent="0.25">
      <c r="C2111" s="26">
        <v>2109</v>
      </c>
    </row>
    <row r="2112" spans="3:3" x14ac:dyDescent="0.25">
      <c r="C2112" s="26">
        <v>2110</v>
      </c>
    </row>
    <row r="2113" spans="3:3" x14ac:dyDescent="0.25">
      <c r="C2113" s="26">
        <v>2111</v>
      </c>
    </row>
    <row r="2114" spans="3:3" x14ac:dyDescent="0.25">
      <c r="C2114" s="26">
        <v>2112</v>
      </c>
    </row>
    <row r="2115" spans="3:3" x14ac:dyDescent="0.25">
      <c r="C2115" s="26">
        <v>2113</v>
      </c>
    </row>
    <row r="2116" spans="3:3" x14ac:dyDescent="0.25">
      <c r="C2116" s="26">
        <v>2114</v>
      </c>
    </row>
    <row r="2117" spans="3:3" x14ac:dyDescent="0.25">
      <c r="C2117" s="26">
        <v>2115</v>
      </c>
    </row>
    <row r="2118" spans="3:3" x14ac:dyDescent="0.25">
      <c r="C2118" s="26">
        <v>2116</v>
      </c>
    </row>
    <row r="2119" spans="3:3" x14ac:dyDescent="0.25">
      <c r="C2119" s="26">
        <v>2117</v>
      </c>
    </row>
    <row r="2120" spans="3:3" x14ac:dyDescent="0.25">
      <c r="C2120" s="26">
        <v>2118</v>
      </c>
    </row>
    <row r="2121" spans="3:3" x14ac:dyDescent="0.25">
      <c r="C2121" s="26">
        <v>2119</v>
      </c>
    </row>
    <row r="2122" spans="3:3" x14ac:dyDescent="0.25">
      <c r="C2122" s="26">
        <v>2120</v>
      </c>
    </row>
    <row r="2123" spans="3:3" x14ac:dyDescent="0.25">
      <c r="C2123" s="26">
        <v>2121</v>
      </c>
    </row>
    <row r="2124" spans="3:3" x14ac:dyDescent="0.25">
      <c r="C2124" s="26">
        <v>2122</v>
      </c>
    </row>
    <row r="2125" spans="3:3" x14ac:dyDescent="0.25">
      <c r="C2125" s="26">
        <v>2123</v>
      </c>
    </row>
    <row r="2126" spans="3:3" x14ac:dyDescent="0.25">
      <c r="C2126" s="26">
        <v>2124</v>
      </c>
    </row>
    <row r="2127" spans="3:3" x14ac:dyDescent="0.25">
      <c r="C2127" s="26">
        <v>2125</v>
      </c>
    </row>
    <row r="2128" spans="3:3" x14ac:dyDescent="0.25">
      <c r="C2128" s="26">
        <v>2126</v>
      </c>
    </row>
    <row r="2129" spans="3:3" x14ac:dyDescent="0.25">
      <c r="C2129" s="26">
        <v>2127</v>
      </c>
    </row>
    <row r="2130" spans="3:3" x14ac:dyDescent="0.25">
      <c r="C2130" s="26">
        <v>2128</v>
      </c>
    </row>
    <row r="2131" spans="3:3" x14ac:dyDescent="0.25">
      <c r="C2131" s="26">
        <v>2129</v>
      </c>
    </row>
    <row r="2132" spans="3:3" x14ac:dyDescent="0.25">
      <c r="C2132" s="26">
        <v>2130</v>
      </c>
    </row>
    <row r="2133" spans="3:3" x14ac:dyDescent="0.25">
      <c r="C2133" s="26">
        <v>2131</v>
      </c>
    </row>
    <row r="2134" spans="3:3" x14ac:dyDescent="0.25">
      <c r="C2134" s="26">
        <v>2132</v>
      </c>
    </row>
    <row r="2135" spans="3:3" x14ac:dyDescent="0.25">
      <c r="C2135" s="26">
        <v>2133</v>
      </c>
    </row>
    <row r="2136" spans="3:3" x14ac:dyDescent="0.25">
      <c r="C2136" s="26">
        <v>2134</v>
      </c>
    </row>
    <row r="2137" spans="3:3" x14ac:dyDescent="0.25">
      <c r="C2137" s="26">
        <v>2135</v>
      </c>
    </row>
    <row r="2138" spans="3:3" x14ac:dyDescent="0.25">
      <c r="C2138" s="26">
        <v>2136</v>
      </c>
    </row>
    <row r="2139" spans="3:3" x14ac:dyDescent="0.25">
      <c r="C2139" s="26">
        <v>2137</v>
      </c>
    </row>
    <row r="2140" spans="3:3" x14ac:dyDescent="0.25">
      <c r="C2140" s="26">
        <v>2138</v>
      </c>
    </row>
    <row r="2141" spans="3:3" x14ac:dyDescent="0.25">
      <c r="C2141" s="26">
        <v>2139</v>
      </c>
    </row>
    <row r="2142" spans="3:3" x14ac:dyDescent="0.25">
      <c r="C2142" s="26">
        <v>2140</v>
      </c>
    </row>
    <row r="2143" spans="3:3" x14ac:dyDescent="0.25">
      <c r="C2143" s="26">
        <v>2141</v>
      </c>
    </row>
    <row r="2144" spans="3:3" x14ac:dyDescent="0.25">
      <c r="C2144" s="26">
        <v>2142</v>
      </c>
    </row>
    <row r="2145" spans="3:3" x14ac:dyDescent="0.25">
      <c r="C2145" s="26">
        <v>2143</v>
      </c>
    </row>
    <row r="2146" spans="3:3" x14ac:dyDescent="0.25">
      <c r="C2146" s="26">
        <v>2144</v>
      </c>
    </row>
    <row r="2147" spans="3:3" x14ac:dyDescent="0.25">
      <c r="C2147" s="26">
        <v>2145</v>
      </c>
    </row>
    <row r="2148" spans="3:3" x14ac:dyDescent="0.25">
      <c r="C2148" s="26">
        <v>2146</v>
      </c>
    </row>
    <row r="2149" spans="3:3" x14ac:dyDescent="0.25">
      <c r="C2149" s="26">
        <v>2147</v>
      </c>
    </row>
    <row r="2150" spans="3:3" x14ac:dyDescent="0.25">
      <c r="C2150" s="26">
        <v>2148</v>
      </c>
    </row>
    <row r="2151" spans="3:3" x14ac:dyDescent="0.25">
      <c r="C2151" s="26">
        <v>2149</v>
      </c>
    </row>
    <row r="2152" spans="3:3" x14ac:dyDescent="0.25">
      <c r="C2152" s="26">
        <v>2150</v>
      </c>
    </row>
    <row r="2153" spans="3:3" x14ac:dyDescent="0.25">
      <c r="C2153" s="26">
        <v>2151</v>
      </c>
    </row>
    <row r="2154" spans="3:3" x14ac:dyDescent="0.25">
      <c r="C2154" s="26">
        <v>2152</v>
      </c>
    </row>
    <row r="2155" spans="3:3" x14ac:dyDescent="0.25">
      <c r="C2155" s="26">
        <v>2153</v>
      </c>
    </row>
    <row r="2156" spans="3:3" x14ac:dyDescent="0.25">
      <c r="C2156" s="26">
        <v>2154</v>
      </c>
    </row>
    <row r="2157" spans="3:3" x14ac:dyDescent="0.25">
      <c r="C2157" s="26">
        <v>2155</v>
      </c>
    </row>
    <row r="2158" spans="3:3" x14ac:dyDescent="0.25">
      <c r="C2158" s="26">
        <v>2156</v>
      </c>
    </row>
    <row r="2159" spans="3:3" x14ac:dyDescent="0.25">
      <c r="C2159" s="26">
        <v>2157</v>
      </c>
    </row>
    <row r="2160" spans="3:3" x14ac:dyDescent="0.25">
      <c r="C2160" s="26">
        <v>2158</v>
      </c>
    </row>
    <row r="2161" spans="3:3" x14ac:dyDescent="0.25">
      <c r="C2161" s="26">
        <v>2159</v>
      </c>
    </row>
    <row r="2162" spans="3:3" x14ac:dyDescent="0.25">
      <c r="C2162" s="26">
        <v>2160</v>
      </c>
    </row>
    <row r="2163" spans="3:3" x14ac:dyDescent="0.25">
      <c r="C2163" s="26">
        <v>2161</v>
      </c>
    </row>
    <row r="2164" spans="3:3" x14ac:dyDescent="0.25">
      <c r="C2164" s="26">
        <v>2162</v>
      </c>
    </row>
    <row r="2165" spans="3:3" x14ac:dyDescent="0.25">
      <c r="C2165" s="26">
        <v>2163</v>
      </c>
    </row>
    <row r="2166" spans="3:3" x14ac:dyDescent="0.25">
      <c r="C2166" s="26">
        <v>2164</v>
      </c>
    </row>
    <row r="2167" spans="3:3" x14ac:dyDescent="0.25">
      <c r="C2167" s="26">
        <v>2165</v>
      </c>
    </row>
    <row r="2168" spans="3:3" x14ac:dyDescent="0.25">
      <c r="C2168" s="26">
        <v>2166</v>
      </c>
    </row>
    <row r="2169" spans="3:3" x14ac:dyDescent="0.25">
      <c r="C2169" s="26">
        <v>2167</v>
      </c>
    </row>
    <row r="2170" spans="3:3" x14ac:dyDescent="0.25">
      <c r="C2170" s="26">
        <v>2168</v>
      </c>
    </row>
    <row r="2171" spans="3:3" x14ac:dyDescent="0.25">
      <c r="C2171" s="26">
        <v>2169</v>
      </c>
    </row>
    <row r="2172" spans="3:3" x14ac:dyDescent="0.25">
      <c r="C2172" s="26">
        <v>2170</v>
      </c>
    </row>
    <row r="2173" spans="3:3" x14ac:dyDescent="0.25">
      <c r="C2173" s="26">
        <v>2171</v>
      </c>
    </row>
    <row r="2174" spans="3:3" x14ac:dyDescent="0.25">
      <c r="C2174" s="26">
        <v>2172</v>
      </c>
    </row>
    <row r="2175" spans="3:3" x14ac:dyDescent="0.25">
      <c r="C2175" s="26">
        <v>2173</v>
      </c>
    </row>
    <row r="2176" spans="3:3" x14ac:dyDescent="0.25">
      <c r="C2176" s="26">
        <v>2174</v>
      </c>
    </row>
    <row r="2177" spans="3:3" x14ac:dyDescent="0.25">
      <c r="C2177" s="26">
        <v>2175</v>
      </c>
    </row>
    <row r="2178" spans="3:3" x14ac:dyDescent="0.25">
      <c r="C2178" s="26">
        <v>2176</v>
      </c>
    </row>
    <row r="2179" spans="3:3" x14ac:dyDescent="0.25">
      <c r="C2179" s="26">
        <v>2177</v>
      </c>
    </row>
    <row r="2180" spans="3:3" x14ac:dyDescent="0.25">
      <c r="C2180" s="26">
        <v>2178</v>
      </c>
    </row>
    <row r="2181" spans="3:3" x14ac:dyDescent="0.25">
      <c r="C2181" s="26">
        <v>2179</v>
      </c>
    </row>
    <row r="2182" spans="3:3" x14ac:dyDescent="0.25">
      <c r="C2182" s="26">
        <v>2180</v>
      </c>
    </row>
    <row r="2183" spans="3:3" x14ac:dyDescent="0.25">
      <c r="C2183" s="26">
        <v>2181</v>
      </c>
    </row>
    <row r="2184" spans="3:3" x14ac:dyDescent="0.25">
      <c r="C2184" s="26">
        <v>2182</v>
      </c>
    </row>
    <row r="2185" spans="3:3" x14ac:dyDescent="0.25">
      <c r="C2185" s="26">
        <v>2183</v>
      </c>
    </row>
    <row r="2186" spans="3:3" x14ac:dyDescent="0.25">
      <c r="C2186" s="26">
        <v>2184</v>
      </c>
    </row>
    <row r="2187" spans="3:3" x14ac:dyDescent="0.25">
      <c r="C2187" s="26">
        <v>2185</v>
      </c>
    </row>
    <row r="2188" spans="3:3" x14ac:dyDescent="0.25">
      <c r="C2188" s="26">
        <v>2186</v>
      </c>
    </row>
    <row r="2189" spans="3:3" x14ac:dyDescent="0.25">
      <c r="C2189" s="26">
        <v>2187</v>
      </c>
    </row>
    <row r="2190" spans="3:3" x14ac:dyDescent="0.25">
      <c r="C2190" s="26">
        <v>2188</v>
      </c>
    </row>
    <row r="2191" spans="3:3" x14ac:dyDescent="0.25">
      <c r="C2191" s="26">
        <v>2189</v>
      </c>
    </row>
    <row r="2192" spans="3:3" x14ac:dyDescent="0.25">
      <c r="C2192" s="26">
        <v>2190</v>
      </c>
    </row>
    <row r="2193" spans="3:3" x14ac:dyDescent="0.25">
      <c r="C2193" s="26">
        <v>2191</v>
      </c>
    </row>
    <row r="2194" spans="3:3" x14ac:dyDescent="0.25">
      <c r="C2194" s="26">
        <v>2192</v>
      </c>
    </row>
    <row r="2195" spans="3:3" x14ac:dyDescent="0.25">
      <c r="C2195" s="26">
        <v>2193</v>
      </c>
    </row>
    <row r="2196" spans="3:3" x14ac:dyDescent="0.25">
      <c r="C2196" s="26">
        <v>2194</v>
      </c>
    </row>
    <row r="2197" spans="3:3" x14ac:dyDescent="0.25">
      <c r="C2197" s="26">
        <v>2195</v>
      </c>
    </row>
    <row r="2198" spans="3:3" x14ac:dyDescent="0.25">
      <c r="C2198" s="26">
        <v>2196</v>
      </c>
    </row>
    <row r="2199" spans="3:3" x14ac:dyDescent="0.25">
      <c r="C2199" s="26">
        <v>2197</v>
      </c>
    </row>
    <row r="2200" spans="3:3" x14ac:dyDescent="0.25">
      <c r="C2200" s="26">
        <v>2198</v>
      </c>
    </row>
    <row r="2201" spans="3:3" x14ac:dyDescent="0.25">
      <c r="C2201" s="26">
        <v>2199</v>
      </c>
    </row>
    <row r="2202" spans="3:3" x14ac:dyDescent="0.25">
      <c r="C2202" s="26">
        <v>2200</v>
      </c>
    </row>
    <row r="2203" spans="3:3" x14ac:dyDescent="0.25">
      <c r="C2203" s="26">
        <v>2201</v>
      </c>
    </row>
    <row r="2204" spans="3:3" x14ac:dyDescent="0.25">
      <c r="C2204" s="26">
        <v>2202</v>
      </c>
    </row>
    <row r="2205" spans="3:3" x14ac:dyDescent="0.25">
      <c r="C2205" s="26">
        <v>2203</v>
      </c>
    </row>
    <row r="2206" spans="3:3" x14ac:dyDescent="0.25">
      <c r="C2206" s="26">
        <v>2204</v>
      </c>
    </row>
    <row r="2207" spans="3:3" x14ac:dyDescent="0.25">
      <c r="C2207" s="26">
        <v>2205</v>
      </c>
    </row>
    <row r="2208" spans="3:3" x14ac:dyDescent="0.25">
      <c r="C2208" s="26">
        <v>2206</v>
      </c>
    </row>
    <row r="2209" spans="3:3" x14ac:dyDescent="0.25">
      <c r="C2209" s="26">
        <v>2207</v>
      </c>
    </row>
    <row r="2210" spans="3:3" x14ac:dyDescent="0.25">
      <c r="C2210" s="26">
        <v>2208</v>
      </c>
    </row>
    <row r="2211" spans="3:3" x14ac:dyDescent="0.25">
      <c r="C2211" s="26">
        <v>2209</v>
      </c>
    </row>
    <row r="2212" spans="3:3" x14ac:dyDescent="0.25">
      <c r="C2212" s="26">
        <v>2210</v>
      </c>
    </row>
    <row r="2213" spans="3:3" x14ac:dyDescent="0.25">
      <c r="C2213" s="26">
        <v>2211</v>
      </c>
    </row>
    <row r="2214" spans="3:3" x14ac:dyDescent="0.25">
      <c r="C2214" s="26">
        <v>2212</v>
      </c>
    </row>
    <row r="2215" spans="3:3" x14ac:dyDescent="0.25">
      <c r="C2215" s="26">
        <v>2213</v>
      </c>
    </row>
    <row r="2216" spans="3:3" x14ac:dyDescent="0.25">
      <c r="C2216" s="26">
        <v>2214</v>
      </c>
    </row>
    <row r="2217" spans="3:3" x14ac:dyDescent="0.25">
      <c r="C2217" s="26">
        <v>2215</v>
      </c>
    </row>
    <row r="2218" spans="3:3" x14ac:dyDescent="0.25">
      <c r="C2218" s="26">
        <v>2216</v>
      </c>
    </row>
    <row r="2219" spans="3:3" x14ac:dyDescent="0.25">
      <c r="C2219" s="26">
        <v>2217</v>
      </c>
    </row>
    <row r="2220" spans="3:3" x14ac:dyDescent="0.25">
      <c r="C2220" s="26">
        <v>2218</v>
      </c>
    </row>
    <row r="2221" spans="3:3" x14ac:dyDescent="0.25">
      <c r="C2221" s="26">
        <v>2219</v>
      </c>
    </row>
    <row r="2222" spans="3:3" x14ac:dyDescent="0.25">
      <c r="C2222" s="26">
        <v>2220</v>
      </c>
    </row>
    <row r="2223" spans="3:3" x14ac:dyDescent="0.25">
      <c r="C2223" s="26">
        <v>2221</v>
      </c>
    </row>
    <row r="2224" spans="3:3" x14ac:dyDescent="0.25">
      <c r="C2224" s="26">
        <v>2222</v>
      </c>
    </row>
    <row r="2225" spans="3:3" x14ac:dyDescent="0.25">
      <c r="C2225" s="26">
        <v>2223</v>
      </c>
    </row>
    <row r="2226" spans="3:3" x14ac:dyDescent="0.25">
      <c r="C2226" s="26">
        <v>2224</v>
      </c>
    </row>
    <row r="2227" spans="3:3" x14ac:dyDescent="0.25">
      <c r="C2227" s="26">
        <v>2225</v>
      </c>
    </row>
    <row r="2228" spans="3:3" x14ac:dyDescent="0.25">
      <c r="C2228" s="26">
        <v>2226</v>
      </c>
    </row>
    <row r="2229" spans="3:3" x14ac:dyDescent="0.25">
      <c r="C2229" s="26">
        <v>2227</v>
      </c>
    </row>
    <row r="2230" spans="3:3" x14ac:dyDescent="0.25">
      <c r="C2230" s="26">
        <v>2228</v>
      </c>
    </row>
    <row r="2231" spans="3:3" x14ac:dyDescent="0.25">
      <c r="C2231" s="26">
        <v>2229</v>
      </c>
    </row>
    <row r="2232" spans="3:3" x14ac:dyDescent="0.25">
      <c r="C2232" s="26">
        <v>2230</v>
      </c>
    </row>
    <row r="2233" spans="3:3" x14ac:dyDescent="0.25">
      <c r="C2233" s="26">
        <v>2231</v>
      </c>
    </row>
    <row r="2234" spans="3:3" x14ac:dyDescent="0.25">
      <c r="C2234" s="26">
        <v>2232</v>
      </c>
    </row>
    <row r="2235" spans="3:3" x14ac:dyDescent="0.25">
      <c r="C2235" s="26">
        <v>2233</v>
      </c>
    </row>
    <row r="2236" spans="3:3" x14ac:dyDescent="0.25">
      <c r="C2236" s="26">
        <v>2234</v>
      </c>
    </row>
    <row r="2237" spans="3:3" x14ac:dyDescent="0.25">
      <c r="C2237" s="26">
        <v>2235</v>
      </c>
    </row>
    <row r="2238" spans="3:3" x14ac:dyDescent="0.25">
      <c r="C2238" s="26">
        <v>2236</v>
      </c>
    </row>
    <row r="2239" spans="3:3" x14ac:dyDescent="0.25">
      <c r="C2239" s="26">
        <v>2237</v>
      </c>
    </row>
    <row r="2240" spans="3:3" x14ac:dyDescent="0.25">
      <c r="C2240" s="26">
        <v>2238</v>
      </c>
    </row>
    <row r="2241" spans="3:3" x14ac:dyDescent="0.25">
      <c r="C2241" s="26">
        <v>2239</v>
      </c>
    </row>
    <row r="2242" spans="3:3" x14ac:dyDescent="0.25">
      <c r="C2242" s="26">
        <v>2240</v>
      </c>
    </row>
    <row r="2243" spans="3:3" x14ac:dyDescent="0.25">
      <c r="C2243" s="26">
        <v>2241</v>
      </c>
    </row>
    <row r="2244" spans="3:3" x14ac:dyDescent="0.25">
      <c r="C2244" s="26">
        <v>2242</v>
      </c>
    </row>
    <row r="2245" spans="3:3" x14ac:dyDescent="0.25">
      <c r="C2245" s="26">
        <v>2243</v>
      </c>
    </row>
    <row r="2246" spans="3:3" x14ac:dyDescent="0.25">
      <c r="C2246" s="26">
        <v>2244</v>
      </c>
    </row>
    <row r="2247" spans="3:3" x14ac:dyDescent="0.25">
      <c r="C2247" s="26">
        <v>2245</v>
      </c>
    </row>
    <row r="2248" spans="3:3" x14ac:dyDescent="0.25">
      <c r="C2248" s="26">
        <v>2246</v>
      </c>
    </row>
    <row r="2249" spans="3:3" x14ac:dyDescent="0.25">
      <c r="C2249" s="26">
        <v>2247</v>
      </c>
    </row>
    <row r="2250" spans="3:3" x14ac:dyDescent="0.25">
      <c r="C2250" s="26">
        <v>2248</v>
      </c>
    </row>
    <row r="2251" spans="3:3" x14ac:dyDescent="0.25">
      <c r="C2251" s="26">
        <v>2249</v>
      </c>
    </row>
    <row r="2252" spans="3:3" x14ac:dyDescent="0.25">
      <c r="C2252" s="26">
        <v>2250</v>
      </c>
    </row>
    <row r="2253" spans="3:3" x14ac:dyDescent="0.25">
      <c r="C2253" s="26">
        <v>2251</v>
      </c>
    </row>
    <row r="2254" spans="3:3" x14ac:dyDescent="0.25">
      <c r="C2254" s="26">
        <v>2252</v>
      </c>
    </row>
    <row r="2255" spans="3:3" x14ac:dyDescent="0.25">
      <c r="C2255" s="26">
        <v>2253</v>
      </c>
    </row>
    <row r="2256" spans="3:3" x14ac:dyDescent="0.25">
      <c r="C2256" s="26">
        <v>2254</v>
      </c>
    </row>
    <row r="2257" spans="3:3" x14ac:dyDescent="0.25">
      <c r="C2257" s="26">
        <v>2255</v>
      </c>
    </row>
    <row r="2258" spans="3:3" x14ac:dyDescent="0.25">
      <c r="C2258" s="26">
        <v>2256</v>
      </c>
    </row>
    <row r="2259" spans="3:3" x14ac:dyDescent="0.25">
      <c r="C2259" s="26">
        <v>2257</v>
      </c>
    </row>
    <row r="2260" spans="3:3" x14ac:dyDescent="0.25">
      <c r="C2260" s="26">
        <v>2258</v>
      </c>
    </row>
    <row r="2261" spans="3:3" x14ac:dyDescent="0.25">
      <c r="C2261" s="26">
        <v>2259</v>
      </c>
    </row>
    <row r="2262" spans="3:3" x14ac:dyDescent="0.25">
      <c r="C2262" s="26">
        <v>2260</v>
      </c>
    </row>
    <row r="2263" spans="3:3" x14ac:dyDescent="0.25">
      <c r="C2263" s="26">
        <v>2261</v>
      </c>
    </row>
    <row r="2264" spans="3:3" x14ac:dyDescent="0.25">
      <c r="C2264" s="26">
        <v>2262</v>
      </c>
    </row>
    <row r="2265" spans="3:3" x14ac:dyDescent="0.25">
      <c r="C2265" s="26">
        <v>2263</v>
      </c>
    </row>
    <row r="2266" spans="3:3" x14ac:dyDescent="0.25">
      <c r="C2266" s="26">
        <v>2264</v>
      </c>
    </row>
    <row r="2267" spans="3:3" x14ac:dyDescent="0.25">
      <c r="C2267" s="26">
        <v>2265</v>
      </c>
    </row>
    <row r="2268" spans="3:3" x14ac:dyDescent="0.25">
      <c r="C2268" s="26">
        <v>2266</v>
      </c>
    </row>
    <row r="2269" spans="3:3" x14ac:dyDescent="0.25">
      <c r="C2269" s="26">
        <v>2267</v>
      </c>
    </row>
    <row r="2270" spans="3:3" x14ac:dyDescent="0.25">
      <c r="C2270" s="26">
        <v>2268</v>
      </c>
    </row>
    <row r="2271" spans="3:3" x14ac:dyDescent="0.25">
      <c r="C2271" s="26">
        <v>2269</v>
      </c>
    </row>
    <row r="2272" spans="3:3" x14ac:dyDescent="0.25">
      <c r="C2272" s="26">
        <v>2270</v>
      </c>
    </row>
    <row r="2273" spans="3:3" x14ac:dyDescent="0.25">
      <c r="C2273" s="26">
        <v>2271</v>
      </c>
    </row>
    <row r="2274" spans="3:3" x14ac:dyDescent="0.25">
      <c r="C2274" s="26">
        <v>2272</v>
      </c>
    </row>
    <row r="2275" spans="3:3" x14ac:dyDescent="0.25">
      <c r="C2275" s="26">
        <v>2273</v>
      </c>
    </row>
    <row r="2276" spans="3:3" x14ac:dyDescent="0.25">
      <c r="C2276" s="26">
        <v>2274</v>
      </c>
    </row>
    <row r="2277" spans="3:3" x14ac:dyDescent="0.25">
      <c r="C2277" s="26">
        <v>2275</v>
      </c>
    </row>
    <row r="2278" spans="3:3" x14ac:dyDescent="0.25">
      <c r="C2278" s="26">
        <v>2276</v>
      </c>
    </row>
    <row r="2279" spans="3:3" x14ac:dyDescent="0.25">
      <c r="C2279" s="26">
        <v>2277</v>
      </c>
    </row>
    <row r="2280" spans="3:3" x14ac:dyDescent="0.25">
      <c r="C2280" s="26">
        <v>2278</v>
      </c>
    </row>
    <row r="2281" spans="3:3" x14ac:dyDescent="0.25">
      <c r="C2281" s="26">
        <v>2279</v>
      </c>
    </row>
    <row r="2282" spans="3:3" x14ac:dyDescent="0.25">
      <c r="C2282" s="26">
        <v>2280</v>
      </c>
    </row>
    <row r="2283" spans="3:3" x14ac:dyDescent="0.25">
      <c r="C2283" s="26">
        <v>2281</v>
      </c>
    </row>
    <row r="2284" spans="3:3" x14ac:dyDescent="0.25">
      <c r="C2284" s="26">
        <v>2282</v>
      </c>
    </row>
    <row r="2285" spans="3:3" x14ac:dyDescent="0.25">
      <c r="C2285" s="26">
        <v>2283</v>
      </c>
    </row>
    <row r="2286" spans="3:3" x14ac:dyDescent="0.25">
      <c r="C2286" s="26">
        <v>2284</v>
      </c>
    </row>
    <row r="2287" spans="3:3" x14ac:dyDescent="0.25">
      <c r="C2287" s="26">
        <v>2285</v>
      </c>
    </row>
    <row r="2288" spans="3:3" x14ac:dyDescent="0.25">
      <c r="C2288" s="26">
        <v>2286</v>
      </c>
    </row>
    <row r="2289" spans="3:3" x14ac:dyDescent="0.25">
      <c r="C2289" s="26">
        <v>2287</v>
      </c>
    </row>
    <row r="2290" spans="3:3" x14ac:dyDescent="0.25">
      <c r="C2290" s="26">
        <v>2288</v>
      </c>
    </row>
    <row r="2291" spans="3:3" x14ac:dyDescent="0.25">
      <c r="C2291" s="26">
        <v>2289</v>
      </c>
    </row>
    <row r="2292" spans="3:3" x14ac:dyDescent="0.25">
      <c r="C2292" s="26">
        <v>2290</v>
      </c>
    </row>
    <row r="2293" spans="3:3" x14ac:dyDescent="0.25">
      <c r="C2293" s="26">
        <v>2291</v>
      </c>
    </row>
    <row r="2294" spans="3:3" x14ac:dyDescent="0.25">
      <c r="C2294" s="26">
        <v>2292</v>
      </c>
    </row>
    <row r="2295" spans="3:3" x14ac:dyDescent="0.25">
      <c r="C2295" s="26">
        <v>2293</v>
      </c>
    </row>
    <row r="2296" spans="3:3" x14ac:dyDescent="0.25">
      <c r="C2296" s="26">
        <v>2294</v>
      </c>
    </row>
    <row r="2297" spans="3:3" x14ac:dyDescent="0.25">
      <c r="C2297" s="26">
        <v>2295</v>
      </c>
    </row>
    <row r="2298" spans="3:3" x14ac:dyDescent="0.25">
      <c r="C2298" s="26">
        <v>2296</v>
      </c>
    </row>
    <row r="2299" spans="3:3" x14ac:dyDescent="0.25">
      <c r="C2299" s="26">
        <v>2297</v>
      </c>
    </row>
    <row r="2300" spans="3:3" x14ac:dyDescent="0.25">
      <c r="C2300" s="26">
        <v>2298</v>
      </c>
    </row>
    <row r="2301" spans="3:3" x14ac:dyDescent="0.25">
      <c r="C2301" s="26">
        <v>2299</v>
      </c>
    </row>
    <row r="2302" spans="3:3" x14ac:dyDescent="0.25">
      <c r="C2302" s="26">
        <v>2300</v>
      </c>
    </row>
    <row r="2303" spans="3:3" x14ac:dyDescent="0.25">
      <c r="C2303" s="26">
        <v>2301</v>
      </c>
    </row>
    <row r="2304" spans="3:3" x14ac:dyDescent="0.25">
      <c r="C2304" s="26">
        <v>2302</v>
      </c>
    </row>
    <row r="2305" spans="3:3" x14ac:dyDescent="0.25">
      <c r="C2305" s="26">
        <v>2303</v>
      </c>
    </row>
    <row r="2306" spans="3:3" x14ac:dyDescent="0.25">
      <c r="C2306" s="26">
        <v>2304</v>
      </c>
    </row>
    <row r="2307" spans="3:3" x14ac:dyDescent="0.25">
      <c r="C2307" s="26">
        <v>2305</v>
      </c>
    </row>
    <row r="2308" spans="3:3" x14ac:dyDescent="0.25">
      <c r="C2308" s="26">
        <v>2306</v>
      </c>
    </row>
    <row r="2309" spans="3:3" x14ac:dyDescent="0.25">
      <c r="C2309" s="26">
        <v>2307</v>
      </c>
    </row>
    <row r="2310" spans="3:3" x14ac:dyDescent="0.25">
      <c r="C2310" s="26">
        <v>2308</v>
      </c>
    </row>
    <row r="2311" spans="3:3" x14ac:dyDescent="0.25">
      <c r="C2311" s="26">
        <v>2309</v>
      </c>
    </row>
    <row r="2312" spans="3:3" x14ac:dyDescent="0.25">
      <c r="C2312" s="26">
        <v>2310</v>
      </c>
    </row>
    <row r="2313" spans="3:3" x14ac:dyDescent="0.25">
      <c r="C2313" s="26">
        <v>2311</v>
      </c>
    </row>
    <row r="2314" spans="3:3" x14ac:dyDescent="0.25">
      <c r="C2314" s="26">
        <v>2312</v>
      </c>
    </row>
    <row r="2315" spans="3:3" x14ac:dyDescent="0.25">
      <c r="C2315" s="26">
        <v>2313</v>
      </c>
    </row>
    <row r="2316" spans="3:3" x14ac:dyDescent="0.25">
      <c r="C2316" s="26">
        <v>2314</v>
      </c>
    </row>
    <row r="2317" spans="3:3" x14ac:dyDescent="0.25">
      <c r="C2317" s="26">
        <v>2315</v>
      </c>
    </row>
    <row r="2318" spans="3:3" x14ac:dyDescent="0.25">
      <c r="C2318" s="26">
        <v>2316</v>
      </c>
    </row>
    <row r="2319" spans="3:3" x14ac:dyDescent="0.25">
      <c r="C2319" s="26">
        <v>2317</v>
      </c>
    </row>
    <row r="2320" spans="3:3" x14ac:dyDescent="0.25">
      <c r="C2320" s="26">
        <v>2318</v>
      </c>
    </row>
    <row r="2321" spans="3:3" x14ac:dyDescent="0.25">
      <c r="C2321" s="26">
        <v>2319</v>
      </c>
    </row>
    <row r="2322" spans="3:3" x14ac:dyDescent="0.25">
      <c r="C2322" s="26">
        <v>2320</v>
      </c>
    </row>
    <row r="2323" spans="3:3" x14ac:dyDescent="0.25">
      <c r="C2323" s="26">
        <v>2321</v>
      </c>
    </row>
    <row r="2324" spans="3:3" x14ac:dyDescent="0.25">
      <c r="C2324" s="26">
        <v>2322</v>
      </c>
    </row>
    <row r="2325" spans="3:3" x14ac:dyDescent="0.25">
      <c r="C2325" s="26">
        <v>2323</v>
      </c>
    </row>
    <row r="2326" spans="3:3" x14ac:dyDescent="0.25">
      <c r="C2326" s="26">
        <v>2324</v>
      </c>
    </row>
    <row r="2327" spans="3:3" x14ac:dyDescent="0.25">
      <c r="C2327" s="26">
        <v>2325</v>
      </c>
    </row>
    <row r="2328" spans="3:3" x14ac:dyDescent="0.25">
      <c r="C2328" s="26">
        <v>2326</v>
      </c>
    </row>
    <row r="2329" spans="3:3" x14ac:dyDescent="0.25">
      <c r="C2329" s="26">
        <v>2327</v>
      </c>
    </row>
    <row r="2330" spans="3:3" x14ac:dyDescent="0.25">
      <c r="C2330" s="26">
        <v>2328</v>
      </c>
    </row>
    <row r="2331" spans="3:3" x14ac:dyDescent="0.25">
      <c r="C2331" s="26">
        <v>2329</v>
      </c>
    </row>
    <row r="2332" spans="3:3" x14ac:dyDescent="0.25">
      <c r="C2332" s="26">
        <v>2330</v>
      </c>
    </row>
    <row r="2333" spans="3:3" x14ac:dyDescent="0.25">
      <c r="C2333" s="26">
        <v>2331</v>
      </c>
    </row>
    <row r="2334" spans="3:3" x14ac:dyDescent="0.25">
      <c r="C2334" s="26">
        <v>2332</v>
      </c>
    </row>
    <row r="2335" spans="3:3" x14ac:dyDescent="0.25">
      <c r="C2335" s="26">
        <v>2333</v>
      </c>
    </row>
    <row r="2336" spans="3:3" x14ac:dyDescent="0.25">
      <c r="C2336" s="26">
        <v>2334</v>
      </c>
    </row>
    <row r="2337" spans="3:3" x14ac:dyDescent="0.25">
      <c r="C2337" s="26">
        <v>2335</v>
      </c>
    </row>
    <row r="2338" spans="3:3" x14ac:dyDescent="0.25">
      <c r="C2338" s="26">
        <v>2336</v>
      </c>
    </row>
    <row r="2339" spans="3:3" x14ac:dyDescent="0.25">
      <c r="C2339" s="26">
        <v>2337</v>
      </c>
    </row>
    <row r="2340" spans="3:3" x14ac:dyDescent="0.25">
      <c r="C2340" s="26">
        <v>2338</v>
      </c>
    </row>
    <row r="2341" spans="3:3" x14ac:dyDescent="0.25">
      <c r="C2341" s="26">
        <v>2339</v>
      </c>
    </row>
    <row r="2342" spans="3:3" x14ac:dyDescent="0.25">
      <c r="C2342" s="26">
        <v>2340</v>
      </c>
    </row>
    <row r="2343" spans="3:3" x14ac:dyDescent="0.25">
      <c r="C2343" s="26">
        <v>2341</v>
      </c>
    </row>
    <row r="2344" spans="3:3" x14ac:dyDescent="0.25">
      <c r="C2344" s="26">
        <v>2342</v>
      </c>
    </row>
    <row r="2345" spans="3:3" x14ac:dyDescent="0.25">
      <c r="C2345" s="26">
        <v>2343</v>
      </c>
    </row>
    <row r="2346" spans="3:3" x14ac:dyDescent="0.25">
      <c r="C2346" s="26">
        <v>2344</v>
      </c>
    </row>
    <row r="2347" spans="3:3" x14ac:dyDescent="0.25">
      <c r="C2347" s="26">
        <v>2345</v>
      </c>
    </row>
    <row r="2348" spans="3:3" x14ac:dyDescent="0.25">
      <c r="C2348" s="26">
        <v>2346</v>
      </c>
    </row>
    <row r="2349" spans="3:3" x14ac:dyDescent="0.25">
      <c r="C2349" s="26">
        <v>2347</v>
      </c>
    </row>
    <row r="2350" spans="3:3" x14ac:dyDescent="0.25">
      <c r="C2350" s="26">
        <v>2348</v>
      </c>
    </row>
    <row r="2351" spans="3:3" x14ac:dyDescent="0.25">
      <c r="C2351" s="26">
        <v>2349</v>
      </c>
    </row>
    <row r="2352" spans="3:3" x14ac:dyDescent="0.25">
      <c r="C2352" s="26">
        <v>2350</v>
      </c>
    </row>
    <row r="2353" spans="3:3" x14ac:dyDescent="0.25">
      <c r="C2353" s="26">
        <v>2351</v>
      </c>
    </row>
    <row r="2354" spans="3:3" x14ac:dyDescent="0.25">
      <c r="C2354" s="26">
        <v>2352</v>
      </c>
    </row>
    <row r="2355" spans="3:3" x14ac:dyDescent="0.25">
      <c r="C2355" s="26">
        <v>2353</v>
      </c>
    </row>
    <row r="2356" spans="3:3" x14ac:dyDescent="0.25">
      <c r="C2356" s="26">
        <v>2354</v>
      </c>
    </row>
    <row r="2357" spans="3:3" x14ac:dyDescent="0.25">
      <c r="C2357" s="26">
        <v>2355</v>
      </c>
    </row>
    <row r="2358" spans="3:3" x14ac:dyDescent="0.25">
      <c r="C2358" s="26">
        <v>2356</v>
      </c>
    </row>
    <row r="2359" spans="3:3" x14ac:dyDescent="0.25">
      <c r="C2359" s="26">
        <v>2357</v>
      </c>
    </row>
    <row r="2360" spans="3:3" x14ac:dyDescent="0.25">
      <c r="C2360" s="26">
        <v>2358</v>
      </c>
    </row>
    <row r="2361" spans="3:3" x14ac:dyDescent="0.25">
      <c r="C2361" s="26">
        <v>2359</v>
      </c>
    </row>
    <row r="2362" spans="3:3" x14ac:dyDescent="0.25">
      <c r="C2362" s="26">
        <v>2360</v>
      </c>
    </row>
    <row r="2363" spans="3:3" x14ac:dyDescent="0.25">
      <c r="C2363" s="26">
        <v>2361</v>
      </c>
    </row>
    <row r="2364" spans="3:3" x14ac:dyDescent="0.25">
      <c r="C2364" s="26">
        <v>2362</v>
      </c>
    </row>
    <row r="2365" spans="3:3" x14ac:dyDescent="0.25">
      <c r="C2365" s="26">
        <v>2363</v>
      </c>
    </row>
    <row r="2366" spans="3:3" x14ac:dyDescent="0.25">
      <c r="C2366" s="26">
        <v>2364</v>
      </c>
    </row>
    <row r="2367" spans="3:3" x14ac:dyDescent="0.25">
      <c r="C2367" s="26">
        <v>2365</v>
      </c>
    </row>
    <row r="2368" spans="3:3" x14ac:dyDescent="0.25">
      <c r="C2368" s="26">
        <v>2366</v>
      </c>
    </row>
    <row r="2369" spans="3:3" x14ac:dyDescent="0.25">
      <c r="C2369" s="26">
        <v>2367</v>
      </c>
    </row>
    <row r="2370" spans="3:3" x14ac:dyDescent="0.25">
      <c r="C2370" s="26">
        <v>2368</v>
      </c>
    </row>
    <row r="2371" spans="3:3" x14ac:dyDescent="0.25">
      <c r="C2371" s="26">
        <v>2369</v>
      </c>
    </row>
    <row r="2372" spans="3:3" x14ac:dyDescent="0.25">
      <c r="C2372" s="26">
        <v>2370</v>
      </c>
    </row>
    <row r="2373" spans="3:3" x14ac:dyDescent="0.25">
      <c r="C2373" s="26">
        <v>2371</v>
      </c>
    </row>
    <row r="2374" spans="3:3" x14ac:dyDescent="0.25">
      <c r="C2374" s="26">
        <v>2372</v>
      </c>
    </row>
    <row r="2375" spans="3:3" x14ac:dyDescent="0.25">
      <c r="C2375" s="26">
        <v>2373</v>
      </c>
    </row>
    <row r="2376" spans="3:3" x14ac:dyDescent="0.25">
      <c r="C2376" s="26">
        <v>2374</v>
      </c>
    </row>
    <row r="2377" spans="3:3" x14ac:dyDescent="0.25">
      <c r="C2377" s="26">
        <v>2375</v>
      </c>
    </row>
    <row r="2378" spans="3:3" x14ac:dyDescent="0.25">
      <c r="C2378" s="26">
        <v>2376</v>
      </c>
    </row>
    <row r="2379" spans="3:3" x14ac:dyDescent="0.25">
      <c r="C2379" s="26">
        <v>2377</v>
      </c>
    </row>
    <row r="2380" spans="3:3" x14ac:dyDescent="0.25">
      <c r="C2380" s="26">
        <v>2378</v>
      </c>
    </row>
    <row r="2381" spans="3:3" x14ac:dyDescent="0.25">
      <c r="C2381" s="26">
        <v>2379</v>
      </c>
    </row>
    <row r="2382" spans="3:3" x14ac:dyDescent="0.25">
      <c r="C2382" s="26">
        <v>2380</v>
      </c>
    </row>
    <row r="2383" spans="3:3" x14ac:dyDescent="0.25">
      <c r="C2383" s="26">
        <v>2381</v>
      </c>
    </row>
    <row r="2384" spans="3:3" x14ac:dyDescent="0.25">
      <c r="C2384" s="26">
        <v>2382</v>
      </c>
    </row>
    <row r="2385" spans="3:3" x14ac:dyDescent="0.25">
      <c r="C2385" s="26">
        <v>2383</v>
      </c>
    </row>
    <row r="2386" spans="3:3" x14ac:dyDescent="0.25">
      <c r="C2386" s="26">
        <v>2384</v>
      </c>
    </row>
    <row r="2387" spans="3:3" x14ac:dyDescent="0.25">
      <c r="C2387" s="26">
        <v>2385</v>
      </c>
    </row>
    <row r="2388" spans="3:3" x14ac:dyDescent="0.25">
      <c r="C2388" s="26">
        <v>2386</v>
      </c>
    </row>
    <row r="2389" spans="3:3" x14ac:dyDescent="0.25">
      <c r="C2389" s="26">
        <v>2387</v>
      </c>
    </row>
    <row r="2390" spans="3:3" x14ac:dyDescent="0.25">
      <c r="C2390" s="26">
        <v>2388</v>
      </c>
    </row>
    <row r="2391" spans="3:3" x14ac:dyDescent="0.25">
      <c r="C2391" s="26">
        <v>2389</v>
      </c>
    </row>
    <row r="2392" spans="3:3" x14ac:dyDescent="0.25">
      <c r="C2392" s="26">
        <v>2390</v>
      </c>
    </row>
    <row r="2393" spans="3:3" x14ac:dyDescent="0.25">
      <c r="C2393" s="26">
        <v>2391</v>
      </c>
    </row>
    <row r="2394" spans="3:3" x14ac:dyDescent="0.25">
      <c r="C2394" s="26">
        <v>2392</v>
      </c>
    </row>
    <row r="2395" spans="3:3" x14ac:dyDescent="0.25">
      <c r="C2395" s="26">
        <v>2393</v>
      </c>
    </row>
    <row r="2396" spans="3:3" x14ac:dyDescent="0.25">
      <c r="C2396" s="26">
        <v>2394</v>
      </c>
    </row>
    <row r="2397" spans="3:3" x14ac:dyDescent="0.25">
      <c r="C2397" s="26">
        <v>2395</v>
      </c>
    </row>
    <row r="2398" spans="3:3" x14ac:dyDescent="0.25">
      <c r="C2398" s="26">
        <v>2396</v>
      </c>
    </row>
    <row r="2399" spans="3:3" x14ac:dyDescent="0.25">
      <c r="C2399" s="26">
        <v>2397</v>
      </c>
    </row>
    <row r="2400" spans="3:3" x14ac:dyDescent="0.25">
      <c r="C2400" s="26">
        <v>2398</v>
      </c>
    </row>
    <row r="2401" spans="3:3" x14ac:dyDescent="0.25">
      <c r="C2401" s="26">
        <v>2399</v>
      </c>
    </row>
    <row r="2402" spans="3:3" x14ac:dyDescent="0.25">
      <c r="C2402" s="26">
        <v>2400</v>
      </c>
    </row>
    <row r="2403" spans="3:3" x14ac:dyDescent="0.25">
      <c r="C2403" s="26">
        <v>2401</v>
      </c>
    </row>
    <row r="2404" spans="3:3" x14ac:dyDescent="0.25">
      <c r="C2404" s="26">
        <v>2402</v>
      </c>
    </row>
    <row r="2405" spans="3:3" x14ac:dyDescent="0.25">
      <c r="C2405" s="26">
        <v>2403</v>
      </c>
    </row>
    <row r="2406" spans="3:3" x14ac:dyDescent="0.25">
      <c r="C2406" s="26">
        <v>2404</v>
      </c>
    </row>
    <row r="2407" spans="3:3" x14ac:dyDescent="0.25">
      <c r="C2407" s="26">
        <v>2405</v>
      </c>
    </row>
    <row r="2408" spans="3:3" x14ac:dyDescent="0.25">
      <c r="C2408" s="26">
        <v>2406</v>
      </c>
    </row>
    <row r="2409" spans="3:3" x14ac:dyDescent="0.25">
      <c r="C2409" s="26">
        <v>2407</v>
      </c>
    </row>
    <row r="2410" spans="3:3" x14ac:dyDescent="0.25">
      <c r="C2410" s="26">
        <v>2408</v>
      </c>
    </row>
    <row r="2411" spans="3:3" x14ac:dyDescent="0.25">
      <c r="C2411" s="26">
        <v>2409</v>
      </c>
    </row>
    <row r="2412" spans="3:3" x14ac:dyDescent="0.25">
      <c r="C2412" s="26">
        <v>2410</v>
      </c>
    </row>
    <row r="2413" spans="3:3" x14ac:dyDescent="0.25">
      <c r="C2413" s="26">
        <v>2411</v>
      </c>
    </row>
    <row r="2414" spans="3:3" x14ac:dyDescent="0.25">
      <c r="C2414" s="26">
        <v>2412</v>
      </c>
    </row>
    <row r="2415" spans="3:3" x14ac:dyDescent="0.25">
      <c r="C2415" s="26">
        <v>2413</v>
      </c>
    </row>
    <row r="2416" spans="3:3" x14ac:dyDescent="0.25">
      <c r="C2416" s="26">
        <v>2414</v>
      </c>
    </row>
    <row r="2417" spans="3:3" x14ac:dyDescent="0.25">
      <c r="C2417" s="26">
        <v>2415</v>
      </c>
    </row>
    <row r="2418" spans="3:3" x14ac:dyDescent="0.25">
      <c r="C2418" s="26">
        <v>2416</v>
      </c>
    </row>
    <row r="2419" spans="3:3" x14ac:dyDescent="0.25">
      <c r="C2419" s="26">
        <v>2417</v>
      </c>
    </row>
    <row r="2420" spans="3:3" x14ac:dyDescent="0.25">
      <c r="C2420" s="26">
        <v>2418</v>
      </c>
    </row>
    <row r="2421" spans="3:3" x14ac:dyDescent="0.25">
      <c r="C2421" s="26">
        <v>2419</v>
      </c>
    </row>
    <row r="2422" spans="3:3" x14ac:dyDescent="0.25">
      <c r="C2422" s="26">
        <v>2420</v>
      </c>
    </row>
    <row r="2423" spans="3:3" x14ac:dyDescent="0.25">
      <c r="C2423" s="26">
        <v>2421</v>
      </c>
    </row>
    <row r="2424" spans="3:3" x14ac:dyDescent="0.25">
      <c r="C2424" s="26">
        <v>2422</v>
      </c>
    </row>
    <row r="2425" spans="3:3" x14ac:dyDescent="0.25">
      <c r="C2425" s="26">
        <v>2423</v>
      </c>
    </row>
    <row r="2426" spans="3:3" x14ac:dyDescent="0.25">
      <c r="C2426" s="26">
        <v>2424</v>
      </c>
    </row>
    <row r="2427" spans="3:3" x14ac:dyDescent="0.25">
      <c r="C2427" s="26">
        <v>2425</v>
      </c>
    </row>
    <row r="2428" spans="3:3" x14ac:dyDescent="0.25">
      <c r="C2428" s="26">
        <v>2426</v>
      </c>
    </row>
    <row r="2429" spans="3:3" x14ac:dyDescent="0.25">
      <c r="C2429" s="26">
        <v>2427</v>
      </c>
    </row>
    <row r="2430" spans="3:3" x14ac:dyDescent="0.25">
      <c r="C2430" s="26">
        <v>2428</v>
      </c>
    </row>
    <row r="2431" spans="3:3" x14ac:dyDescent="0.25">
      <c r="C2431" s="26">
        <v>2429</v>
      </c>
    </row>
    <row r="2432" spans="3:3" x14ac:dyDescent="0.25">
      <c r="C2432" s="26">
        <v>2430</v>
      </c>
    </row>
    <row r="2433" spans="3:3" x14ac:dyDescent="0.25">
      <c r="C2433" s="26">
        <v>2431</v>
      </c>
    </row>
    <row r="2434" spans="3:3" x14ac:dyDescent="0.25">
      <c r="C2434" s="26">
        <v>2432</v>
      </c>
    </row>
    <row r="2435" spans="3:3" x14ac:dyDescent="0.25">
      <c r="C2435" s="26">
        <v>2433</v>
      </c>
    </row>
    <row r="2436" spans="3:3" x14ac:dyDescent="0.25">
      <c r="C2436" s="26">
        <v>2434</v>
      </c>
    </row>
    <row r="2437" spans="3:3" x14ac:dyDescent="0.25">
      <c r="C2437" s="26">
        <v>2435</v>
      </c>
    </row>
    <row r="2438" spans="3:3" x14ac:dyDescent="0.25">
      <c r="C2438" s="26">
        <v>2436</v>
      </c>
    </row>
    <row r="2439" spans="3:3" x14ac:dyDescent="0.25">
      <c r="C2439" s="26">
        <v>2437</v>
      </c>
    </row>
    <row r="2440" spans="3:3" x14ac:dyDescent="0.25">
      <c r="C2440" s="26">
        <v>2438</v>
      </c>
    </row>
    <row r="2441" spans="3:3" x14ac:dyDescent="0.25">
      <c r="C2441" s="26">
        <v>2439</v>
      </c>
    </row>
    <row r="2442" spans="3:3" x14ac:dyDescent="0.25">
      <c r="C2442" s="26">
        <v>2440</v>
      </c>
    </row>
    <row r="2443" spans="3:3" x14ac:dyDescent="0.25">
      <c r="C2443" s="26">
        <v>2441</v>
      </c>
    </row>
    <row r="2444" spans="3:3" x14ac:dyDescent="0.25">
      <c r="C2444" s="26">
        <v>2442</v>
      </c>
    </row>
    <row r="2445" spans="3:3" x14ac:dyDescent="0.25">
      <c r="C2445" s="26">
        <v>2443</v>
      </c>
    </row>
    <row r="2446" spans="3:3" x14ac:dyDescent="0.25">
      <c r="C2446" s="26">
        <v>2444</v>
      </c>
    </row>
    <row r="2447" spans="3:3" x14ac:dyDescent="0.25">
      <c r="C2447" s="26">
        <v>2445</v>
      </c>
    </row>
    <row r="2448" spans="3:3" x14ac:dyDescent="0.25">
      <c r="C2448" s="26">
        <v>2446</v>
      </c>
    </row>
    <row r="2449" spans="3:3" x14ac:dyDescent="0.25">
      <c r="C2449" s="26">
        <v>2447</v>
      </c>
    </row>
    <row r="2450" spans="3:3" x14ac:dyDescent="0.25">
      <c r="C2450" s="26">
        <v>2448</v>
      </c>
    </row>
    <row r="2451" spans="3:3" x14ac:dyDescent="0.25">
      <c r="C2451" s="26">
        <v>2449</v>
      </c>
    </row>
    <row r="2452" spans="3:3" x14ac:dyDescent="0.25">
      <c r="C2452" s="26">
        <v>2450</v>
      </c>
    </row>
    <row r="2453" spans="3:3" x14ac:dyDescent="0.25">
      <c r="C2453" s="26">
        <v>2451</v>
      </c>
    </row>
    <row r="2454" spans="3:3" x14ac:dyDescent="0.25">
      <c r="C2454" s="26">
        <v>2452</v>
      </c>
    </row>
    <row r="2455" spans="3:3" x14ac:dyDescent="0.25">
      <c r="C2455" s="26">
        <v>2453</v>
      </c>
    </row>
    <row r="2456" spans="3:3" x14ac:dyDescent="0.25">
      <c r="C2456" s="26">
        <v>2454</v>
      </c>
    </row>
    <row r="2457" spans="3:3" x14ac:dyDescent="0.25">
      <c r="C2457" s="26">
        <v>2455</v>
      </c>
    </row>
    <row r="2458" spans="3:3" x14ac:dyDescent="0.25">
      <c r="C2458" s="26">
        <v>2456</v>
      </c>
    </row>
    <row r="2459" spans="3:3" x14ac:dyDescent="0.25">
      <c r="C2459" s="26">
        <v>2457</v>
      </c>
    </row>
    <row r="2460" spans="3:3" x14ac:dyDescent="0.25">
      <c r="C2460" s="26">
        <v>2458</v>
      </c>
    </row>
    <row r="2461" spans="3:3" x14ac:dyDescent="0.25">
      <c r="C2461" s="26">
        <v>2459</v>
      </c>
    </row>
    <row r="2462" spans="3:3" x14ac:dyDescent="0.25">
      <c r="C2462" s="26">
        <v>2460</v>
      </c>
    </row>
    <row r="2463" spans="3:3" x14ac:dyDescent="0.25">
      <c r="C2463" s="26">
        <v>2461</v>
      </c>
    </row>
    <row r="2464" spans="3:3" x14ac:dyDescent="0.25">
      <c r="C2464" s="26">
        <v>2462</v>
      </c>
    </row>
    <row r="2465" spans="3:3" x14ac:dyDescent="0.25">
      <c r="C2465" s="26">
        <v>2463</v>
      </c>
    </row>
    <row r="2466" spans="3:3" x14ac:dyDescent="0.25">
      <c r="C2466" s="26">
        <v>2464</v>
      </c>
    </row>
    <row r="2467" spans="3:3" x14ac:dyDescent="0.25">
      <c r="C2467" s="26">
        <v>2465</v>
      </c>
    </row>
    <row r="2468" spans="3:3" x14ac:dyDescent="0.25">
      <c r="C2468" s="26">
        <v>2466</v>
      </c>
    </row>
    <row r="2469" spans="3:3" x14ac:dyDescent="0.25">
      <c r="C2469" s="26">
        <v>2467</v>
      </c>
    </row>
    <row r="2470" spans="3:3" x14ac:dyDescent="0.25">
      <c r="C2470" s="26">
        <v>2468</v>
      </c>
    </row>
    <row r="2471" spans="3:3" x14ac:dyDescent="0.25">
      <c r="C2471" s="26">
        <v>2469</v>
      </c>
    </row>
    <row r="2472" spans="3:3" x14ac:dyDescent="0.25">
      <c r="C2472" s="26">
        <v>2470</v>
      </c>
    </row>
    <row r="2473" spans="3:3" x14ac:dyDescent="0.25">
      <c r="C2473" s="26">
        <v>2471</v>
      </c>
    </row>
    <row r="2474" spans="3:3" x14ac:dyDescent="0.25">
      <c r="C2474" s="26">
        <v>2472</v>
      </c>
    </row>
    <row r="2475" spans="3:3" x14ac:dyDescent="0.25">
      <c r="C2475" s="26">
        <v>2473</v>
      </c>
    </row>
    <row r="2476" spans="3:3" x14ac:dyDescent="0.25">
      <c r="C2476" s="26">
        <v>2474</v>
      </c>
    </row>
    <row r="2477" spans="3:3" x14ac:dyDescent="0.25">
      <c r="C2477" s="26">
        <v>2475</v>
      </c>
    </row>
    <row r="2478" spans="3:3" x14ac:dyDescent="0.25">
      <c r="C2478" s="26">
        <v>2476</v>
      </c>
    </row>
    <row r="2479" spans="3:3" x14ac:dyDescent="0.25">
      <c r="C2479" s="26">
        <v>2477</v>
      </c>
    </row>
    <row r="2480" spans="3:3" x14ac:dyDescent="0.25">
      <c r="C2480" s="26">
        <v>2478</v>
      </c>
    </row>
    <row r="2481" spans="3:3" x14ac:dyDescent="0.25">
      <c r="C2481" s="26">
        <v>2479</v>
      </c>
    </row>
    <row r="2482" spans="3:3" x14ac:dyDescent="0.25">
      <c r="C2482" s="26">
        <v>2480</v>
      </c>
    </row>
    <row r="2483" spans="3:3" x14ac:dyDescent="0.25">
      <c r="C2483" s="26">
        <v>2481</v>
      </c>
    </row>
    <row r="2484" spans="3:3" x14ac:dyDescent="0.25">
      <c r="C2484" s="26">
        <v>2482</v>
      </c>
    </row>
    <row r="2485" spans="3:3" x14ac:dyDescent="0.25">
      <c r="C2485" s="26">
        <v>2483</v>
      </c>
    </row>
    <row r="2486" spans="3:3" x14ac:dyDescent="0.25">
      <c r="C2486" s="26">
        <v>2484</v>
      </c>
    </row>
    <row r="2487" spans="3:3" x14ac:dyDescent="0.25">
      <c r="C2487" s="26">
        <v>2485</v>
      </c>
    </row>
    <row r="2488" spans="3:3" x14ac:dyDescent="0.25">
      <c r="C2488" s="26">
        <v>2486</v>
      </c>
    </row>
    <row r="2489" spans="3:3" x14ac:dyDescent="0.25">
      <c r="C2489" s="26">
        <v>2487</v>
      </c>
    </row>
    <row r="2490" spans="3:3" x14ac:dyDescent="0.25">
      <c r="C2490" s="26">
        <v>2488</v>
      </c>
    </row>
    <row r="2491" spans="3:3" x14ac:dyDescent="0.25">
      <c r="C2491" s="26">
        <v>2489</v>
      </c>
    </row>
    <row r="2492" spans="3:3" x14ac:dyDescent="0.25">
      <c r="C2492" s="26">
        <v>2490</v>
      </c>
    </row>
    <row r="2493" spans="3:3" x14ac:dyDescent="0.25">
      <c r="C2493" s="26">
        <v>2491</v>
      </c>
    </row>
    <row r="2494" spans="3:3" x14ac:dyDescent="0.25">
      <c r="C2494" s="26">
        <v>2492</v>
      </c>
    </row>
    <row r="2495" spans="3:3" x14ac:dyDescent="0.25">
      <c r="C2495" s="26">
        <v>2493</v>
      </c>
    </row>
    <row r="2496" spans="3:3" x14ac:dyDescent="0.25">
      <c r="C2496" s="26">
        <v>2494</v>
      </c>
    </row>
    <row r="2497" spans="3:3" x14ac:dyDescent="0.25">
      <c r="C2497" s="26">
        <v>2495</v>
      </c>
    </row>
    <row r="2498" spans="3:3" x14ac:dyDescent="0.25">
      <c r="C2498" s="26">
        <v>2496</v>
      </c>
    </row>
    <row r="2499" spans="3:3" x14ac:dyDescent="0.25">
      <c r="C2499" s="26">
        <v>2497</v>
      </c>
    </row>
    <row r="2500" spans="3:3" x14ac:dyDescent="0.25">
      <c r="C2500" s="26">
        <v>2498</v>
      </c>
    </row>
    <row r="2501" spans="3:3" x14ac:dyDescent="0.25">
      <c r="C2501" s="26">
        <v>2499</v>
      </c>
    </row>
    <row r="2502" spans="3:3" x14ac:dyDescent="0.25">
      <c r="C2502" s="26">
        <v>2500</v>
      </c>
    </row>
    <row r="2503" spans="3:3" x14ac:dyDescent="0.25">
      <c r="C2503" s="26">
        <v>2501</v>
      </c>
    </row>
    <row r="2504" spans="3:3" x14ac:dyDescent="0.25">
      <c r="C2504" s="26">
        <v>2502</v>
      </c>
    </row>
    <row r="2505" spans="3:3" x14ac:dyDescent="0.25">
      <c r="C2505" s="26">
        <v>2503</v>
      </c>
    </row>
    <row r="2506" spans="3:3" x14ac:dyDescent="0.25">
      <c r="C2506" s="26">
        <v>2504</v>
      </c>
    </row>
    <row r="2507" spans="3:3" x14ac:dyDescent="0.25">
      <c r="C2507" s="26">
        <v>2505</v>
      </c>
    </row>
    <row r="2508" spans="3:3" x14ac:dyDescent="0.25">
      <c r="C2508" s="26">
        <v>2506</v>
      </c>
    </row>
    <row r="2509" spans="3:3" x14ac:dyDescent="0.25">
      <c r="C2509" s="26">
        <v>2507</v>
      </c>
    </row>
    <row r="2510" spans="3:3" x14ac:dyDescent="0.25">
      <c r="C2510" s="26">
        <v>2508</v>
      </c>
    </row>
    <row r="2511" spans="3:3" x14ac:dyDescent="0.25">
      <c r="C2511" s="26">
        <v>2509</v>
      </c>
    </row>
    <row r="2512" spans="3:3" x14ac:dyDescent="0.25">
      <c r="C2512" s="26">
        <v>2510</v>
      </c>
    </row>
    <row r="2513" spans="3:3" x14ac:dyDescent="0.25">
      <c r="C2513" s="26">
        <v>2511</v>
      </c>
    </row>
    <row r="2514" spans="3:3" x14ac:dyDescent="0.25">
      <c r="C2514" s="26">
        <v>2512</v>
      </c>
    </row>
    <row r="2515" spans="3:3" x14ac:dyDescent="0.25">
      <c r="C2515" s="26">
        <v>2513</v>
      </c>
    </row>
    <row r="2516" spans="3:3" x14ac:dyDescent="0.25">
      <c r="C2516" s="26">
        <v>2514</v>
      </c>
    </row>
    <row r="2517" spans="3:3" x14ac:dyDescent="0.25">
      <c r="C2517" s="26">
        <v>2515</v>
      </c>
    </row>
    <row r="2518" spans="3:3" x14ac:dyDescent="0.25">
      <c r="C2518" s="26">
        <v>2516</v>
      </c>
    </row>
    <row r="2519" spans="3:3" x14ac:dyDescent="0.25">
      <c r="C2519" s="26">
        <v>2517</v>
      </c>
    </row>
    <row r="2520" spans="3:3" x14ac:dyDescent="0.25">
      <c r="C2520" s="26">
        <v>2518</v>
      </c>
    </row>
    <row r="2521" spans="3:3" x14ac:dyDescent="0.25">
      <c r="C2521" s="26">
        <v>2519</v>
      </c>
    </row>
    <row r="2522" spans="3:3" x14ac:dyDescent="0.25">
      <c r="C2522" s="26">
        <v>2520</v>
      </c>
    </row>
    <row r="2523" spans="3:3" x14ac:dyDescent="0.25">
      <c r="C2523" s="26">
        <v>2521</v>
      </c>
    </row>
    <row r="2524" spans="3:3" x14ac:dyDescent="0.25">
      <c r="C2524" s="26">
        <v>2522</v>
      </c>
    </row>
    <row r="2525" spans="3:3" x14ac:dyDescent="0.25">
      <c r="C2525" s="26">
        <v>2523</v>
      </c>
    </row>
    <row r="2526" spans="3:3" x14ac:dyDescent="0.25">
      <c r="C2526" s="26">
        <v>2524</v>
      </c>
    </row>
    <row r="2527" spans="3:3" x14ac:dyDescent="0.25">
      <c r="C2527" s="26">
        <v>2525</v>
      </c>
    </row>
    <row r="2528" spans="3:3" x14ac:dyDescent="0.25">
      <c r="C2528" s="26">
        <v>2526</v>
      </c>
    </row>
    <row r="2529" spans="3:3" x14ac:dyDescent="0.25">
      <c r="C2529" s="26">
        <v>2527</v>
      </c>
    </row>
    <row r="2530" spans="3:3" x14ac:dyDescent="0.25">
      <c r="C2530" s="26">
        <v>2528</v>
      </c>
    </row>
    <row r="2531" spans="3:3" x14ac:dyDescent="0.25">
      <c r="C2531" s="26">
        <v>2529</v>
      </c>
    </row>
    <row r="2532" spans="3:3" x14ac:dyDescent="0.25">
      <c r="C2532" s="26">
        <v>2530</v>
      </c>
    </row>
    <row r="2533" spans="3:3" x14ac:dyDescent="0.25">
      <c r="C2533" s="26">
        <v>2531</v>
      </c>
    </row>
    <row r="2534" spans="3:3" x14ac:dyDescent="0.25">
      <c r="C2534" s="26">
        <v>2532</v>
      </c>
    </row>
    <row r="2535" spans="3:3" x14ac:dyDescent="0.25">
      <c r="C2535" s="26">
        <v>2533</v>
      </c>
    </row>
    <row r="2536" spans="3:3" x14ac:dyDescent="0.25">
      <c r="C2536" s="26">
        <v>2534</v>
      </c>
    </row>
    <row r="2537" spans="3:3" x14ac:dyDescent="0.25">
      <c r="C2537" s="26">
        <v>2535</v>
      </c>
    </row>
    <row r="2538" spans="3:3" x14ac:dyDescent="0.25">
      <c r="C2538" s="26">
        <v>2536</v>
      </c>
    </row>
    <row r="2539" spans="3:3" x14ac:dyDescent="0.25">
      <c r="C2539" s="26">
        <v>2537</v>
      </c>
    </row>
    <row r="2540" spans="3:3" x14ac:dyDescent="0.25">
      <c r="C2540" s="26">
        <v>2538</v>
      </c>
    </row>
    <row r="2541" spans="3:3" x14ac:dyDescent="0.25">
      <c r="C2541" s="26">
        <v>2539</v>
      </c>
    </row>
    <row r="2542" spans="3:3" x14ac:dyDescent="0.25">
      <c r="C2542" s="26">
        <v>2540</v>
      </c>
    </row>
    <row r="2543" spans="3:3" x14ac:dyDescent="0.25">
      <c r="C2543" s="26">
        <v>2541</v>
      </c>
    </row>
    <row r="2544" spans="3:3" x14ac:dyDescent="0.25">
      <c r="C2544" s="26">
        <v>2542</v>
      </c>
    </row>
    <row r="2545" spans="3:3" x14ac:dyDescent="0.25">
      <c r="C2545" s="26">
        <v>2543</v>
      </c>
    </row>
    <row r="2546" spans="3:3" x14ac:dyDescent="0.25">
      <c r="C2546" s="26">
        <v>2544</v>
      </c>
    </row>
    <row r="2547" spans="3:3" x14ac:dyDescent="0.25">
      <c r="C2547" s="26">
        <v>2545</v>
      </c>
    </row>
    <row r="2548" spans="3:3" x14ac:dyDescent="0.25">
      <c r="C2548" s="26">
        <v>2546</v>
      </c>
    </row>
    <row r="2549" spans="3:3" x14ac:dyDescent="0.25">
      <c r="C2549" s="26">
        <v>2547</v>
      </c>
    </row>
    <row r="2550" spans="3:3" x14ac:dyDescent="0.25">
      <c r="C2550" s="26">
        <v>2548</v>
      </c>
    </row>
    <row r="2551" spans="3:3" x14ac:dyDescent="0.25">
      <c r="C2551" s="26">
        <v>2549</v>
      </c>
    </row>
    <row r="2552" spans="3:3" x14ac:dyDescent="0.25">
      <c r="C2552" s="26">
        <v>2550</v>
      </c>
    </row>
    <row r="2553" spans="3:3" x14ac:dyDescent="0.25">
      <c r="C2553" s="26">
        <v>2551</v>
      </c>
    </row>
    <row r="2554" spans="3:3" x14ac:dyDescent="0.25">
      <c r="C2554" s="26">
        <v>2552</v>
      </c>
    </row>
    <row r="2555" spans="3:3" x14ac:dyDescent="0.25">
      <c r="C2555" s="26">
        <v>2553</v>
      </c>
    </row>
    <row r="2556" spans="3:3" x14ac:dyDescent="0.25">
      <c r="C2556" s="26">
        <v>2554</v>
      </c>
    </row>
    <row r="2557" spans="3:3" x14ac:dyDescent="0.25">
      <c r="C2557" s="26">
        <v>2555</v>
      </c>
    </row>
    <row r="2558" spans="3:3" x14ac:dyDescent="0.25">
      <c r="C2558" s="26">
        <v>2556</v>
      </c>
    </row>
    <row r="2559" spans="3:3" x14ac:dyDescent="0.25">
      <c r="C2559" s="26">
        <v>2557</v>
      </c>
    </row>
    <row r="2560" spans="3:3" x14ac:dyDescent="0.25">
      <c r="C2560" s="26">
        <v>2558</v>
      </c>
    </row>
    <row r="2561" spans="3:3" x14ac:dyDescent="0.25">
      <c r="C2561" s="26">
        <v>2559</v>
      </c>
    </row>
    <row r="2562" spans="3:3" x14ac:dyDescent="0.25">
      <c r="C2562" s="26">
        <v>2560</v>
      </c>
    </row>
    <row r="2563" spans="3:3" x14ac:dyDescent="0.25">
      <c r="C2563" s="26">
        <v>2561</v>
      </c>
    </row>
    <row r="2564" spans="3:3" x14ac:dyDescent="0.25">
      <c r="C2564" s="26">
        <v>2562</v>
      </c>
    </row>
    <row r="2565" spans="3:3" x14ac:dyDescent="0.25">
      <c r="C2565" s="26">
        <v>2563</v>
      </c>
    </row>
    <row r="2566" spans="3:3" x14ac:dyDescent="0.25">
      <c r="C2566" s="26">
        <v>2564</v>
      </c>
    </row>
    <row r="2567" spans="3:3" x14ac:dyDescent="0.25">
      <c r="C2567" s="26">
        <v>2565</v>
      </c>
    </row>
    <row r="2568" spans="3:3" x14ac:dyDescent="0.25">
      <c r="C2568" s="26">
        <v>2566</v>
      </c>
    </row>
    <row r="2569" spans="3:3" x14ac:dyDescent="0.25">
      <c r="C2569" s="26">
        <v>2567</v>
      </c>
    </row>
    <row r="2570" spans="3:3" x14ac:dyDescent="0.25">
      <c r="C2570" s="26">
        <v>2568</v>
      </c>
    </row>
    <row r="2571" spans="3:3" x14ac:dyDescent="0.25">
      <c r="C2571" s="26">
        <v>2569</v>
      </c>
    </row>
    <row r="2572" spans="3:3" x14ac:dyDescent="0.25">
      <c r="C2572" s="26">
        <v>2570</v>
      </c>
    </row>
    <row r="2573" spans="3:3" x14ac:dyDescent="0.25">
      <c r="C2573" s="26">
        <v>2571</v>
      </c>
    </row>
    <row r="2574" spans="3:3" x14ac:dyDescent="0.25">
      <c r="C2574" s="26">
        <v>2572</v>
      </c>
    </row>
    <row r="2575" spans="3:3" x14ac:dyDescent="0.25">
      <c r="C2575" s="26">
        <v>2573</v>
      </c>
    </row>
    <row r="2576" spans="3:3" x14ac:dyDescent="0.25">
      <c r="C2576" s="26">
        <v>2574</v>
      </c>
    </row>
    <row r="2577" spans="3:3" x14ac:dyDescent="0.25">
      <c r="C2577" s="26">
        <v>2575</v>
      </c>
    </row>
    <row r="2578" spans="3:3" x14ac:dyDescent="0.25">
      <c r="C2578" s="26">
        <v>2576</v>
      </c>
    </row>
    <row r="2579" spans="3:3" x14ac:dyDescent="0.25">
      <c r="C2579" s="26">
        <v>2577</v>
      </c>
    </row>
    <row r="2580" spans="3:3" x14ac:dyDescent="0.25">
      <c r="C2580" s="26">
        <v>2578</v>
      </c>
    </row>
    <row r="2581" spans="3:3" x14ac:dyDescent="0.25">
      <c r="C2581" s="26">
        <v>2579</v>
      </c>
    </row>
    <row r="2582" spans="3:3" x14ac:dyDescent="0.25">
      <c r="C2582" s="26">
        <v>2580</v>
      </c>
    </row>
    <row r="2583" spans="3:3" x14ac:dyDescent="0.25">
      <c r="C2583" s="26">
        <v>2581</v>
      </c>
    </row>
    <row r="2584" spans="3:3" x14ac:dyDescent="0.25">
      <c r="C2584" s="26">
        <v>2582</v>
      </c>
    </row>
    <row r="2585" spans="3:3" x14ac:dyDescent="0.25">
      <c r="C2585" s="26">
        <v>2583</v>
      </c>
    </row>
    <row r="2586" spans="3:3" x14ac:dyDescent="0.25">
      <c r="C2586" s="26">
        <v>2584</v>
      </c>
    </row>
    <row r="2587" spans="3:3" x14ac:dyDescent="0.25">
      <c r="C2587" s="26">
        <v>2585</v>
      </c>
    </row>
    <row r="2588" spans="3:3" x14ac:dyDescent="0.25">
      <c r="C2588" s="26">
        <v>2586</v>
      </c>
    </row>
    <row r="2589" spans="3:3" x14ac:dyDescent="0.25">
      <c r="C2589" s="26">
        <v>2587</v>
      </c>
    </row>
    <row r="2590" spans="3:3" x14ac:dyDescent="0.25">
      <c r="C2590" s="26">
        <v>2588</v>
      </c>
    </row>
    <row r="2591" spans="3:3" x14ac:dyDescent="0.25">
      <c r="C2591" s="26">
        <v>2589</v>
      </c>
    </row>
    <row r="2592" spans="3:3" x14ac:dyDescent="0.25">
      <c r="C2592" s="26">
        <v>2590</v>
      </c>
    </row>
    <row r="2593" spans="3:3" x14ac:dyDescent="0.25">
      <c r="C2593" s="26">
        <v>2591</v>
      </c>
    </row>
    <row r="2594" spans="3:3" x14ac:dyDescent="0.25">
      <c r="C2594" s="26">
        <v>2592</v>
      </c>
    </row>
    <row r="2595" spans="3:3" x14ac:dyDescent="0.25">
      <c r="C2595" s="26">
        <v>2593</v>
      </c>
    </row>
    <row r="2596" spans="3:3" x14ac:dyDescent="0.25">
      <c r="C2596" s="26">
        <v>2594</v>
      </c>
    </row>
    <row r="2597" spans="3:3" x14ac:dyDescent="0.25">
      <c r="C2597" s="26">
        <v>2595</v>
      </c>
    </row>
    <row r="2598" spans="3:3" x14ac:dyDescent="0.25">
      <c r="C2598" s="26">
        <v>2596</v>
      </c>
    </row>
    <row r="2599" spans="3:3" x14ac:dyDescent="0.25">
      <c r="C2599" s="26">
        <v>2597</v>
      </c>
    </row>
    <row r="2600" spans="3:3" x14ac:dyDescent="0.25">
      <c r="C2600" s="26">
        <v>2598</v>
      </c>
    </row>
    <row r="2601" spans="3:3" x14ac:dyDescent="0.25">
      <c r="C2601" s="26">
        <v>2599</v>
      </c>
    </row>
    <row r="2602" spans="3:3" x14ac:dyDescent="0.25">
      <c r="C2602" s="26">
        <v>2600</v>
      </c>
    </row>
    <row r="2603" spans="3:3" x14ac:dyDescent="0.25">
      <c r="C2603" s="26">
        <v>2601</v>
      </c>
    </row>
    <row r="2604" spans="3:3" x14ac:dyDescent="0.25">
      <c r="C2604" s="26">
        <v>2602</v>
      </c>
    </row>
    <row r="2605" spans="3:3" x14ac:dyDescent="0.25">
      <c r="C2605" s="26">
        <v>2603</v>
      </c>
    </row>
    <row r="2606" spans="3:3" x14ac:dyDescent="0.25">
      <c r="C2606" s="26">
        <v>2604</v>
      </c>
    </row>
    <row r="2607" spans="3:3" x14ac:dyDescent="0.25">
      <c r="C2607" s="26">
        <v>2605</v>
      </c>
    </row>
    <row r="2608" spans="3:3" x14ac:dyDescent="0.25">
      <c r="C2608" s="26">
        <v>2606</v>
      </c>
    </row>
    <row r="2609" spans="3:3" x14ac:dyDescent="0.25">
      <c r="C2609" s="26">
        <v>2607</v>
      </c>
    </row>
    <row r="2610" spans="3:3" x14ac:dyDescent="0.25">
      <c r="C2610" s="26">
        <v>2608</v>
      </c>
    </row>
    <row r="2611" spans="3:3" x14ac:dyDescent="0.25">
      <c r="C2611" s="26">
        <v>2609</v>
      </c>
    </row>
    <row r="2612" spans="3:3" x14ac:dyDescent="0.25">
      <c r="C2612" s="26">
        <v>2610</v>
      </c>
    </row>
    <row r="2613" spans="3:3" x14ac:dyDescent="0.25">
      <c r="C2613" s="26">
        <v>2611</v>
      </c>
    </row>
    <row r="2614" spans="3:3" x14ac:dyDescent="0.25">
      <c r="C2614" s="26">
        <v>2612</v>
      </c>
    </row>
    <row r="2615" spans="3:3" x14ac:dyDescent="0.25">
      <c r="C2615" s="26">
        <v>2613</v>
      </c>
    </row>
    <row r="2616" spans="3:3" x14ac:dyDescent="0.25">
      <c r="C2616" s="26">
        <v>2614</v>
      </c>
    </row>
    <row r="2617" spans="3:3" x14ac:dyDescent="0.25">
      <c r="C2617" s="26">
        <v>2615</v>
      </c>
    </row>
    <row r="2618" spans="3:3" x14ac:dyDescent="0.25">
      <c r="C2618" s="26">
        <v>2616</v>
      </c>
    </row>
    <row r="2619" spans="3:3" x14ac:dyDescent="0.25">
      <c r="C2619" s="26">
        <v>2617</v>
      </c>
    </row>
    <row r="2620" spans="3:3" x14ac:dyDescent="0.25">
      <c r="C2620" s="26">
        <v>2618</v>
      </c>
    </row>
    <row r="2621" spans="3:3" x14ac:dyDescent="0.25">
      <c r="C2621" s="26">
        <v>2619</v>
      </c>
    </row>
    <row r="2622" spans="3:3" x14ac:dyDescent="0.25">
      <c r="C2622" s="26">
        <v>2620</v>
      </c>
    </row>
    <row r="2623" spans="3:3" x14ac:dyDescent="0.25">
      <c r="C2623" s="26">
        <v>2621</v>
      </c>
    </row>
    <row r="2624" spans="3:3" x14ac:dyDescent="0.25">
      <c r="C2624" s="26">
        <v>2622</v>
      </c>
    </row>
    <row r="2625" spans="3:3" x14ac:dyDescent="0.25">
      <c r="C2625" s="26">
        <v>2623</v>
      </c>
    </row>
    <row r="2626" spans="3:3" x14ac:dyDescent="0.25">
      <c r="C2626" s="26">
        <v>2624</v>
      </c>
    </row>
    <row r="2627" spans="3:3" x14ac:dyDescent="0.25">
      <c r="C2627" s="26">
        <v>2625</v>
      </c>
    </row>
    <row r="2628" spans="3:3" x14ac:dyDescent="0.25">
      <c r="C2628" s="26">
        <v>2626</v>
      </c>
    </row>
    <row r="2629" spans="3:3" x14ac:dyDescent="0.25">
      <c r="C2629" s="26">
        <v>2627</v>
      </c>
    </row>
    <row r="2630" spans="3:3" x14ac:dyDescent="0.25">
      <c r="C2630" s="26">
        <v>2628</v>
      </c>
    </row>
    <row r="2631" spans="3:3" x14ac:dyDescent="0.25">
      <c r="C2631" s="26">
        <v>2629</v>
      </c>
    </row>
    <row r="2632" spans="3:3" x14ac:dyDescent="0.25">
      <c r="C2632" s="26">
        <v>2630</v>
      </c>
    </row>
    <row r="2633" spans="3:3" x14ac:dyDescent="0.25">
      <c r="C2633" s="26">
        <v>2631</v>
      </c>
    </row>
    <row r="2634" spans="3:3" x14ac:dyDescent="0.25">
      <c r="C2634" s="26">
        <v>2632</v>
      </c>
    </row>
    <row r="2635" spans="3:3" x14ac:dyDescent="0.25">
      <c r="C2635" s="26">
        <v>2633</v>
      </c>
    </row>
    <row r="2636" spans="3:3" x14ac:dyDescent="0.25">
      <c r="C2636" s="26">
        <v>2634</v>
      </c>
    </row>
    <row r="2637" spans="3:3" x14ac:dyDescent="0.25">
      <c r="C2637" s="26">
        <v>2635</v>
      </c>
    </row>
    <row r="2638" spans="3:3" x14ac:dyDescent="0.25">
      <c r="C2638" s="26">
        <v>2636</v>
      </c>
    </row>
    <row r="2639" spans="3:3" x14ac:dyDescent="0.25">
      <c r="C2639" s="26">
        <v>2637</v>
      </c>
    </row>
    <row r="2640" spans="3:3" x14ac:dyDescent="0.25">
      <c r="C2640" s="26">
        <v>2638</v>
      </c>
    </row>
    <row r="2641" spans="3:3" x14ac:dyDescent="0.25">
      <c r="C2641" s="26">
        <v>2639</v>
      </c>
    </row>
    <row r="2642" spans="3:3" x14ac:dyDescent="0.25">
      <c r="C2642" s="26">
        <v>2640</v>
      </c>
    </row>
    <row r="2643" spans="3:3" x14ac:dyDescent="0.25">
      <c r="C2643" s="26">
        <v>2641</v>
      </c>
    </row>
    <row r="2644" spans="3:3" x14ac:dyDescent="0.25">
      <c r="C2644" s="26">
        <v>2642</v>
      </c>
    </row>
    <row r="2645" spans="3:3" x14ac:dyDescent="0.25">
      <c r="C2645" s="26">
        <v>2643</v>
      </c>
    </row>
    <row r="2646" spans="3:3" x14ac:dyDescent="0.25">
      <c r="C2646" s="26">
        <v>2644</v>
      </c>
    </row>
    <row r="2647" spans="3:3" x14ac:dyDescent="0.25">
      <c r="C2647" s="26">
        <v>2645</v>
      </c>
    </row>
    <row r="2648" spans="3:3" x14ac:dyDescent="0.25">
      <c r="C2648" s="26">
        <v>2646</v>
      </c>
    </row>
    <row r="2649" spans="3:3" x14ac:dyDescent="0.25">
      <c r="C2649" s="26">
        <v>2647</v>
      </c>
    </row>
    <row r="2650" spans="3:3" x14ac:dyDescent="0.25">
      <c r="C2650" s="26">
        <v>2648</v>
      </c>
    </row>
    <row r="2651" spans="3:3" x14ac:dyDescent="0.25">
      <c r="C2651" s="26">
        <v>2649</v>
      </c>
    </row>
    <row r="2652" spans="3:3" x14ac:dyDescent="0.25">
      <c r="C2652" s="26">
        <v>2650</v>
      </c>
    </row>
    <row r="2653" spans="3:3" x14ac:dyDescent="0.25">
      <c r="C2653" s="26">
        <v>2651</v>
      </c>
    </row>
    <row r="2654" spans="3:3" x14ac:dyDescent="0.25">
      <c r="C2654" s="26">
        <v>2652</v>
      </c>
    </row>
    <row r="2655" spans="3:3" x14ac:dyDescent="0.25">
      <c r="C2655" s="26">
        <v>2653</v>
      </c>
    </row>
    <row r="2656" spans="3:3" x14ac:dyDescent="0.25">
      <c r="C2656" s="26">
        <v>2654</v>
      </c>
    </row>
    <row r="2657" spans="3:3" x14ac:dyDescent="0.25">
      <c r="C2657" s="26">
        <v>2655</v>
      </c>
    </row>
    <row r="2658" spans="3:3" x14ac:dyDescent="0.25">
      <c r="C2658" s="26">
        <v>2656</v>
      </c>
    </row>
    <row r="2659" spans="3:3" x14ac:dyDescent="0.25">
      <c r="C2659" s="26">
        <v>2657</v>
      </c>
    </row>
    <row r="2660" spans="3:3" x14ac:dyDescent="0.25">
      <c r="C2660" s="26">
        <v>2658</v>
      </c>
    </row>
    <row r="2661" spans="3:3" x14ac:dyDescent="0.25">
      <c r="C2661" s="26">
        <v>2659</v>
      </c>
    </row>
    <row r="2662" spans="3:3" x14ac:dyDescent="0.25">
      <c r="C2662" s="26">
        <v>2660</v>
      </c>
    </row>
    <row r="2663" spans="3:3" x14ac:dyDescent="0.25">
      <c r="C2663" s="26">
        <v>2661</v>
      </c>
    </row>
    <row r="2664" spans="3:3" x14ac:dyDescent="0.25">
      <c r="C2664" s="26">
        <v>2662</v>
      </c>
    </row>
    <row r="2665" spans="3:3" x14ac:dyDescent="0.25">
      <c r="C2665" s="26">
        <v>2663</v>
      </c>
    </row>
    <row r="2666" spans="3:3" x14ac:dyDescent="0.25">
      <c r="C2666" s="26">
        <v>2664</v>
      </c>
    </row>
    <row r="2667" spans="3:3" x14ac:dyDescent="0.25">
      <c r="C2667" s="26">
        <v>2665</v>
      </c>
    </row>
    <row r="2668" spans="3:3" x14ac:dyDescent="0.25">
      <c r="C2668" s="26">
        <v>2666</v>
      </c>
    </row>
    <row r="2669" spans="3:3" x14ac:dyDescent="0.25">
      <c r="C2669" s="26">
        <v>2667</v>
      </c>
    </row>
    <row r="2670" spans="3:3" x14ac:dyDescent="0.25">
      <c r="C2670" s="26">
        <v>2668</v>
      </c>
    </row>
    <row r="2671" spans="3:3" x14ac:dyDescent="0.25">
      <c r="C2671" s="26">
        <v>2669</v>
      </c>
    </row>
    <row r="2672" spans="3:3" x14ac:dyDescent="0.25">
      <c r="C2672" s="26">
        <v>2670</v>
      </c>
    </row>
    <row r="2673" spans="3:3" x14ac:dyDescent="0.25">
      <c r="C2673" s="26">
        <v>2671</v>
      </c>
    </row>
    <row r="2674" spans="3:3" x14ac:dyDescent="0.25">
      <c r="C2674" s="26">
        <v>2672</v>
      </c>
    </row>
    <row r="2675" spans="3:3" x14ac:dyDescent="0.25">
      <c r="C2675" s="26">
        <v>2673</v>
      </c>
    </row>
    <row r="2676" spans="3:3" x14ac:dyDescent="0.25">
      <c r="C2676" s="26">
        <v>2674</v>
      </c>
    </row>
    <row r="2677" spans="3:3" x14ac:dyDescent="0.25">
      <c r="C2677" s="26">
        <v>2675</v>
      </c>
    </row>
    <row r="2678" spans="3:3" x14ac:dyDescent="0.25">
      <c r="C2678" s="26">
        <v>2676</v>
      </c>
    </row>
    <row r="2679" spans="3:3" x14ac:dyDescent="0.25">
      <c r="C2679" s="26">
        <v>2677</v>
      </c>
    </row>
    <row r="2680" spans="3:3" x14ac:dyDescent="0.25">
      <c r="C2680" s="26">
        <v>2678</v>
      </c>
    </row>
    <row r="2681" spans="3:3" x14ac:dyDescent="0.25">
      <c r="C2681" s="26">
        <v>2679</v>
      </c>
    </row>
    <row r="2682" spans="3:3" x14ac:dyDescent="0.25">
      <c r="C2682" s="26">
        <v>2680</v>
      </c>
    </row>
    <row r="2683" spans="3:3" x14ac:dyDescent="0.25">
      <c r="C2683" s="26">
        <v>2681</v>
      </c>
    </row>
    <row r="2684" spans="3:3" x14ac:dyDescent="0.25">
      <c r="C2684" s="26">
        <v>2682</v>
      </c>
    </row>
    <row r="2685" spans="3:3" x14ac:dyDescent="0.25">
      <c r="C2685" s="26">
        <v>2683</v>
      </c>
    </row>
    <row r="2686" spans="3:3" x14ac:dyDescent="0.25">
      <c r="C2686" s="26">
        <v>2684</v>
      </c>
    </row>
    <row r="2687" spans="3:3" x14ac:dyDescent="0.25">
      <c r="C2687" s="26">
        <v>2685</v>
      </c>
    </row>
    <row r="2688" spans="3:3" x14ac:dyDescent="0.25">
      <c r="C2688" s="26">
        <v>2686</v>
      </c>
    </row>
    <row r="2689" spans="3:3" x14ac:dyDescent="0.25">
      <c r="C2689" s="26">
        <v>2687</v>
      </c>
    </row>
    <row r="2690" spans="3:3" x14ac:dyDescent="0.25">
      <c r="C2690" s="26">
        <v>2688</v>
      </c>
    </row>
    <row r="2691" spans="3:3" x14ac:dyDescent="0.25">
      <c r="C2691" s="26">
        <v>2689</v>
      </c>
    </row>
    <row r="2692" spans="3:3" x14ac:dyDescent="0.25">
      <c r="C2692" s="26">
        <v>2690</v>
      </c>
    </row>
    <row r="2693" spans="3:3" x14ac:dyDescent="0.25">
      <c r="C2693" s="26">
        <v>2691</v>
      </c>
    </row>
    <row r="2694" spans="3:3" x14ac:dyDescent="0.25">
      <c r="C2694" s="26">
        <v>2692</v>
      </c>
    </row>
    <row r="2695" spans="3:3" x14ac:dyDescent="0.25">
      <c r="C2695" s="26">
        <v>2693</v>
      </c>
    </row>
    <row r="2696" spans="3:3" x14ac:dyDescent="0.25">
      <c r="C2696" s="26">
        <v>2694</v>
      </c>
    </row>
    <row r="2697" spans="3:3" x14ac:dyDescent="0.25">
      <c r="C2697" s="26">
        <v>2695</v>
      </c>
    </row>
    <row r="2698" spans="3:3" x14ac:dyDescent="0.25">
      <c r="C2698" s="26">
        <v>2696</v>
      </c>
    </row>
    <row r="2699" spans="3:3" x14ac:dyDescent="0.25">
      <c r="C2699" s="26">
        <v>2697</v>
      </c>
    </row>
    <row r="2700" spans="3:3" x14ac:dyDescent="0.25">
      <c r="C2700" s="26">
        <v>2698</v>
      </c>
    </row>
    <row r="2701" spans="3:3" x14ac:dyDescent="0.25">
      <c r="C2701" s="26">
        <v>2699</v>
      </c>
    </row>
    <row r="2702" spans="3:3" x14ac:dyDescent="0.25">
      <c r="C2702" s="26">
        <v>2700</v>
      </c>
    </row>
    <row r="2703" spans="3:3" x14ac:dyDescent="0.25">
      <c r="C2703" s="26">
        <v>2701</v>
      </c>
    </row>
    <row r="2704" spans="3:3" x14ac:dyDescent="0.25">
      <c r="C2704" s="26">
        <v>2702</v>
      </c>
    </row>
    <row r="2705" spans="3:3" x14ac:dyDescent="0.25">
      <c r="C2705" s="26">
        <v>2703</v>
      </c>
    </row>
    <row r="2706" spans="3:3" x14ac:dyDescent="0.25">
      <c r="C2706" s="26">
        <v>2704</v>
      </c>
    </row>
    <row r="2707" spans="3:3" x14ac:dyDescent="0.25">
      <c r="C2707" s="26">
        <v>2705</v>
      </c>
    </row>
    <row r="2708" spans="3:3" x14ac:dyDescent="0.25">
      <c r="C2708" s="26">
        <v>2706</v>
      </c>
    </row>
    <row r="2709" spans="3:3" x14ac:dyDescent="0.25">
      <c r="C2709" s="26">
        <v>2707</v>
      </c>
    </row>
    <row r="2710" spans="3:3" x14ac:dyDescent="0.25">
      <c r="C2710" s="26">
        <v>2708</v>
      </c>
    </row>
    <row r="2711" spans="3:3" x14ac:dyDescent="0.25">
      <c r="C2711" s="26">
        <v>2709</v>
      </c>
    </row>
    <row r="2712" spans="3:3" x14ac:dyDescent="0.25">
      <c r="C2712" s="26">
        <v>2710</v>
      </c>
    </row>
    <row r="2713" spans="3:3" x14ac:dyDescent="0.25">
      <c r="C2713" s="26">
        <v>2711</v>
      </c>
    </row>
    <row r="2714" spans="3:3" x14ac:dyDescent="0.25">
      <c r="C2714" s="26">
        <v>2712</v>
      </c>
    </row>
    <row r="2715" spans="3:3" x14ac:dyDescent="0.25">
      <c r="C2715" s="26">
        <v>2713</v>
      </c>
    </row>
    <row r="2716" spans="3:3" x14ac:dyDescent="0.25">
      <c r="C2716" s="26">
        <v>2714</v>
      </c>
    </row>
    <row r="2717" spans="3:3" x14ac:dyDescent="0.25">
      <c r="C2717" s="26">
        <v>2715</v>
      </c>
    </row>
    <row r="2718" spans="3:3" x14ac:dyDescent="0.25">
      <c r="C2718" s="26">
        <v>2716</v>
      </c>
    </row>
    <row r="2719" spans="3:3" x14ac:dyDescent="0.25">
      <c r="C2719" s="26">
        <v>2717</v>
      </c>
    </row>
    <row r="2720" spans="3:3" x14ac:dyDescent="0.25">
      <c r="C2720" s="26">
        <v>2718</v>
      </c>
    </row>
    <row r="2721" spans="3:3" x14ac:dyDescent="0.25">
      <c r="C2721" s="26">
        <v>2719</v>
      </c>
    </row>
    <row r="2722" spans="3:3" x14ac:dyDescent="0.25">
      <c r="C2722" s="26">
        <v>2720</v>
      </c>
    </row>
    <row r="2723" spans="3:3" x14ac:dyDescent="0.25">
      <c r="C2723" s="26">
        <v>2721</v>
      </c>
    </row>
    <row r="2724" spans="3:3" x14ac:dyDescent="0.25">
      <c r="C2724" s="26">
        <v>2722</v>
      </c>
    </row>
    <row r="2725" spans="3:3" x14ac:dyDescent="0.25">
      <c r="C2725" s="26">
        <v>2723</v>
      </c>
    </row>
    <row r="2726" spans="3:3" x14ac:dyDescent="0.25">
      <c r="C2726" s="26">
        <v>2724</v>
      </c>
    </row>
    <row r="2727" spans="3:3" x14ac:dyDescent="0.25">
      <c r="C2727" s="26">
        <v>2725</v>
      </c>
    </row>
    <row r="2728" spans="3:3" x14ac:dyDescent="0.25">
      <c r="C2728" s="26">
        <v>2726</v>
      </c>
    </row>
    <row r="2729" spans="3:3" x14ac:dyDescent="0.25">
      <c r="C2729" s="26">
        <v>2727</v>
      </c>
    </row>
    <row r="2730" spans="3:3" x14ac:dyDescent="0.25">
      <c r="C2730" s="26">
        <v>2728</v>
      </c>
    </row>
    <row r="2731" spans="3:3" x14ac:dyDescent="0.25">
      <c r="C2731" s="26">
        <v>2729</v>
      </c>
    </row>
    <row r="2732" spans="3:3" x14ac:dyDescent="0.25">
      <c r="C2732" s="26">
        <v>2730</v>
      </c>
    </row>
    <row r="2733" spans="3:3" x14ac:dyDescent="0.25">
      <c r="C2733" s="26">
        <v>2731</v>
      </c>
    </row>
    <row r="2734" spans="3:3" x14ac:dyDescent="0.25">
      <c r="C2734" s="26">
        <v>2732</v>
      </c>
    </row>
    <row r="2735" spans="3:3" x14ac:dyDescent="0.25">
      <c r="C2735" s="26">
        <v>2733</v>
      </c>
    </row>
    <row r="2736" spans="3:3" x14ac:dyDescent="0.25">
      <c r="C2736" s="26">
        <v>2734</v>
      </c>
    </row>
    <row r="2737" spans="3:3" x14ac:dyDescent="0.25">
      <c r="C2737" s="26">
        <v>2735</v>
      </c>
    </row>
    <row r="2738" spans="3:3" x14ac:dyDescent="0.25">
      <c r="C2738" s="26">
        <v>2736</v>
      </c>
    </row>
    <row r="2739" spans="3:3" x14ac:dyDescent="0.25">
      <c r="C2739" s="26">
        <v>2737</v>
      </c>
    </row>
    <row r="2740" spans="3:3" x14ac:dyDescent="0.25">
      <c r="C2740" s="26">
        <v>2738</v>
      </c>
    </row>
    <row r="2741" spans="3:3" x14ac:dyDescent="0.25">
      <c r="C2741" s="26">
        <v>2739</v>
      </c>
    </row>
    <row r="2742" spans="3:3" x14ac:dyDescent="0.25">
      <c r="C2742" s="26">
        <v>2740</v>
      </c>
    </row>
    <row r="2743" spans="3:3" x14ac:dyDescent="0.25">
      <c r="C2743" s="26">
        <v>2741</v>
      </c>
    </row>
    <row r="2744" spans="3:3" x14ac:dyDescent="0.25">
      <c r="C2744" s="26">
        <v>2742</v>
      </c>
    </row>
    <row r="2745" spans="3:3" x14ac:dyDescent="0.25">
      <c r="C2745" s="26">
        <v>2743</v>
      </c>
    </row>
    <row r="2746" spans="3:3" x14ac:dyDescent="0.25">
      <c r="C2746" s="26">
        <v>2744</v>
      </c>
    </row>
    <row r="2747" spans="3:3" x14ac:dyDescent="0.25">
      <c r="C2747" s="26">
        <v>2745</v>
      </c>
    </row>
    <row r="2748" spans="3:3" x14ac:dyDescent="0.25">
      <c r="C2748" s="26">
        <v>2746</v>
      </c>
    </row>
    <row r="2749" spans="3:3" x14ac:dyDescent="0.25">
      <c r="C2749" s="26">
        <v>2747</v>
      </c>
    </row>
    <row r="2750" spans="3:3" x14ac:dyDescent="0.25">
      <c r="C2750" s="26">
        <v>2748</v>
      </c>
    </row>
    <row r="2751" spans="3:3" x14ac:dyDescent="0.25">
      <c r="C2751" s="26">
        <v>2749</v>
      </c>
    </row>
    <row r="2752" spans="3:3" x14ac:dyDescent="0.25">
      <c r="C2752" s="26">
        <v>2750</v>
      </c>
    </row>
    <row r="2753" spans="3:3" x14ac:dyDescent="0.25">
      <c r="C2753" s="26">
        <v>2751</v>
      </c>
    </row>
    <row r="2754" spans="3:3" x14ac:dyDescent="0.25">
      <c r="C2754" s="26">
        <v>2752</v>
      </c>
    </row>
    <row r="2755" spans="3:3" x14ac:dyDescent="0.25">
      <c r="C2755" s="26">
        <v>2753</v>
      </c>
    </row>
    <row r="2756" spans="3:3" x14ac:dyDescent="0.25">
      <c r="C2756" s="26">
        <v>2754</v>
      </c>
    </row>
    <row r="2757" spans="3:3" x14ac:dyDescent="0.25">
      <c r="C2757" s="26">
        <v>2755</v>
      </c>
    </row>
    <row r="2758" spans="3:3" x14ac:dyDescent="0.25">
      <c r="C2758" s="26">
        <v>2756</v>
      </c>
    </row>
    <row r="2759" spans="3:3" x14ac:dyDescent="0.25">
      <c r="C2759" s="26">
        <v>2757</v>
      </c>
    </row>
    <row r="2760" spans="3:3" x14ac:dyDescent="0.25">
      <c r="C2760" s="26">
        <v>2758</v>
      </c>
    </row>
    <row r="2761" spans="3:3" x14ac:dyDescent="0.25">
      <c r="C2761" s="26">
        <v>2759</v>
      </c>
    </row>
    <row r="2762" spans="3:3" x14ac:dyDescent="0.25">
      <c r="C2762" s="26">
        <v>2760</v>
      </c>
    </row>
    <row r="2763" spans="3:3" x14ac:dyDescent="0.25">
      <c r="C2763" s="26">
        <v>2761</v>
      </c>
    </row>
    <row r="2764" spans="3:3" x14ac:dyDescent="0.25">
      <c r="C2764" s="26">
        <v>2762</v>
      </c>
    </row>
    <row r="2765" spans="3:3" x14ac:dyDescent="0.25">
      <c r="C2765" s="26">
        <v>2763</v>
      </c>
    </row>
    <row r="2766" spans="3:3" x14ac:dyDescent="0.25">
      <c r="C2766" s="26">
        <v>2764</v>
      </c>
    </row>
    <row r="2767" spans="3:3" x14ac:dyDescent="0.25">
      <c r="C2767" s="26">
        <v>2765</v>
      </c>
    </row>
    <row r="2768" spans="3:3" x14ac:dyDescent="0.25">
      <c r="C2768" s="26">
        <v>2766</v>
      </c>
    </row>
    <row r="2769" spans="3:3" x14ac:dyDescent="0.25">
      <c r="C2769" s="26">
        <v>2767</v>
      </c>
    </row>
    <row r="2770" spans="3:3" x14ac:dyDescent="0.25">
      <c r="C2770" s="26">
        <v>2768</v>
      </c>
    </row>
    <row r="2771" spans="3:3" x14ac:dyDescent="0.25">
      <c r="C2771" s="26">
        <v>2769</v>
      </c>
    </row>
    <row r="2772" spans="3:3" x14ac:dyDescent="0.25">
      <c r="C2772" s="26">
        <v>2770</v>
      </c>
    </row>
    <row r="2773" spans="3:3" x14ac:dyDescent="0.25">
      <c r="C2773" s="26">
        <v>2771</v>
      </c>
    </row>
    <row r="2774" spans="3:3" x14ac:dyDescent="0.25">
      <c r="C2774" s="26">
        <v>2772</v>
      </c>
    </row>
    <row r="2775" spans="3:3" x14ac:dyDescent="0.25">
      <c r="C2775" s="26">
        <v>2773</v>
      </c>
    </row>
    <row r="2776" spans="3:3" x14ac:dyDescent="0.25">
      <c r="C2776" s="26">
        <v>2774</v>
      </c>
    </row>
    <row r="2777" spans="3:3" x14ac:dyDescent="0.25">
      <c r="C2777" s="26">
        <v>2775</v>
      </c>
    </row>
    <row r="2778" spans="3:3" x14ac:dyDescent="0.25">
      <c r="C2778" s="26">
        <v>2776</v>
      </c>
    </row>
    <row r="2779" spans="3:3" x14ac:dyDescent="0.25">
      <c r="C2779" s="26">
        <v>2777</v>
      </c>
    </row>
    <row r="2780" spans="3:3" x14ac:dyDescent="0.25">
      <c r="C2780" s="26">
        <v>2778</v>
      </c>
    </row>
    <row r="2781" spans="3:3" x14ac:dyDescent="0.25">
      <c r="C2781" s="26">
        <v>2779</v>
      </c>
    </row>
    <row r="2782" spans="3:3" x14ac:dyDescent="0.25">
      <c r="C2782" s="26">
        <v>2780</v>
      </c>
    </row>
    <row r="2783" spans="3:3" x14ac:dyDescent="0.25">
      <c r="C2783" s="26">
        <v>2781</v>
      </c>
    </row>
    <row r="2784" spans="3:3" x14ac:dyDescent="0.25">
      <c r="C2784" s="26">
        <v>2782</v>
      </c>
    </row>
    <row r="2785" spans="3:3" x14ac:dyDescent="0.25">
      <c r="C2785" s="26">
        <v>2783</v>
      </c>
    </row>
    <row r="2786" spans="3:3" x14ac:dyDescent="0.25">
      <c r="C2786" s="26">
        <v>2784</v>
      </c>
    </row>
    <row r="2787" spans="3:3" x14ac:dyDescent="0.25">
      <c r="C2787" s="26">
        <v>2785</v>
      </c>
    </row>
    <row r="2788" spans="3:3" x14ac:dyDescent="0.25">
      <c r="C2788" s="26">
        <v>2786</v>
      </c>
    </row>
    <row r="2789" spans="3:3" x14ac:dyDescent="0.25">
      <c r="C2789" s="26">
        <v>2787</v>
      </c>
    </row>
    <row r="2790" spans="3:3" x14ac:dyDescent="0.25">
      <c r="C2790" s="26">
        <v>2788</v>
      </c>
    </row>
    <row r="2791" spans="3:3" x14ac:dyDescent="0.25">
      <c r="C2791" s="26">
        <v>2789</v>
      </c>
    </row>
    <row r="2792" spans="3:3" x14ac:dyDescent="0.25">
      <c r="C2792" s="26">
        <v>2790</v>
      </c>
    </row>
    <row r="2793" spans="3:3" x14ac:dyDescent="0.25">
      <c r="C2793" s="26">
        <v>2791</v>
      </c>
    </row>
    <row r="2794" spans="3:3" x14ac:dyDescent="0.25">
      <c r="C2794" s="26">
        <v>2792</v>
      </c>
    </row>
    <row r="2795" spans="3:3" x14ac:dyDescent="0.25">
      <c r="C2795" s="26">
        <v>2793</v>
      </c>
    </row>
    <row r="2796" spans="3:3" x14ac:dyDescent="0.25">
      <c r="C2796" s="26">
        <v>2794</v>
      </c>
    </row>
    <row r="2797" spans="3:3" x14ac:dyDescent="0.25">
      <c r="C2797" s="26">
        <v>2795</v>
      </c>
    </row>
    <row r="2798" spans="3:3" x14ac:dyDescent="0.25">
      <c r="C2798" s="26">
        <v>2796</v>
      </c>
    </row>
    <row r="2799" spans="3:3" x14ac:dyDescent="0.25">
      <c r="C2799" s="26">
        <v>2797</v>
      </c>
    </row>
    <row r="2800" spans="3:3" x14ac:dyDescent="0.25">
      <c r="C2800" s="26">
        <v>2798</v>
      </c>
    </row>
    <row r="2801" spans="3:3" x14ac:dyDescent="0.25">
      <c r="C2801" s="26">
        <v>2799</v>
      </c>
    </row>
    <row r="2802" spans="3:3" x14ac:dyDescent="0.25">
      <c r="C2802" s="26">
        <v>2800</v>
      </c>
    </row>
    <row r="2803" spans="3:3" x14ac:dyDescent="0.25">
      <c r="C2803" s="26">
        <v>2801</v>
      </c>
    </row>
    <row r="2804" spans="3:3" x14ac:dyDescent="0.25">
      <c r="C2804" s="26">
        <v>2802</v>
      </c>
    </row>
    <row r="2805" spans="3:3" x14ac:dyDescent="0.25">
      <c r="C2805" s="26">
        <v>2803</v>
      </c>
    </row>
    <row r="2806" spans="3:3" x14ac:dyDescent="0.25">
      <c r="C2806" s="26">
        <v>2804</v>
      </c>
    </row>
    <row r="2807" spans="3:3" x14ac:dyDescent="0.25">
      <c r="C2807" s="26">
        <v>2805</v>
      </c>
    </row>
    <row r="2808" spans="3:3" x14ac:dyDescent="0.25">
      <c r="C2808" s="26">
        <v>2806</v>
      </c>
    </row>
    <row r="2809" spans="3:3" x14ac:dyDescent="0.25">
      <c r="C2809" s="26">
        <v>2807</v>
      </c>
    </row>
    <row r="2810" spans="3:3" x14ac:dyDescent="0.25">
      <c r="C2810" s="26">
        <v>2808</v>
      </c>
    </row>
    <row r="2811" spans="3:3" x14ac:dyDescent="0.25">
      <c r="C2811" s="26">
        <v>2809</v>
      </c>
    </row>
    <row r="2812" spans="3:3" x14ac:dyDescent="0.25">
      <c r="C2812" s="26">
        <v>2810</v>
      </c>
    </row>
    <row r="2813" spans="3:3" x14ac:dyDescent="0.25">
      <c r="C2813" s="26">
        <v>2811</v>
      </c>
    </row>
    <row r="2814" spans="3:3" x14ac:dyDescent="0.25">
      <c r="C2814" s="26">
        <v>2812</v>
      </c>
    </row>
    <row r="2815" spans="3:3" x14ac:dyDescent="0.25">
      <c r="C2815" s="26">
        <v>2813</v>
      </c>
    </row>
    <row r="2816" spans="3:3" x14ac:dyDescent="0.25">
      <c r="C2816" s="26">
        <v>2814</v>
      </c>
    </row>
    <row r="2817" spans="3:3" x14ac:dyDescent="0.25">
      <c r="C2817" s="26">
        <v>2815</v>
      </c>
    </row>
    <row r="2818" spans="3:3" x14ac:dyDescent="0.25">
      <c r="C2818" s="26">
        <v>2816</v>
      </c>
    </row>
    <row r="2819" spans="3:3" x14ac:dyDescent="0.25">
      <c r="C2819" s="26">
        <v>2817</v>
      </c>
    </row>
    <row r="2820" spans="3:3" x14ac:dyDescent="0.25">
      <c r="C2820" s="26">
        <v>2818</v>
      </c>
    </row>
    <row r="2821" spans="3:3" x14ac:dyDescent="0.25">
      <c r="C2821" s="26">
        <v>2819</v>
      </c>
    </row>
    <row r="2822" spans="3:3" x14ac:dyDescent="0.25">
      <c r="C2822" s="26">
        <v>2820</v>
      </c>
    </row>
    <row r="2823" spans="3:3" x14ac:dyDescent="0.25">
      <c r="C2823" s="26">
        <v>2821</v>
      </c>
    </row>
    <row r="2824" spans="3:3" x14ac:dyDescent="0.25">
      <c r="C2824" s="26">
        <v>2822</v>
      </c>
    </row>
    <row r="2825" spans="3:3" x14ac:dyDescent="0.25">
      <c r="C2825" s="26">
        <v>2823</v>
      </c>
    </row>
    <row r="2826" spans="3:3" x14ac:dyDescent="0.25">
      <c r="C2826" s="26">
        <v>2824</v>
      </c>
    </row>
    <row r="2827" spans="3:3" x14ac:dyDescent="0.25">
      <c r="C2827" s="26">
        <v>2825</v>
      </c>
    </row>
    <row r="2828" spans="3:3" x14ac:dyDescent="0.25">
      <c r="C2828" s="26">
        <v>2826</v>
      </c>
    </row>
    <row r="2829" spans="3:3" x14ac:dyDescent="0.25">
      <c r="C2829" s="26">
        <v>2827</v>
      </c>
    </row>
    <row r="2830" spans="3:3" x14ac:dyDescent="0.25">
      <c r="C2830" s="26">
        <v>2828</v>
      </c>
    </row>
    <row r="2831" spans="3:3" x14ac:dyDescent="0.25">
      <c r="C2831" s="26">
        <v>2829</v>
      </c>
    </row>
    <row r="2832" spans="3:3" x14ac:dyDescent="0.25">
      <c r="C2832" s="26">
        <v>2830</v>
      </c>
    </row>
    <row r="2833" spans="3:3" x14ac:dyDescent="0.25">
      <c r="C2833" s="26">
        <v>2831</v>
      </c>
    </row>
    <row r="2834" spans="3:3" x14ac:dyDescent="0.25">
      <c r="C2834" s="26">
        <v>2832</v>
      </c>
    </row>
    <row r="2835" spans="3:3" x14ac:dyDescent="0.25">
      <c r="C2835" s="26">
        <v>2833</v>
      </c>
    </row>
    <row r="2836" spans="3:3" x14ac:dyDescent="0.25">
      <c r="C2836" s="26">
        <v>2834</v>
      </c>
    </row>
    <row r="2837" spans="3:3" x14ac:dyDescent="0.25">
      <c r="C2837" s="26">
        <v>2835</v>
      </c>
    </row>
    <row r="2838" spans="3:3" x14ac:dyDescent="0.25">
      <c r="C2838" s="26">
        <v>2836</v>
      </c>
    </row>
    <row r="2839" spans="3:3" x14ac:dyDescent="0.25">
      <c r="C2839" s="26">
        <v>2837</v>
      </c>
    </row>
    <row r="2840" spans="3:3" x14ac:dyDescent="0.25">
      <c r="C2840" s="26">
        <v>2838</v>
      </c>
    </row>
    <row r="2841" spans="3:3" x14ac:dyDescent="0.25">
      <c r="C2841" s="26">
        <v>2839</v>
      </c>
    </row>
    <row r="2842" spans="3:3" x14ac:dyDescent="0.25">
      <c r="C2842" s="26">
        <v>2840</v>
      </c>
    </row>
    <row r="2843" spans="3:3" x14ac:dyDescent="0.25">
      <c r="C2843" s="26">
        <v>2841</v>
      </c>
    </row>
    <row r="2844" spans="3:3" x14ac:dyDescent="0.25">
      <c r="C2844" s="26">
        <v>2842</v>
      </c>
    </row>
    <row r="2845" spans="3:3" x14ac:dyDescent="0.25">
      <c r="C2845" s="26">
        <v>2843</v>
      </c>
    </row>
    <row r="2846" spans="3:3" x14ac:dyDescent="0.25">
      <c r="C2846" s="26">
        <v>2844</v>
      </c>
    </row>
    <row r="2847" spans="3:3" x14ac:dyDescent="0.25">
      <c r="C2847" s="26">
        <v>2845</v>
      </c>
    </row>
    <row r="2848" spans="3:3" x14ac:dyDescent="0.25">
      <c r="C2848" s="26">
        <v>2846</v>
      </c>
    </row>
    <row r="2849" spans="3:3" x14ac:dyDescent="0.25">
      <c r="C2849" s="26">
        <v>2847</v>
      </c>
    </row>
    <row r="2850" spans="3:3" x14ac:dyDescent="0.25">
      <c r="C2850" s="26">
        <v>2848</v>
      </c>
    </row>
    <row r="2851" spans="3:3" x14ac:dyDescent="0.25">
      <c r="C2851" s="26">
        <v>2849</v>
      </c>
    </row>
    <row r="2852" spans="3:3" x14ac:dyDescent="0.25">
      <c r="C2852" s="26">
        <v>2850</v>
      </c>
    </row>
    <row r="2853" spans="3:3" x14ac:dyDescent="0.25">
      <c r="C2853" s="26">
        <v>2851</v>
      </c>
    </row>
    <row r="2854" spans="3:3" x14ac:dyDescent="0.25">
      <c r="C2854" s="26">
        <v>2852</v>
      </c>
    </row>
    <row r="2855" spans="3:3" x14ac:dyDescent="0.25">
      <c r="C2855" s="26">
        <v>2853</v>
      </c>
    </row>
    <row r="2856" spans="3:3" x14ac:dyDescent="0.25">
      <c r="C2856" s="26">
        <v>2854</v>
      </c>
    </row>
    <row r="2857" spans="3:3" x14ac:dyDescent="0.25">
      <c r="C2857" s="26">
        <v>2855</v>
      </c>
    </row>
    <row r="2858" spans="3:3" x14ac:dyDescent="0.25">
      <c r="C2858" s="26">
        <v>2856</v>
      </c>
    </row>
    <row r="2859" spans="3:3" x14ac:dyDescent="0.25">
      <c r="C2859" s="26">
        <v>2857</v>
      </c>
    </row>
    <row r="2860" spans="3:3" x14ac:dyDescent="0.25">
      <c r="C2860" s="26">
        <v>2858</v>
      </c>
    </row>
    <row r="2861" spans="3:3" x14ac:dyDescent="0.25">
      <c r="C2861" s="26">
        <v>2859</v>
      </c>
    </row>
    <row r="2862" spans="3:3" x14ac:dyDescent="0.25">
      <c r="C2862" s="26">
        <v>2860</v>
      </c>
    </row>
    <row r="2863" spans="3:3" x14ac:dyDescent="0.25">
      <c r="C2863" s="26">
        <v>2861</v>
      </c>
    </row>
    <row r="2864" spans="3:3" x14ac:dyDescent="0.25">
      <c r="C2864" s="26">
        <v>2862</v>
      </c>
    </row>
    <row r="2865" spans="3:3" x14ac:dyDescent="0.25">
      <c r="C2865" s="26">
        <v>2863</v>
      </c>
    </row>
    <row r="2866" spans="3:3" x14ac:dyDescent="0.25">
      <c r="C2866" s="26">
        <v>2864</v>
      </c>
    </row>
    <row r="2867" spans="3:3" x14ac:dyDescent="0.25">
      <c r="C2867" s="26">
        <v>2865</v>
      </c>
    </row>
    <row r="2868" spans="3:3" x14ac:dyDescent="0.25">
      <c r="C2868" s="26">
        <v>2866</v>
      </c>
    </row>
    <row r="2869" spans="3:3" x14ac:dyDescent="0.25">
      <c r="C2869" s="26">
        <v>2867</v>
      </c>
    </row>
    <row r="2870" spans="3:3" x14ac:dyDescent="0.25">
      <c r="C2870" s="26">
        <v>2868</v>
      </c>
    </row>
    <row r="2871" spans="3:3" x14ac:dyDescent="0.25">
      <c r="C2871" s="26">
        <v>2869</v>
      </c>
    </row>
    <row r="2872" spans="3:3" x14ac:dyDescent="0.25">
      <c r="C2872" s="26">
        <v>2870</v>
      </c>
    </row>
    <row r="2873" spans="3:3" x14ac:dyDescent="0.25">
      <c r="C2873" s="26">
        <v>2871</v>
      </c>
    </row>
    <row r="2874" spans="3:3" x14ac:dyDescent="0.25">
      <c r="C2874" s="26">
        <v>2872</v>
      </c>
    </row>
    <row r="2875" spans="3:3" x14ac:dyDescent="0.25">
      <c r="C2875" s="26">
        <v>2873</v>
      </c>
    </row>
    <row r="2876" spans="3:3" x14ac:dyDescent="0.25">
      <c r="C2876" s="26">
        <v>2874</v>
      </c>
    </row>
    <row r="2877" spans="3:3" x14ac:dyDescent="0.25">
      <c r="C2877" s="26">
        <v>2875</v>
      </c>
    </row>
    <row r="2878" spans="3:3" x14ac:dyDescent="0.25">
      <c r="C2878" s="26">
        <v>2876</v>
      </c>
    </row>
    <row r="2879" spans="3:3" x14ac:dyDescent="0.25">
      <c r="C2879" s="26">
        <v>2877</v>
      </c>
    </row>
    <row r="2880" spans="3:3" x14ac:dyDescent="0.25">
      <c r="C2880" s="26">
        <v>2878</v>
      </c>
    </row>
    <row r="2881" spans="3:3" x14ac:dyDescent="0.25">
      <c r="C2881" s="26">
        <v>2879</v>
      </c>
    </row>
    <row r="2882" spans="3:3" x14ac:dyDescent="0.25">
      <c r="C2882" s="26">
        <v>2880</v>
      </c>
    </row>
    <row r="2883" spans="3:3" x14ac:dyDescent="0.25">
      <c r="C2883" s="26">
        <v>2881</v>
      </c>
    </row>
    <row r="2884" spans="3:3" x14ac:dyDescent="0.25">
      <c r="C2884" s="26">
        <v>2882</v>
      </c>
    </row>
    <row r="2885" spans="3:3" x14ac:dyDescent="0.25">
      <c r="C2885" s="26">
        <v>2883</v>
      </c>
    </row>
    <row r="2886" spans="3:3" x14ac:dyDescent="0.25">
      <c r="C2886" s="26">
        <v>2884</v>
      </c>
    </row>
    <row r="2887" spans="3:3" x14ac:dyDescent="0.25">
      <c r="C2887" s="26">
        <v>2885</v>
      </c>
    </row>
    <row r="2888" spans="3:3" x14ac:dyDescent="0.25">
      <c r="C2888" s="26">
        <v>2886</v>
      </c>
    </row>
    <row r="2889" spans="3:3" x14ac:dyDescent="0.25">
      <c r="C2889" s="26">
        <v>2887</v>
      </c>
    </row>
    <row r="2890" spans="3:3" x14ac:dyDescent="0.25">
      <c r="C2890" s="26">
        <v>2888</v>
      </c>
    </row>
    <row r="2891" spans="3:3" x14ac:dyDescent="0.25">
      <c r="C2891" s="26">
        <v>2889</v>
      </c>
    </row>
    <row r="2892" spans="3:3" x14ac:dyDescent="0.25">
      <c r="C2892" s="26">
        <v>2890</v>
      </c>
    </row>
    <row r="2893" spans="3:3" x14ac:dyDescent="0.25">
      <c r="C2893" s="26">
        <v>2891</v>
      </c>
    </row>
    <row r="2894" spans="3:3" x14ac:dyDescent="0.25">
      <c r="C2894" s="26">
        <v>2892</v>
      </c>
    </row>
    <row r="2895" spans="3:3" x14ac:dyDescent="0.25">
      <c r="C2895" s="26">
        <v>2893</v>
      </c>
    </row>
    <row r="2896" spans="3:3" x14ac:dyDescent="0.25">
      <c r="C2896" s="26">
        <v>2894</v>
      </c>
    </row>
    <row r="2897" spans="3:3" x14ac:dyDescent="0.25">
      <c r="C2897" s="26">
        <v>2895</v>
      </c>
    </row>
    <row r="2898" spans="3:3" x14ac:dyDescent="0.25">
      <c r="C2898" s="26">
        <v>2896</v>
      </c>
    </row>
    <row r="2899" spans="3:3" x14ac:dyDescent="0.25">
      <c r="C2899" s="26">
        <v>2897</v>
      </c>
    </row>
    <row r="2900" spans="3:3" x14ac:dyDescent="0.25">
      <c r="C2900" s="26">
        <v>2898</v>
      </c>
    </row>
    <row r="2901" spans="3:3" x14ac:dyDescent="0.25">
      <c r="C2901" s="26">
        <v>2899</v>
      </c>
    </row>
    <row r="2902" spans="3:3" x14ac:dyDescent="0.25">
      <c r="C2902" s="26">
        <v>2900</v>
      </c>
    </row>
    <row r="2903" spans="3:3" x14ac:dyDescent="0.25">
      <c r="C2903" s="26">
        <v>2901</v>
      </c>
    </row>
    <row r="2904" spans="3:3" x14ac:dyDescent="0.25">
      <c r="C2904" s="26">
        <v>2902</v>
      </c>
    </row>
    <row r="2905" spans="3:3" x14ac:dyDescent="0.25">
      <c r="C2905" s="26">
        <v>2903</v>
      </c>
    </row>
    <row r="2906" spans="3:3" x14ac:dyDescent="0.25">
      <c r="C2906" s="26">
        <v>2904</v>
      </c>
    </row>
    <row r="2907" spans="3:3" x14ac:dyDescent="0.25">
      <c r="C2907" s="26">
        <v>2905</v>
      </c>
    </row>
    <row r="2908" spans="3:3" x14ac:dyDescent="0.25">
      <c r="C2908" s="26">
        <v>2906</v>
      </c>
    </row>
    <row r="2909" spans="3:3" x14ac:dyDescent="0.25">
      <c r="C2909" s="26">
        <v>2907</v>
      </c>
    </row>
    <row r="2910" spans="3:3" x14ac:dyDescent="0.25">
      <c r="C2910" s="26">
        <v>2908</v>
      </c>
    </row>
    <row r="2911" spans="3:3" x14ac:dyDescent="0.25">
      <c r="C2911" s="26">
        <v>2909</v>
      </c>
    </row>
    <row r="2912" spans="3:3" x14ac:dyDescent="0.25">
      <c r="C2912" s="26">
        <v>2910</v>
      </c>
    </row>
    <row r="2913" spans="3:3" x14ac:dyDescent="0.25">
      <c r="C2913" s="26">
        <v>2911</v>
      </c>
    </row>
    <row r="2914" spans="3:3" x14ac:dyDescent="0.25">
      <c r="C2914" s="26">
        <v>2912</v>
      </c>
    </row>
    <row r="2915" spans="3:3" x14ac:dyDescent="0.25">
      <c r="C2915" s="26">
        <v>2913</v>
      </c>
    </row>
    <row r="2916" spans="3:3" x14ac:dyDescent="0.25">
      <c r="C2916" s="26">
        <v>2914</v>
      </c>
    </row>
    <row r="2917" spans="3:3" x14ac:dyDescent="0.25">
      <c r="C2917" s="26">
        <v>2915</v>
      </c>
    </row>
    <row r="2918" spans="3:3" x14ac:dyDescent="0.25">
      <c r="C2918" s="26">
        <v>2916</v>
      </c>
    </row>
    <row r="2919" spans="3:3" x14ac:dyDescent="0.25">
      <c r="C2919" s="26">
        <v>2917</v>
      </c>
    </row>
    <row r="2920" spans="3:3" x14ac:dyDescent="0.25">
      <c r="C2920" s="26">
        <v>2918</v>
      </c>
    </row>
    <row r="2921" spans="3:3" x14ac:dyDescent="0.25">
      <c r="C2921" s="26">
        <v>2919</v>
      </c>
    </row>
    <row r="2922" spans="3:3" x14ac:dyDescent="0.25">
      <c r="C2922" s="26">
        <v>2920</v>
      </c>
    </row>
    <row r="2923" spans="3:3" x14ac:dyDescent="0.25">
      <c r="C2923" s="26">
        <v>2921</v>
      </c>
    </row>
    <row r="2924" spans="3:3" x14ac:dyDescent="0.25">
      <c r="C2924" s="26">
        <v>2922</v>
      </c>
    </row>
    <row r="2925" spans="3:3" x14ac:dyDescent="0.25">
      <c r="C2925" s="26">
        <v>2923</v>
      </c>
    </row>
    <row r="2926" spans="3:3" x14ac:dyDescent="0.25">
      <c r="C2926" s="26">
        <v>2924</v>
      </c>
    </row>
    <row r="2927" spans="3:3" x14ac:dyDescent="0.25">
      <c r="C2927" s="26">
        <v>2925</v>
      </c>
    </row>
    <row r="2928" spans="3:3" x14ac:dyDescent="0.25">
      <c r="C2928" s="26">
        <v>2926</v>
      </c>
    </row>
    <row r="2929" spans="3:3" x14ac:dyDescent="0.25">
      <c r="C2929" s="26">
        <v>2927</v>
      </c>
    </row>
    <row r="2930" spans="3:3" x14ac:dyDescent="0.25">
      <c r="C2930" s="26">
        <v>2928</v>
      </c>
    </row>
    <row r="2931" spans="3:3" x14ac:dyDescent="0.25">
      <c r="C2931" s="26">
        <v>2929</v>
      </c>
    </row>
    <row r="2932" spans="3:3" x14ac:dyDescent="0.25">
      <c r="C2932" s="26">
        <v>2930</v>
      </c>
    </row>
    <row r="2933" spans="3:3" x14ac:dyDescent="0.25">
      <c r="C2933" s="26">
        <v>2931</v>
      </c>
    </row>
    <row r="2934" spans="3:3" x14ac:dyDescent="0.25">
      <c r="C2934" s="26">
        <v>2932</v>
      </c>
    </row>
    <row r="2935" spans="3:3" x14ac:dyDescent="0.25">
      <c r="C2935" s="26">
        <v>2933</v>
      </c>
    </row>
    <row r="2936" spans="3:3" x14ac:dyDescent="0.25">
      <c r="C2936" s="26">
        <v>2934</v>
      </c>
    </row>
    <row r="2937" spans="3:3" x14ac:dyDescent="0.25">
      <c r="C2937" s="26">
        <v>2935</v>
      </c>
    </row>
    <row r="2938" spans="3:3" x14ac:dyDescent="0.25">
      <c r="C2938" s="26">
        <v>2936</v>
      </c>
    </row>
    <row r="2939" spans="3:3" x14ac:dyDescent="0.25">
      <c r="C2939" s="26">
        <v>2937</v>
      </c>
    </row>
    <row r="2940" spans="3:3" x14ac:dyDescent="0.25">
      <c r="C2940" s="26">
        <v>2938</v>
      </c>
    </row>
    <row r="2941" spans="3:3" x14ac:dyDescent="0.25">
      <c r="C2941" s="26">
        <v>2939</v>
      </c>
    </row>
    <row r="2942" spans="3:3" x14ac:dyDescent="0.25">
      <c r="C2942" s="26">
        <v>2940</v>
      </c>
    </row>
    <row r="2943" spans="3:3" x14ac:dyDescent="0.25">
      <c r="C2943" s="26">
        <v>2941</v>
      </c>
    </row>
    <row r="2944" spans="3:3" x14ac:dyDescent="0.25">
      <c r="C2944" s="26">
        <v>2942</v>
      </c>
    </row>
    <row r="2945" spans="3:3" x14ac:dyDescent="0.25">
      <c r="C2945" s="26">
        <v>2943</v>
      </c>
    </row>
    <row r="2946" spans="3:3" x14ac:dyDescent="0.25">
      <c r="C2946" s="26">
        <v>2944</v>
      </c>
    </row>
    <row r="2947" spans="3:3" x14ac:dyDescent="0.25">
      <c r="C2947" s="26">
        <v>2945</v>
      </c>
    </row>
    <row r="2948" spans="3:3" x14ac:dyDescent="0.25">
      <c r="C2948" s="26">
        <v>2946</v>
      </c>
    </row>
    <row r="2949" spans="3:3" x14ac:dyDescent="0.25">
      <c r="C2949" s="26">
        <v>2947</v>
      </c>
    </row>
    <row r="2950" spans="3:3" x14ac:dyDescent="0.25">
      <c r="C2950" s="26">
        <v>2948</v>
      </c>
    </row>
    <row r="2951" spans="3:3" x14ac:dyDescent="0.25">
      <c r="C2951" s="26">
        <v>2949</v>
      </c>
    </row>
    <row r="2952" spans="3:3" x14ac:dyDescent="0.25">
      <c r="C2952" s="26">
        <v>2950</v>
      </c>
    </row>
    <row r="2953" spans="3:3" x14ac:dyDescent="0.25">
      <c r="C2953" s="26">
        <v>2951</v>
      </c>
    </row>
    <row r="2954" spans="3:3" x14ac:dyDescent="0.25">
      <c r="C2954" s="26">
        <v>2952</v>
      </c>
    </row>
    <row r="2955" spans="3:3" x14ac:dyDescent="0.25">
      <c r="C2955" s="26">
        <v>2953</v>
      </c>
    </row>
    <row r="2956" spans="3:3" x14ac:dyDescent="0.25">
      <c r="C2956" s="26">
        <v>2954</v>
      </c>
    </row>
    <row r="2957" spans="3:3" x14ac:dyDescent="0.25">
      <c r="C2957" s="26">
        <v>2955</v>
      </c>
    </row>
    <row r="2958" spans="3:3" x14ac:dyDescent="0.25">
      <c r="C2958" s="26">
        <v>2956</v>
      </c>
    </row>
    <row r="2959" spans="3:3" x14ac:dyDescent="0.25">
      <c r="C2959" s="26">
        <v>2957</v>
      </c>
    </row>
    <row r="2960" spans="3:3" x14ac:dyDescent="0.25">
      <c r="C2960" s="26">
        <v>2958</v>
      </c>
    </row>
    <row r="2961" spans="3:3" x14ac:dyDescent="0.25">
      <c r="C2961" s="26">
        <v>2959</v>
      </c>
    </row>
    <row r="2962" spans="3:3" x14ac:dyDescent="0.25">
      <c r="C2962" s="26">
        <v>2960</v>
      </c>
    </row>
    <row r="2963" spans="3:3" x14ac:dyDescent="0.25">
      <c r="C2963" s="26">
        <v>2961</v>
      </c>
    </row>
    <row r="2964" spans="3:3" x14ac:dyDescent="0.25">
      <c r="C2964" s="26">
        <v>2962</v>
      </c>
    </row>
    <row r="2965" spans="3:3" x14ac:dyDescent="0.25">
      <c r="C2965" s="26">
        <v>2963</v>
      </c>
    </row>
    <row r="2966" spans="3:3" x14ac:dyDescent="0.25">
      <c r="C2966" s="26">
        <v>2964</v>
      </c>
    </row>
    <row r="2967" spans="3:3" x14ac:dyDescent="0.25">
      <c r="C2967" s="26">
        <v>2965</v>
      </c>
    </row>
    <row r="2968" spans="3:3" x14ac:dyDescent="0.25">
      <c r="C2968" s="26">
        <v>2966</v>
      </c>
    </row>
    <row r="2969" spans="3:3" x14ac:dyDescent="0.25">
      <c r="C2969" s="26">
        <v>2967</v>
      </c>
    </row>
    <row r="2970" spans="3:3" x14ac:dyDescent="0.25">
      <c r="C2970" s="26">
        <v>2968</v>
      </c>
    </row>
    <row r="2971" spans="3:3" x14ac:dyDescent="0.25">
      <c r="C2971" s="26">
        <v>2969</v>
      </c>
    </row>
    <row r="2972" spans="3:3" x14ac:dyDescent="0.25">
      <c r="C2972" s="26">
        <v>2970</v>
      </c>
    </row>
    <row r="2973" spans="3:3" x14ac:dyDescent="0.25">
      <c r="C2973" s="26">
        <v>2971</v>
      </c>
    </row>
    <row r="2974" spans="3:3" x14ac:dyDescent="0.25">
      <c r="C2974" s="26">
        <v>2972</v>
      </c>
    </row>
    <row r="2975" spans="3:3" x14ac:dyDescent="0.25">
      <c r="C2975" s="26">
        <v>2973</v>
      </c>
    </row>
    <row r="2976" spans="3:3" x14ac:dyDescent="0.25">
      <c r="C2976" s="26">
        <v>2974</v>
      </c>
    </row>
    <row r="2977" spans="3:3" x14ac:dyDescent="0.25">
      <c r="C2977" s="26">
        <v>2975</v>
      </c>
    </row>
    <row r="2978" spans="3:3" x14ac:dyDescent="0.25">
      <c r="C2978" s="26">
        <v>2976</v>
      </c>
    </row>
    <row r="2979" spans="3:3" x14ac:dyDescent="0.25">
      <c r="C2979" s="26">
        <v>2977</v>
      </c>
    </row>
    <row r="2980" spans="3:3" x14ac:dyDescent="0.25">
      <c r="C2980" s="26">
        <v>2978</v>
      </c>
    </row>
    <row r="2981" spans="3:3" x14ac:dyDescent="0.25">
      <c r="C2981" s="26">
        <v>2979</v>
      </c>
    </row>
    <row r="2982" spans="3:3" x14ac:dyDescent="0.25">
      <c r="C2982" s="26">
        <v>2980</v>
      </c>
    </row>
    <row r="2983" spans="3:3" x14ac:dyDescent="0.25">
      <c r="C2983" s="26">
        <v>2981</v>
      </c>
    </row>
    <row r="2984" spans="3:3" x14ac:dyDescent="0.25">
      <c r="C2984" s="26">
        <v>2982</v>
      </c>
    </row>
    <row r="2985" spans="3:3" x14ac:dyDescent="0.25">
      <c r="C2985" s="26">
        <v>2983</v>
      </c>
    </row>
    <row r="2986" spans="3:3" x14ac:dyDescent="0.25">
      <c r="C2986" s="26">
        <v>2984</v>
      </c>
    </row>
    <row r="2987" spans="3:3" x14ac:dyDescent="0.25">
      <c r="C2987" s="26">
        <v>2985</v>
      </c>
    </row>
    <row r="2988" spans="3:3" x14ac:dyDescent="0.25">
      <c r="C2988" s="26">
        <v>2986</v>
      </c>
    </row>
    <row r="2989" spans="3:3" x14ac:dyDescent="0.25">
      <c r="C2989" s="26">
        <v>2987</v>
      </c>
    </row>
    <row r="2990" spans="3:3" x14ac:dyDescent="0.25">
      <c r="C2990" s="26">
        <v>2988</v>
      </c>
    </row>
    <row r="2991" spans="3:3" x14ac:dyDescent="0.25">
      <c r="C2991" s="26">
        <v>2989</v>
      </c>
    </row>
    <row r="2992" spans="3:3" x14ac:dyDescent="0.25">
      <c r="C2992" s="26">
        <v>2990</v>
      </c>
    </row>
    <row r="2993" spans="3:3" x14ac:dyDescent="0.25">
      <c r="C2993" s="26">
        <v>2991</v>
      </c>
    </row>
    <row r="2994" spans="3:3" x14ac:dyDescent="0.25">
      <c r="C2994" s="26">
        <v>2992</v>
      </c>
    </row>
    <row r="2995" spans="3:3" x14ac:dyDescent="0.25">
      <c r="C2995" s="26">
        <v>2993</v>
      </c>
    </row>
    <row r="2996" spans="3:3" x14ac:dyDescent="0.25">
      <c r="C2996" s="26">
        <v>2994</v>
      </c>
    </row>
    <row r="2997" spans="3:3" x14ac:dyDescent="0.25">
      <c r="C2997" s="26">
        <v>2995</v>
      </c>
    </row>
    <row r="2998" spans="3:3" x14ac:dyDescent="0.25">
      <c r="C2998" s="26">
        <v>2996</v>
      </c>
    </row>
    <row r="2999" spans="3:3" x14ac:dyDescent="0.25">
      <c r="C2999" s="26">
        <v>2997</v>
      </c>
    </row>
    <row r="3000" spans="3:3" x14ac:dyDescent="0.25">
      <c r="C3000" s="26">
        <v>2998</v>
      </c>
    </row>
    <row r="3001" spans="3:3" x14ac:dyDescent="0.25">
      <c r="C3001" s="26">
        <v>2999</v>
      </c>
    </row>
    <row r="3002" spans="3:3" x14ac:dyDescent="0.25">
      <c r="C3002" s="26">
        <v>3000</v>
      </c>
    </row>
    <row r="3003" spans="3:3" x14ac:dyDescent="0.25">
      <c r="C3003" s="26">
        <v>3001</v>
      </c>
    </row>
    <row r="3004" spans="3:3" x14ac:dyDescent="0.25">
      <c r="C3004" s="26">
        <v>3002</v>
      </c>
    </row>
    <row r="3005" spans="3:3" x14ac:dyDescent="0.25">
      <c r="C3005" s="26">
        <v>3003</v>
      </c>
    </row>
    <row r="3006" spans="3:3" x14ac:dyDescent="0.25">
      <c r="C3006" s="26">
        <v>3004</v>
      </c>
    </row>
    <row r="3007" spans="3:3" x14ac:dyDescent="0.25">
      <c r="C3007" s="26">
        <v>3005</v>
      </c>
    </row>
    <row r="3008" spans="3:3" x14ac:dyDescent="0.25">
      <c r="C3008" s="26">
        <v>3006</v>
      </c>
    </row>
    <row r="3009" spans="3:3" x14ac:dyDescent="0.25">
      <c r="C3009" s="26">
        <v>3007</v>
      </c>
    </row>
    <row r="3010" spans="3:3" x14ac:dyDescent="0.25">
      <c r="C3010" s="26">
        <v>3008</v>
      </c>
    </row>
    <row r="3011" spans="3:3" x14ac:dyDescent="0.25">
      <c r="C3011" s="26">
        <v>3009</v>
      </c>
    </row>
    <row r="3012" spans="3:3" x14ac:dyDescent="0.25">
      <c r="C3012" s="26">
        <v>3010</v>
      </c>
    </row>
    <row r="3013" spans="3:3" x14ac:dyDescent="0.25">
      <c r="C3013" s="26">
        <v>3011</v>
      </c>
    </row>
    <row r="3014" spans="3:3" x14ac:dyDescent="0.25">
      <c r="C3014" s="26">
        <v>3012</v>
      </c>
    </row>
    <row r="3015" spans="3:3" x14ac:dyDescent="0.25">
      <c r="C3015" s="26">
        <v>3013</v>
      </c>
    </row>
    <row r="3016" spans="3:3" x14ac:dyDescent="0.25">
      <c r="C3016" s="26">
        <v>3014</v>
      </c>
    </row>
    <row r="3017" spans="3:3" x14ac:dyDescent="0.25">
      <c r="C3017" s="26">
        <v>3015</v>
      </c>
    </row>
    <row r="3018" spans="3:3" x14ac:dyDescent="0.25">
      <c r="C3018" s="26">
        <v>3016</v>
      </c>
    </row>
    <row r="3019" spans="3:3" x14ac:dyDescent="0.25">
      <c r="C3019" s="26">
        <v>3017</v>
      </c>
    </row>
    <row r="3020" spans="3:3" x14ac:dyDescent="0.25">
      <c r="C3020" s="26">
        <v>3018</v>
      </c>
    </row>
    <row r="3021" spans="3:3" x14ac:dyDescent="0.25">
      <c r="C3021" s="26">
        <v>3019</v>
      </c>
    </row>
    <row r="3022" spans="3:3" x14ac:dyDescent="0.25">
      <c r="C3022" s="26">
        <v>3020</v>
      </c>
    </row>
    <row r="3023" spans="3:3" x14ac:dyDescent="0.25">
      <c r="C3023" s="26">
        <v>3021</v>
      </c>
    </row>
    <row r="3024" spans="3:3" x14ac:dyDescent="0.25">
      <c r="C3024" s="26">
        <v>3022</v>
      </c>
    </row>
    <row r="3025" spans="3:3" x14ac:dyDescent="0.25">
      <c r="C3025" s="26">
        <v>3023</v>
      </c>
    </row>
    <row r="3026" spans="3:3" x14ac:dyDescent="0.25">
      <c r="C3026" s="26">
        <v>3024</v>
      </c>
    </row>
    <row r="3027" spans="3:3" x14ac:dyDescent="0.25">
      <c r="C3027" s="26">
        <v>3025</v>
      </c>
    </row>
    <row r="3028" spans="3:3" x14ac:dyDescent="0.25">
      <c r="C3028" s="26">
        <v>3026</v>
      </c>
    </row>
    <row r="3029" spans="3:3" x14ac:dyDescent="0.25">
      <c r="C3029" s="26">
        <v>3027</v>
      </c>
    </row>
    <row r="3030" spans="3:3" x14ac:dyDescent="0.25">
      <c r="C3030" s="26">
        <v>3028</v>
      </c>
    </row>
    <row r="3031" spans="3:3" x14ac:dyDescent="0.25">
      <c r="C3031" s="26">
        <v>3029</v>
      </c>
    </row>
    <row r="3032" spans="3:3" x14ac:dyDescent="0.25">
      <c r="C3032" s="26">
        <v>3030</v>
      </c>
    </row>
    <row r="3033" spans="3:3" x14ac:dyDescent="0.25">
      <c r="C3033" s="26">
        <v>3031</v>
      </c>
    </row>
    <row r="3034" spans="3:3" x14ac:dyDescent="0.25">
      <c r="C3034" s="26">
        <v>3032</v>
      </c>
    </row>
    <row r="3035" spans="3:3" x14ac:dyDescent="0.25">
      <c r="C3035" s="26">
        <v>3033</v>
      </c>
    </row>
    <row r="3036" spans="3:3" x14ac:dyDescent="0.25">
      <c r="C3036" s="26">
        <v>3034</v>
      </c>
    </row>
    <row r="3037" spans="3:3" x14ac:dyDescent="0.25">
      <c r="C3037" s="26">
        <v>3035</v>
      </c>
    </row>
    <row r="3038" spans="3:3" x14ac:dyDescent="0.25">
      <c r="C3038" s="26">
        <v>3036</v>
      </c>
    </row>
    <row r="3039" spans="3:3" x14ac:dyDescent="0.25">
      <c r="C3039" s="26">
        <v>3037</v>
      </c>
    </row>
    <row r="3040" spans="3:3" x14ac:dyDescent="0.25">
      <c r="C3040" s="26">
        <v>3038</v>
      </c>
    </row>
    <row r="3041" spans="3:3" x14ac:dyDescent="0.25">
      <c r="C3041" s="26">
        <v>3039</v>
      </c>
    </row>
    <row r="3042" spans="3:3" x14ac:dyDescent="0.25">
      <c r="C3042" s="26">
        <v>3040</v>
      </c>
    </row>
    <row r="3043" spans="3:3" x14ac:dyDescent="0.25">
      <c r="C3043" s="26">
        <v>3041</v>
      </c>
    </row>
    <row r="3044" spans="3:3" x14ac:dyDescent="0.25">
      <c r="C3044" s="26">
        <v>3042</v>
      </c>
    </row>
    <row r="3045" spans="3:3" x14ac:dyDescent="0.25">
      <c r="C3045" s="26">
        <v>3043</v>
      </c>
    </row>
    <row r="3046" spans="3:3" x14ac:dyDescent="0.25">
      <c r="C3046" s="26">
        <v>3044</v>
      </c>
    </row>
    <row r="3047" spans="3:3" x14ac:dyDescent="0.25">
      <c r="C3047" s="26">
        <v>3045</v>
      </c>
    </row>
    <row r="3048" spans="3:3" x14ac:dyDescent="0.25">
      <c r="C3048" s="26">
        <v>3046</v>
      </c>
    </row>
    <row r="3049" spans="3:3" x14ac:dyDescent="0.25">
      <c r="C3049" s="26">
        <v>3047</v>
      </c>
    </row>
    <row r="3050" spans="3:3" x14ac:dyDescent="0.25">
      <c r="C3050" s="26">
        <v>3048</v>
      </c>
    </row>
    <row r="3051" spans="3:3" x14ac:dyDescent="0.25">
      <c r="C3051" s="26">
        <v>3049</v>
      </c>
    </row>
    <row r="3052" spans="3:3" x14ac:dyDescent="0.25">
      <c r="C3052" s="26">
        <v>3050</v>
      </c>
    </row>
    <row r="3053" spans="3:3" x14ac:dyDescent="0.25">
      <c r="C3053" s="26">
        <v>3051</v>
      </c>
    </row>
    <row r="3054" spans="3:3" x14ac:dyDescent="0.25">
      <c r="C3054" s="26">
        <v>3052</v>
      </c>
    </row>
    <row r="3055" spans="3:3" x14ac:dyDescent="0.25">
      <c r="C3055" s="26">
        <v>3053</v>
      </c>
    </row>
    <row r="3056" spans="3:3" x14ac:dyDescent="0.25">
      <c r="C3056" s="26">
        <v>3054</v>
      </c>
    </row>
    <row r="3057" spans="3:3" x14ac:dyDescent="0.25">
      <c r="C3057" s="26">
        <v>3055</v>
      </c>
    </row>
    <row r="3058" spans="3:3" x14ac:dyDescent="0.25">
      <c r="C3058" s="26">
        <v>3056</v>
      </c>
    </row>
    <row r="3059" spans="3:3" x14ac:dyDescent="0.25">
      <c r="C3059" s="26">
        <v>3057</v>
      </c>
    </row>
    <row r="3060" spans="3:3" x14ac:dyDescent="0.25">
      <c r="C3060" s="26">
        <v>3058</v>
      </c>
    </row>
    <row r="3061" spans="3:3" x14ac:dyDescent="0.25">
      <c r="C3061" s="26">
        <v>3059</v>
      </c>
    </row>
    <row r="3062" spans="3:3" x14ac:dyDescent="0.25">
      <c r="C3062" s="26">
        <v>3060</v>
      </c>
    </row>
    <row r="3063" spans="3:3" x14ac:dyDescent="0.25">
      <c r="C3063" s="26">
        <v>3061</v>
      </c>
    </row>
    <row r="3064" spans="3:3" x14ac:dyDescent="0.25">
      <c r="C3064" s="26">
        <v>3062</v>
      </c>
    </row>
    <row r="3065" spans="3:3" x14ac:dyDescent="0.25">
      <c r="C3065" s="26">
        <v>3063</v>
      </c>
    </row>
    <row r="3066" spans="3:3" x14ac:dyDescent="0.25">
      <c r="C3066" s="26">
        <v>3064</v>
      </c>
    </row>
    <row r="3067" spans="3:3" x14ac:dyDescent="0.25">
      <c r="C3067" s="26">
        <v>3065</v>
      </c>
    </row>
    <row r="3068" spans="3:3" x14ac:dyDescent="0.25">
      <c r="C3068" s="26">
        <v>3066</v>
      </c>
    </row>
    <row r="3069" spans="3:3" x14ac:dyDescent="0.25">
      <c r="C3069" s="26">
        <v>3067</v>
      </c>
    </row>
    <row r="3070" spans="3:3" x14ac:dyDescent="0.25">
      <c r="C3070" s="26">
        <v>3068</v>
      </c>
    </row>
    <row r="3071" spans="3:3" x14ac:dyDescent="0.25">
      <c r="C3071" s="26">
        <v>3069</v>
      </c>
    </row>
    <row r="3072" spans="3:3" x14ac:dyDescent="0.25">
      <c r="C3072" s="26">
        <v>3070</v>
      </c>
    </row>
    <row r="3073" spans="3:3" x14ac:dyDescent="0.25">
      <c r="C3073" s="26">
        <v>3071</v>
      </c>
    </row>
    <row r="3074" spans="3:3" x14ac:dyDescent="0.25">
      <c r="C3074" s="26">
        <v>3072</v>
      </c>
    </row>
    <row r="3075" spans="3:3" x14ac:dyDescent="0.25">
      <c r="C3075" s="26">
        <v>3073</v>
      </c>
    </row>
    <row r="3076" spans="3:3" x14ac:dyDescent="0.25">
      <c r="C3076" s="26">
        <v>3074</v>
      </c>
    </row>
    <row r="3077" spans="3:3" x14ac:dyDescent="0.25">
      <c r="C3077" s="26">
        <v>3075</v>
      </c>
    </row>
    <row r="3078" spans="3:3" x14ac:dyDescent="0.25">
      <c r="C3078" s="26">
        <v>3076</v>
      </c>
    </row>
    <row r="3079" spans="3:3" x14ac:dyDescent="0.25">
      <c r="C3079" s="26">
        <v>3077</v>
      </c>
    </row>
    <row r="3080" spans="3:3" x14ac:dyDescent="0.25">
      <c r="C3080" s="26">
        <v>3078</v>
      </c>
    </row>
    <row r="3081" spans="3:3" x14ac:dyDescent="0.25">
      <c r="C3081" s="26">
        <v>3079</v>
      </c>
    </row>
    <row r="3082" spans="3:3" x14ac:dyDescent="0.25">
      <c r="C3082" s="26">
        <v>3080</v>
      </c>
    </row>
    <row r="3083" spans="3:3" x14ac:dyDescent="0.25">
      <c r="C3083" s="26">
        <v>3081</v>
      </c>
    </row>
    <row r="3084" spans="3:3" x14ac:dyDescent="0.25">
      <c r="C3084" s="26">
        <v>3082</v>
      </c>
    </row>
    <row r="3085" spans="3:3" x14ac:dyDescent="0.25">
      <c r="C3085" s="26">
        <v>3083</v>
      </c>
    </row>
    <row r="3086" spans="3:3" x14ac:dyDescent="0.25">
      <c r="C3086" s="26">
        <v>3084</v>
      </c>
    </row>
    <row r="3087" spans="3:3" x14ac:dyDescent="0.25">
      <c r="C3087" s="26">
        <v>3085</v>
      </c>
    </row>
    <row r="3088" spans="3:3" x14ac:dyDescent="0.25">
      <c r="C3088" s="26">
        <v>3086</v>
      </c>
    </row>
    <row r="3089" spans="3:3" x14ac:dyDescent="0.25">
      <c r="C3089" s="26">
        <v>3087</v>
      </c>
    </row>
    <row r="3090" spans="3:3" x14ac:dyDescent="0.25">
      <c r="C3090" s="26">
        <v>3088</v>
      </c>
    </row>
    <row r="3091" spans="3:3" x14ac:dyDescent="0.25">
      <c r="C3091" s="26">
        <v>3089</v>
      </c>
    </row>
    <row r="3092" spans="3:3" x14ac:dyDescent="0.25">
      <c r="C3092" s="26">
        <v>3090</v>
      </c>
    </row>
    <row r="3093" spans="3:3" x14ac:dyDescent="0.25">
      <c r="C3093" s="26">
        <v>3091</v>
      </c>
    </row>
    <row r="3094" spans="3:3" x14ac:dyDescent="0.25">
      <c r="C3094" s="26">
        <v>3092</v>
      </c>
    </row>
    <row r="3095" spans="3:3" x14ac:dyDescent="0.25">
      <c r="C3095" s="26">
        <v>3093</v>
      </c>
    </row>
    <row r="3096" spans="3:3" x14ac:dyDescent="0.25">
      <c r="C3096" s="26">
        <v>3094</v>
      </c>
    </row>
    <row r="3097" spans="3:3" x14ac:dyDescent="0.25">
      <c r="C3097" s="26">
        <v>3095</v>
      </c>
    </row>
    <row r="3098" spans="3:3" x14ac:dyDescent="0.25">
      <c r="C3098" s="26">
        <v>3096</v>
      </c>
    </row>
    <row r="3099" spans="3:3" x14ac:dyDescent="0.25">
      <c r="C3099" s="26">
        <v>3097</v>
      </c>
    </row>
    <row r="3100" spans="3:3" x14ac:dyDescent="0.25">
      <c r="C3100" s="26">
        <v>3098</v>
      </c>
    </row>
    <row r="3101" spans="3:3" x14ac:dyDescent="0.25">
      <c r="C3101" s="26">
        <v>3099</v>
      </c>
    </row>
    <row r="3102" spans="3:3" x14ac:dyDescent="0.25">
      <c r="C3102" s="26">
        <v>3100</v>
      </c>
    </row>
    <row r="3103" spans="3:3" x14ac:dyDescent="0.25">
      <c r="C3103" s="26">
        <v>3101</v>
      </c>
    </row>
    <row r="3104" spans="3:3" x14ac:dyDescent="0.25">
      <c r="C3104" s="26">
        <v>3102</v>
      </c>
    </row>
    <row r="3105" spans="3:3" x14ac:dyDescent="0.25">
      <c r="C3105" s="26">
        <v>3103</v>
      </c>
    </row>
    <row r="3106" spans="3:3" x14ac:dyDescent="0.25">
      <c r="C3106" s="26">
        <v>3104</v>
      </c>
    </row>
    <row r="3107" spans="3:3" x14ac:dyDescent="0.25">
      <c r="C3107" s="26">
        <v>3105</v>
      </c>
    </row>
    <row r="3108" spans="3:3" x14ac:dyDescent="0.25">
      <c r="C3108" s="26">
        <v>3106</v>
      </c>
    </row>
    <row r="3109" spans="3:3" x14ac:dyDescent="0.25">
      <c r="C3109" s="26">
        <v>3107</v>
      </c>
    </row>
    <row r="3110" spans="3:3" x14ac:dyDescent="0.25">
      <c r="C3110" s="26">
        <v>3108</v>
      </c>
    </row>
    <row r="3111" spans="3:3" x14ac:dyDescent="0.25">
      <c r="C3111" s="26">
        <v>3109</v>
      </c>
    </row>
    <row r="3112" spans="3:3" x14ac:dyDescent="0.25">
      <c r="C3112" s="26">
        <v>3110</v>
      </c>
    </row>
    <row r="3113" spans="3:3" x14ac:dyDescent="0.25">
      <c r="C3113" s="26">
        <v>3111</v>
      </c>
    </row>
    <row r="3114" spans="3:3" x14ac:dyDescent="0.25">
      <c r="C3114" s="26">
        <v>3112</v>
      </c>
    </row>
    <row r="3115" spans="3:3" x14ac:dyDescent="0.25">
      <c r="C3115" s="26">
        <v>3113</v>
      </c>
    </row>
    <row r="3116" spans="3:3" x14ac:dyDescent="0.25">
      <c r="C3116" s="26">
        <v>3114</v>
      </c>
    </row>
    <row r="3117" spans="3:3" x14ac:dyDescent="0.25">
      <c r="C3117" s="26">
        <v>3115</v>
      </c>
    </row>
    <row r="3118" spans="3:3" x14ac:dyDescent="0.25">
      <c r="C3118" s="26">
        <v>3116</v>
      </c>
    </row>
    <row r="3119" spans="3:3" x14ac:dyDescent="0.25">
      <c r="C3119" s="26">
        <v>3117</v>
      </c>
    </row>
    <row r="3120" spans="3:3" x14ac:dyDescent="0.25">
      <c r="C3120" s="26">
        <v>3118</v>
      </c>
    </row>
    <row r="3121" spans="3:3" x14ac:dyDescent="0.25">
      <c r="C3121" s="26">
        <v>3119</v>
      </c>
    </row>
    <row r="3122" spans="3:3" x14ac:dyDescent="0.25">
      <c r="C3122" s="26">
        <v>3120</v>
      </c>
    </row>
    <row r="3123" spans="3:3" x14ac:dyDescent="0.25">
      <c r="C3123" s="26">
        <v>3121</v>
      </c>
    </row>
    <row r="3124" spans="3:3" x14ac:dyDescent="0.25">
      <c r="C3124" s="26">
        <v>3122</v>
      </c>
    </row>
    <row r="3125" spans="3:3" x14ac:dyDescent="0.25">
      <c r="C3125" s="26">
        <v>3123</v>
      </c>
    </row>
    <row r="3126" spans="3:3" x14ac:dyDescent="0.25">
      <c r="C3126" s="26">
        <v>3124</v>
      </c>
    </row>
    <row r="3127" spans="3:3" x14ac:dyDescent="0.25">
      <c r="C3127" s="26">
        <v>3125</v>
      </c>
    </row>
    <row r="3128" spans="3:3" x14ac:dyDescent="0.25">
      <c r="C3128" s="26">
        <v>3126</v>
      </c>
    </row>
    <row r="3129" spans="3:3" x14ac:dyDescent="0.25">
      <c r="C3129" s="26">
        <v>3127</v>
      </c>
    </row>
    <row r="3130" spans="3:3" x14ac:dyDescent="0.25">
      <c r="C3130" s="26">
        <v>3128</v>
      </c>
    </row>
    <row r="3131" spans="3:3" x14ac:dyDescent="0.25">
      <c r="C3131" s="26">
        <v>3129</v>
      </c>
    </row>
    <row r="3132" spans="3:3" x14ac:dyDescent="0.25">
      <c r="C3132" s="26">
        <v>3130</v>
      </c>
    </row>
    <row r="3133" spans="3:3" x14ac:dyDescent="0.25">
      <c r="C3133" s="26">
        <v>3131</v>
      </c>
    </row>
    <row r="3134" spans="3:3" x14ac:dyDescent="0.25">
      <c r="C3134" s="26">
        <v>3132</v>
      </c>
    </row>
    <row r="3135" spans="3:3" x14ac:dyDescent="0.25">
      <c r="C3135" s="26">
        <v>3133</v>
      </c>
    </row>
    <row r="3136" spans="3:3" x14ac:dyDescent="0.25">
      <c r="C3136" s="26">
        <v>3134</v>
      </c>
    </row>
    <row r="3137" spans="3:3" x14ac:dyDescent="0.25">
      <c r="C3137" s="26">
        <v>3135</v>
      </c>
    </row>
    <row r="3138" spans="3:3" x14ac:dyDescent="0.25">
      <c r="C3138" s="26">
        <v>3136</v>
      </c>
    </row>
    <row r="3139" spans="3:3" x14ac:dyDescent="0.25">
      <c r="C3139" s="26">
        <v>3137</v>
      </c>
    </row>
    <row r="3140" spans="3:3" x14ac:dyDescent="0.25">
      <c r="C3140" s="26">
        <v>3138</v>
      </c>
    </row>
    <row r="3141" spans="3:3" x14ac:dyDescent="0.25">
      <c r="C3141" s="26">
        <v>3139</v>
      </c>
    </row>
    <row r="3142" spans="3:3" x14ac:dyDescent="0.25">
      <c r="C3142" s="26">
        <v>3140</v>
      </c>
    </row>
    <row r="3143" spans="3:3" x14ac:dyDescent="0.25">
      <c r="C3143" s="26">
        <v>3141</v>
      </c>
    </row>
    <row r="3144" spans="3:3" x14ac:dyDescent="0.25">
      <c r="C3144" s="26">
        <v>3142</v>
      </c>
    </row>
    <row r="3145" spans="3:3" x14ac:dyDescent="0.25">
      <c r="C3145" s="26">
        <v>3143</v>
      </c>
    </row>
    <row r="3146" spans="3:3" x14ac:dyDescent="0.25">
      <c r="C3146" s="26">
        <v>3144</v>
      </c>
    </row>
    <row r="3147" spans="3:3" x14ac:dyDescent="0.25">
      <c r="C3147" s="26">
        <v>3145</v>
      </c>
    </row>
    <row r="3148" spans="3:3" x14ac:dyDescent="0.25">
      <c r="C3148" s="26">
        <v>3146</v>
      </c>
    </row>
    <row r="3149" spans="3:3" x14ac:dyDescent="0.25">
      <c r="C3149" s="26">
        <v>3147</v>
      </c>
    </row>
    <row r="3150" spans="3:3" x14ac:dyDescent="0.25">
      <c r="C3150" s="26">
        <v>3148</v>
      </c>
    </row>
    <row r="3151" spans="3:3" x14ac:dyDescent="0.25">
      <c r="C3151" s="26">
        <v>3149</v>
      </c>
    </row>
    <row r="3152" spans="3:3" x14ac:dyDescent="0.25">
      <c r="C3152" s="26">
        <v>3150</v>
      </c>
    </row>
    <row r="3153" spans="3:3" x14ac:dyDescent="0.25">
      <c r="C3153" s="26">
        <v>3151</v>
      </c>
    </row>
    <row r="3154" spans="3:3" x14ac:dyDescent="0.25">
      <c r="C3154" s="26">
        <v>3152</v>
      </c>
    </row>
    <row r="3155" spans="3:3" x14ac:dyDescent="0.25">
      <c r="C3155" s="26">
        <v>3153</v>
      </c>
    </row>
    <row r="3156" spans="3:3" x14ac:dyDescent="0.25">
      <c r="C3156" s="26">
        <v>3154</v>
      </c>
    </row>
    <row r="3157" spans="3:3" x14ac:dyDescent="0.25">
      <c r="C3157" s="26">
        <v>3155</v>
      </c>
    </row>
    <row r="3158" spans="3:3" x14ac:dyDescent="0.25">
      <c r="C3158" s="26">
        <v>3156</v>
      </c>
    </row>
    <row r="3159" spans="3:3" x14ac:dyDescent="0.25">
      <c r="C3159" s="26">
        <v>3157</v>
      </c>
    </row>
    <row r="3160" spans="3:3" x14ac:dyDescent="0.25">
      <c r="C3160" s="26">
        <v>3158</v>
      </c>
    </row>
    <row r="3161" spans="3:3" x14ac:dyDescent="0.25">
      <c r="C3161" s="26">
        <v>3159</v>
      </c>
    </row>
    <row r="3162" spans="3:3" x14ac:dyDescent="0.25">
      <c r="C3162" s="26">
        <v>3160</v>
      </c>
    </row>
    <row r="3163" spans="3:3" x14ac:dyDescent="0.25">
      <c r="C3163" s="26">
        <v>3161</v>
      </c>
    </row>
    <row r="3164" spans="3:3" x14ac:dyDescent="0.25">
      <c r="C3164" s="26">
        <v>3162</v>
      </c>
    </row>
    <row r="3165" spans="3:3" x14ac:dyDescent="0.25">
      <c r="C3165" s="26">
        <v>3163</v>
      </c>
    </row>
    <row r="3166" spans="3:3" x14ac:dyDescent="0.25">
      <c r="C3166" s="26">
        <v>3164</v>
      </c>
    </row>
    <row r="3167" spans="3:3" x14ac:dyDescent="0.25">
      <c r="C3167" s="26">
        <v>3165</v>
      </c>
    </row>
    <row r="3168" spans="3:3" x14ac:dyDescent="0.25">
      <c r="C3168" s="26">
        <v>3166</v>
      </c>
    </row>
    <row r="3169" spans="3:3" x14ac:dyDescent="0.25">
      <c r="C3169" s="26">
        <v>3167</v>
      </c>
    </row>
    <row r="3170" spans="3:3" x14ac:dyDescent="0.25">
      <c r="C3170" s="26">
        <v>3168</v>
      </c>
    </row>
    <row r="3171" spans="3:3" x14ac:dyDescent="0.25">
      <c r="C3171" s="26">
        <v>3169</v>
      </c>
    </row>
    <row r="3172" spans="3:3" x14ac:dyDescent="0.25">
      <c r="C3172" s="26">
        <v>3170</v>
      </c>
    </row>
    <row r="3173" spans="3:3" x14ac:dyDescent="0.25">
      <c r="C3173" s="26">
        <v>3171</v>
      </c>
    </row>
    <row r="3174" spans="3:3" x14ac:dyDescent="0.25">
      <c r="C3174" s="26">
        <v>3172</v>
      </c>
    </row>
    <row r="3175" spans="3:3" x14ac:dyDescent="0.25">
      <c r="C3175" s="26">
        <v>3173</v>
      </c>
    </row>
    <row r="3176" spans="3:3" x14ac:dyDescent="0.25">
      <c r="C3176" s="26">
        <v>3174</v>
      </c>
    </row>
    <row r="3177" spans="3:3" x14ac:dyDescent="0.25">
      <c r="C3177" s="26">
        <v>3175</v>
      </c>
    </row>
    <row r="3178" spans="3:3" x14ac:dyDescent="0.25">
      <c r="C3178" s="26">
        <v>3176</v>
      </c>
    </row>
    <row r="3179" spans="3:3" x14ac:dyDescent="0.25">
      <c r="C3179" s="26">
        <v>3177</v>
      </c>
    </row>
    <row r="3180" spans="3:3" x14ac:dyDescent="0.25">
      <c r="C3180" s="26">
        <v>3178</v>
      </c>
    </row>
    <row r="3181" spans="3:3" x14ac:dyDescent="0.25">
      <c r="C3181" s="26">
        <v>3179</v>
      </c>
    </row>
    <row r="3182" spans="3:3" x14ac:dyDescent="0.25">
      <c r="C3182" s="26">
        <v>3180</v>
      </c>
    </row>
    <row r="3183" spans="3:3" x14ac:dyDescent="0.25">
      <c r="C3183" s="26">
        <v>3181</v>
      </c>
    </row>
    <row r="3184" spans="3:3" x14ac:dyDescent="0.25">
      <c r="C3184" s="26">
        <v>3182</v>
      </c>
    </row>
    <row r="3185" spans="3:3" x14ac:dyDescent="0.25">
      <c r="C3185" s="26">
        <v>3183</v>
      </c>
    </row>
    <row r="3186" spans="3:3" x14ac:dyDescent="0.25">
      <c r="C3186" s="26">
        <v>3184</v>
      </c>
    </row>
    <row r="3187" spans="3:3" x14ac:dyDescent="0.25">
      <c r="C3187" s="26">
        <v>3185</v>
      </c>
    </row>
    <row r="3188" spans="3:3" x14ac:dyDescent="0.25">
      <c r="C3188" s="26">
        <v>3186</v>
      </c>
    </row>
    <row r="3189" spans="3:3" x14ac:dyDescent="0.25">
      <c r="C3189" s="26">
        <v>3187</v>
      </c>
    </row>
    <row r="3190" spans="3:3" x14ac:dyDescent="0.25">
      <c r="C3190" s="26">
        <v>3188</v>
      </c>
    </row>
    <row r="3191" spans="3:3" x14ac:dyDescent="0.25">
      <c r="C3191" s="26">
        <v>3189</v>
      </c>
    </row>
    <row r="3192" spans="3:3" x14ac:dyDescent="0.25">
      <c r="C3192" s="26">
        <v>3190</v>
      </c>
    </row>
    <row r="3193" spans="3:3" x14ac:dyDescent="0.25">
      <c r="C3193" s="26">
        <v>3191</v>
      </c>
    </row>
    <row r="3194" spans="3:3" x14ac:dyDescent="0.25">
      <c r="C3194" s="26">
        <v>3192</v>
      </c>
    </row>
    <row r="3195" spans="3:3" x14ac:dyDescent="0.25">
      <c r="C3195" s="26">
        <v>3193</v>
      </c>
    </row>
    <row r="3196" spans="3:3" x14ac:dyDescent="0.25">
      <c r="C3196" s="26">
        <v>3194</v>
      </c>
    </row>
    <row r="3197" spans="3:3" x14ac:dyDescent="0.25">
      <c r="C3197" s="26">
        <v>3195</v>
      </c>
    </row>
    <row r="3198" spans="3:3" x14ac:dyDescent="0.25">
      <c r="C3198" s="26">
        <v>3196</v>
      </c>
    </row>
    <row r="3199" spans="3:3" x14ac:dyDescent="0.25">
      <c r="C3199" s="26">
        <v>3197</v>
      </c>
    </row>
    <row r="3200" spans="3:3" x14ac:dyDescent="0.25">
      <c r="C3200" s="26">
        <v>3198</v>
      </c>
    </row>
    <row r="3201" spans="3:3" x14ac:dyDescent="0.25">
      <c r="C3201" s="26">
        <v>3199</v>
      </c>
    </row>
    <row r="3202" spans="3:3" x14ac:dyDescent="0.25">
      <c r="C3202" s="26">
        <v>3200</v>
      </c>
    </row>
    <row r="3203" spans="3:3" x14ac:dyDescent="0.25">
      <c r="C3203" s="26">
        <v>3201</v>
      </c>
    </row>
    <row r="3204" spans="3:3" x14ac:dyDescent="0.25">
      <c r="C3204" s="26">
        <v>3202</v>
      </c>
    </row>
    <row r="3205" spans="3:3" x14ac:dyDescent="0.25">
      <c r="C3205" s="26">
        <v>3203</v>
      </c>
    </row>
    <row r="3206" spans="3:3" x14ac:dyDescent="0.25">
      <c r="C3206" s="26">
        <v>3204</v>
      </c>
    </row>
    <row r="3207" spans="3:3" x14ac:dyDescent="0.25">
      <c r="C3207" s="26">
        <v>3205</v>
      </c>
    </row>
    <row r="3208" spans="3:3" x14ac:dyDescent="0.25">
      <c r="C3208" s="26">
        <v>3206</v>
      </c>
    </row>
    <row r="3209" spans="3:3" x14ac:dyDescent="0.25">
      <c r="C3209" s="26">
        <v>3207</v>
      </c>
    </row>
    <row r="3210" spans="3:3" x14ac:dyDescent="0.25">
      <c r="C3210" s="26">
        <v>3208</v>
      </c>
    </row>
    <row r="3211" spans="3:3" x14ac:dyDescent="0.25">
      <c r="C3211" s="26">
        <v>3209</v>
      </c>
    </row>
    <row r="3212" spans="3:3" x14ac:dyDescent="0.25">
      <c r="C3212" s="26">
        <v>3210</v>
      </c>
    </row>
    <row r="3213" spans="3:3" x14ac:dyDescent="0.25">
      <c r="C3213" s="26">
        <v>3211</v>
      </c>
    </row>
    <row r="3214" spans="3:3" x14ac:dyDescent="0.25">
      <c r="C3214" s="26">
        <v>3212</v>
      </c>
    </row>
    <row r="3215" spans="3:3" x14ac:dyDescent="0.25">
      <c r="C3215" s="26">
        <v>3213</v>
      </c>
    </row>
    <row r="3216" spans="3:3" x14ac:dyDescent="0.25">
      <c r="C3216" s="26">
        <v>3214</v>
      </c>
    </row>
    <row r="3217" spans="3:3" x14ac:dyDescent="0.25">
      <c r="C3217" s="26">
        <v>3215</v>
      </c>
    </row>
    <row r="3218" spans="3:3" x14ac:dyDescent="0.25">
      <c r="C3218" s="26">
        <v>3216</v>
      </c>
    </row>
    <row r="3219" spans="3:3" x14ac:dyDescent="0.25">
      <c r="C3219" s="26">
        <v>3217</v>
      </c>
    </row>
    <row r="3220" spans="3:3" x14ac:dyDescent="0.25">
      <c r="C3220" s="26">
        <v>3218</v>
      </c>
    </row>
    <row r="3221" spans="3:3" x14ac:dyDescent="0.25">
      <c r="C3221" s="26">
        <v>3219</v>
      </c>
    </row>
    <row r="3222" spans="3:3" x14ac:dyDescent="0.25">
      <c r="C3222" s="26">
        <v>3220</v>
      </c>
    </row>
    <row r="3223" spans="3:3" x14ac:dyDescent="0.25">
      <c r="C3223" s="26">
        <v>3221</v>
      </c>
    </row>
    <row r="3224" spans="3:3" x14ac:dyDescent="0.25">
      <c r="C3224" s="26">
        <v>3222</v>
      </c>
    </row>
    <row r="3225" spans="3:3" x14ac:dyDescent="0.25">
      <c r="C3225" s="26">
        <v>3223</v>
      </c>
    </row>
    <row r="3226" spans="3:3" x14ac:dyDescent="0.25">
      <c r="C3226" s="26">
        <v>3224</v>
      </c>
    </row>
    <row r="3227" spans="3:3" x14ac:dyDescent="0.25">
      <c r="C3227" s="26">
        <v>3225</v>
      </c>
    </row>
    <row r="3228" spans="3:3" x14ac:dyDescent="0.25">
      <c r="C3228" s="26">
        <v>3226</v>
      </c>
    </row>
    <row r="3229" spans="3:3" x14ac:dyDescent="0.25">
      <c r="C3229" s="26">
        <v>3227</v>
      </c>
    </row>
    <row r="3230" spans="3:3" x14ac:dyDescent="0.25">
      <c r="C3230" s="26">
        <v>3228</v>
      </c>
    </row>
    <row r="3231" spans="3:3" x14ac:dyDescent="0.25">
      <c r="C3231" s="26">
        <v>3229</v>
      </c>
    </row>
    <row r="3232" spans="3:3" x14ac:dyDescent="0.25">
      <c r="C3232" s="26">
        <v>3230</v>
      </c>
    </row>
    <row r="3233" spans="3:3" x14ac:dyDescent="0.25">
      <c r="C3233" s="26">
        <v>3231</v>
      </c>
    </row>
    <row r="3234" spans="3:3" x14ac:dyDescent="0.25">
      <c r="C3234" s="26">
        <v>3232</v>
      </c>
    </row>
    <row r="3235" spans="3:3" x14ac:dyDescent="0.25">
      <c r="C3235" s="26">
        <v>3233</v>
      </c>
    </row>
    <row r="3236" spans="3:3" x14ac:dyDescent="0.25">
      <c r="C3236" s="26">
        <v>3234</v>
      </c>
    </row>
    <row r="3237" spans="3:3" x14ac:dyDescent="0.25">
      <c r="C3237" s="26">
        <v>3235</v>
      </c>
    </row>
    <row r="3238" spans="3:3" x14ac:dyDescent="0.25">
      <c r="C3238" s="26">
        <v>3236</v>
      </c>
    </row>
    <row r="3239" spans="3:3" x14ac:dyDescent="0.25">
      <c r="C3239" s="26">
        <v>3237</v>
      </c>
    </row>
    <row r="3240" spans="3:3" x14ac:dyDescent="0.25">
      <c r="C3240" s="26">
        <v>3238</v>
      </c>
    </row>
    <row r="3241" spans="3:3" x14ac:dyDescent="0.25">
      <c r="C3241" s="26">
        <v>3239</v>
      </c>
    </row>
    <row r="3242" spans="3:3" x14ac:dyDescent="0.25">
      <c r="C3242" s="26">
        <v>3240</v>
      </c>
    </row>
    <row r="3243" spans="3:3" x14ac:dyDescent="0.25">
      <c r="C3243" s="26">
        <v>3241</v>
      </c>
    </row>
    <row r="3244" spans="3:3" x14ac:dyDescent="0.25">
      <c r="C3244" s="26">
        <v>3242</v>
      </c>
    </row>
    <row r="3245" spans="3:3" x14ac:dyDescent="0.25">
      <c r="C3245" s="26">
        <v>3243</v>
      </c>
    </row>
    <row r="3246" spans="3:3" x14ac:dyDescent="0.25">
      <c r="C3246" s="26">
        <v>3244</v>
      </c>
    </row>
    <row r="3247" spans="3:3" x14ac:dyDescent="0.25">
      <c r="C3247" s="26">
        <v>3245</v>
      </c>
    </row>
    <row r="3248" spans="3:3" x14ac:dyDescent="0.25">
      <c r="C3248" s="26">
        <v>3246</v>
      </c>
    </row>
    <row r="3249" spans="3:3" x14ac:dyDescent="0.25">
      <c r="C3249" s="26">
        <v>3247</v>
      </c>
    </row>
    <row r="3250" spans="3:3" x14ac:dyDescent="0.25">
      <c r="C3250" s="26">
        <v>3248</v>
      </c>
    </row>
    <row r="3251" spans="3:3" x14ac:dyDescent="0.25">
      <c r="C3251" s="26">
        <v>3249</v>
      </c>
    </row>
    <row r="3252" spans="3:3" x14ac:dyDescent="0.25">
      <c r="C3252" s="26">
        <v>3250</v>
      </c>
    </row>
    <row r="3253" spans="3:3" x14ac:dyDescent="0.25">
      <c r="C3253" s="26">
        <v>3251</v>
      </c>
    </row>
    <row r="3254" spans="3:3" x14ac:dyDescent="0.25">
      <c r="C3254" s="26">
        <v>3252</v>
      </c>
    </row>
    <row r="3255" spans="3:3" x14ac:dyDescent="0.25">
      <c r="C3255" s="26">
        <v>3253</v>
      </c>
    </row>
    <row r="3256" spans="3:3" x14ac:dyDescent="0.25">
      <c r="C3256" s="26">
        <v>3254</v>
      </c>
    </row>
    <row r="3257" spans="3:3" x14ac:dyDescent="0.25">
      <c r="C3257" s="26">
        <v>3255</v>
      </c>
    </row>
    <row r="3258" spans="3:3" x14ac:dyDescent="0.25">
      <c r="C3258" s="26">
        <v>3256</v>
      </c>
    </row>
    <row r="3259" spans="3:3" x14ac:dyDescent="0.25">
      <c r="C3259" s="26">
        <v>3257</v>
      </c>
    </row>
    <row r="3260" spans="3:3" x14ac:dyDescent="0.25">
      <c r="C3260" s="26">
        <v>3258</v>
      </c>
    </row>
    <row r="3261" spans="3:3" x14ac:dyDescent="0.25">
      <c r="C3261" s="26">
        <v>3259</v>
      </c>
    </row>
    <row r="3262" spans="3:3" x14ac:dyDescent="0.25">
      <c r="C3262" s="26">
        <v>3260</v>
      </c>
    </row>
    <row r="3263" spans="3:3" x14ac:dyDescent="0.25">
      <c r="C3263" s="26">
        <v>3261</v>
      </c>
    </row>
    <row r="3264" spans="3:3" x14ac:dyDescent="0.25">
      <c r="C3264" s="26">
        <v>3262</v>
      </c>
    </row>
    <row r="3265" spans="3:3" x14ac:dyDescent="0.25">
      <c r="C3265" s="26">
        <v>3263</v>
      </c>
    </row>
    <row r="3266" spans="3:3" x14ac:dyDescent="0.25">
      <c r="C3266" s="26">
        <v>3264</v>
      </c>
    </row>
    <row r="3267" spans="3:3" x14ac:dyDescent="0.25">
      <c r="C3267" s="26">
        <v>3265</v>
      </c>
    </row>
    <row r="3268" spans="3:3" x14ac:dyDescent="0.25">
      <c r="C3268" s="26">
        <v>3266</v>
      </c>
    </row>
    <row r="3269" spans="3:3" x14ac:dyDescent="0.25">
      <c r="C3269" s="26">
        <v>3267</v>
      </c>
    </row>
    <row r="3270" spans="3:3" x14ac:dyDescent="0.25">
      <c r="C3270" s="26">
        <v>3268</v>
      </c>
    </row>
    <row r="3271" spans="3:3" x14ac:dyDescent="0.25">
      <c r="C3271" s="26">
        <v>3269</v>
      </c>
    </row>
    <row r="3272" spans="3:3" x14ac:dyDescent="0.25">
      <c r="C3272" s="26">
        <v>3270</v>
      </c>
    </row>
    <row r="3273" spans="3:3" x14ac:dyDescent="0.25">
      <c r="C3273" s="26">
        <v>3271</v>
      </c>
    </row>
    <row r="3274" spans="3:3" x14ac:dyDescent="0.25">
      <c r="C3274" s="26">
        <v>3272</v>
      </c>
    </row>
    <row r="3275" spans="3:3" x14ac:dyDescent="0.25">
      <c r="C3275" s="26">
        <v>3273</v>
      </c>
    </row>
    <row r="3276" spans="3:3" x14ac:dyDescent="0.25">
      <c r="C3276" s="26">
        <v>3274</v>
      </c>
    </row>
    <row r="3277" spans="3:3" x14ac:dyDescent="0.25">
      <c r="C3277" s="26">
        <v>3275</v>
      </c>
    </row>
    <row r="3278" spans="3:3" x14ac:dyDescent="0.25">
      <c r="C3278" s="26">
        <v>3276</v>
      </c>
    </row>
    <row r="3279" spans="3:3" x14ac:dyDescent="0.25">
      <c r="C3279" s="26">
        <v>3277</v>
      </c>
    </row>
    <row r="3280" spans="3:3" x14ac:dyDescent="0.25">
      <c r="C3280" s="26">
        <v>3278</v>
      </c>
    </row>
    <row r="3281" spans="3:3" x14ac:dyDescent="0.25">
      <c r="C3281" s="26">
        <v>3279</v>
      </c>
    </row>
    <row r="3282" spans="3:3" x14ac:dyDescent="0.25">
      <c r="C3282" s="26">
        <v>3280</v>
      </c>
    </row>
    <row r="3283" spans="3:3" x14ac:dyDescent="0.25">
      <c r="C3283" s="26">
        <v>3281</v>
      </c>
    </row>
    <row r="3284" spans="3:3" x14ac:dyDescent="0.25">
      <c r="C3284" s="26">
        <v>3282</v>
      </c>
    </row>
    <row r="3285" spans="3:3" x14ac:dyDescent="0.25">
      <c r="C3285" s="26">
        <v>3283</v>
      </c>
    </row>
    <row r="3286" spans="3:3" x14ac:dyDescent="0.25">
      <c r="C3286" s="26">
        <v>3284</v>
      </c>
    </row>
    <row r="3287" spans="3:3" x14ac:dyDescent="0.25">
      <c r="C3287" s="26">
        <v>3285</v>
      </c>
    </row>
    <row r="3288" spans="3:3" x14ac:dyDescent="0.25">
      <c r="C3288" s="26">
        <v>3286</v>
      </c>
    </row>
    <row r="3289" spans="3:3" x14ac:dyDescent="0.25">
      <c r="C3289" s="26">
        <v>3287</v>
      </c>
    </row>
    <row r="3290" spans="3:3" x14ac:dyDescent="0.25">
      <c r="C3290" s="26">
        <v>3288</v>
      </c>
    </row>
    <row r="3291" spans="3:3" x14ac:dyDescent="0.25">
      <c r="C3291" s="26">
        <v>3289</v>
      </c>
    </row>
    <row r="3292" spans="3:3" x14ac:dyDescent="0.25">
      <c r="C3292" s="26">
        <v>3290</v>
      </c>
    </row>
    <row r="3293" spans="3:3" x14ac:dyDescent="0.25">
      <c r="C3293" s="26">
        <v>3291</v>
      </c>
    </row>
    <row r="3294" spans="3:3" x14ac:dyDescent="0.25">
      <c r="C3294" s="26">
        <v>3292</v>
      </c>
    </row>
    <row r="3295" spans="3:3" x14ac:dyDescent="0.25">
      <c r="C3295" s="26">
        <v>3293</v>
      </c>
    </row>
    <row r="3296" spans="3:3" x14ac:dyDescent="0.25">
      <c r="C3296" s="26">
        <v>3294</v>
      </c>
    </row>
    <row r="3297" spans="3:3" x14ac:dyDescent="0.25">
      <c r="C3297" s="26">
        <v>3295</v>
      </c>
    </row>
    <row r="3298" spans="3:3" x14ac:dyDescent="0.25">
      <c r="C3298" s="26">
        <v>3296</v>
      </c>
    </row>
    <row r="3299" spans="3:3" x14ac:dyDescent="0.25">
      <c r="C3299" s="26">
        <v>3297</v>
      </c>
    </row>
    <row r="3300" spans="3:3" x14ac:dyDescent="0.25">
      <c r="C3300" s="26">
        <v>3298</v>
      </c>
    </row>
    <row r="3301" spans="3:3" x14ac:dyDescent="0.25">
      <c r="C3301" s="26">
        <v>3299</v>
      </c>
    </row>
    <row r="3302" spans="3:3" x14ac:dyDescent="0.25">
      <c r="C3302" s="26">
        <v>3300</v>
      </c>
    </row>
    <row r="3303" spans="3:3" x14ac:dyDescent="0.25">
      <c r="C3303" s="26">
        <v>3301</v>
      </c>
    </row>
    <row r="3304" spans="3:3" x14ac:dyDescent="0.25">
      <c r="C3304" s="26">
        <v>3302</v>
      </c>
    </row>
    <row r="3305" spans="3:3" x14ac:dyDescent="0.25">
      <c r="C3305" s="26">
        <v>3303</v>
      </c>
    </row>
    <row r="3306" spans="3:3" x14ac:dyDescent="0.25">
      <c r="C3306" s="26">
        <v>3304</v>
      </c>
    </row>
    <row r="3307" spans="3:3" x14ac:dyDescent="0.25">
      <c r="C3307" s="26">
        <v>3305</v>
      </c>
    </row>
    <row r="3308" spans="3:3" x14ac:dyDescent="0.25">
      <c r="C3308" s="26">
        <v>3306</v>
      </c>
    </row>
    <row r="3309" spans="3:3" x14ac:dyDescent="0.25">
      <c r="C3309" s="26">
        <v>3307</v>
      </c>
    </row>
    <row r="3310" spans="3:3" x14ac:dyDescent="0.25">
      <c r="C3310" s="26">
        <v>3308</v>
      </c>
    </row>
    <row r="3311" spans="3:3" x14ac:dyDescent="0.25">
      <c r="C3311" s="26">
        <v>3309</v>
      </c>
    </row>
    <row r="3312" spans="3:3" x14ac:dyDescent="0.25">
      <c r="C3312" s="26">
        <v>3310</v>
      </c>
    </row>
    <row r="3313" spans="3:3" x14ac:dyDescent="0.25">
      <c r="C3313" s="26">
        <v>3311</v>
      </c>
    </row>
    <row r="3314" spans="3:3" x14ac:dyDescent="0.25">
      <c r="C3314" s="26">
        <v>3312</v>
      </c>
    </row>
    <row r="3315" spans="3:3" x14ac:dyDescent="0.25">
      <c r="C3315" s="26">
        <v>3313</v>
      </c>
    </row>
    <row r="3316" spans="3:3" x14ac:dyDescent="0.25">
      <c r="C3316" s="26">
        <v>3314</v>
      </c>
    </row>
    <row r="3317" spans="3:3" x14ac:dyDescent="0.25">
      <c r="C3317" s="26">
        <v>3315</v>
      </c>
    </row>
    <row r="3318" spans="3:3" x14ac:dyDescent="0.25">
      <c r="C3318" s="26">
        <v>3316</v>
      </c>
    </row>
    <row r="3319" spans="3:3" x14ac:dyDescent="0.25">
      <c r="C3319" s="26">
        <v>3317</v>
      </c>
    </row>
    <row r="3320" spans="3:3" x14ac:dyDescent="0.25">
      <c r="C3320" s="26">
        <v>3318</v>
      </c>
    </row>
    <row r="3321" spans="3:3" x14ac:dyDescent="0.25">
      <c r="C3321" s="26">
        <v>3319</v>
      </c>
    </row>
    <row r="3322" spans="3:3" x14ac:dyDescent="0.25">
      <c r="C3322" s="26">
        <v>3320</v>
      </c>
    </row>
    <row r="3323" spans="3:3" x14ac:dyDescent="0.25">
      <c r="C3323" s="26">
        <v>3321</v>
      </c>
    </row>
    <row r="3324" spans="3:3" x14ac:dyDescent="0.25">
      <c r="C3324" s="26">
        <v>3322</v>
      </c>
    </row>
    <row r="3325" spans="3:3" x14ac:dyDescent="0.25">
      <c r="C3325" s="26">
        <v>3323</v>
      </c>
    </row>
    <row r="3326" spans="3:3" x14ac:dyDescent="0.25">
      <c r="C3326" s="26">
        <v>3324</v>
      </c>
    </row>
    <row r="3327" spans="3:3" x14ac:dyDescent="0.25">
      <c r="C3327" s="26">
        <v>3325</v>
      </c>
    </row>
    <row r="3328" spans="3:3" x14ac:dyDescent="0.25">
      <c r="C3328" s="26">
        <v>3326</v>
      </c>
    </row>
    <row r="3329" spans="3:3" x14ac:dyDescent="0.25">
      <c r="C3329" s="26">
        <v>3327</v>
      </c>
    </row>
    <row r="3330" spans="3:3" x14ac:dyDescent="0.25">
      <c r="C3330" s="26">
        <v>3328</v>
      </c>
    </row>
    <row r="3331" spans="3:3" x14ac:dyDescent="0.25">
      <c r="C3331" s="26">
        <v>3329</v>
      </c>
    </row>
    <row r="3332" spans="3:3" x14ac:dyDescent="0.25">
      <c r="C3332" s="26">
        <v>3330</v>
      </c>
    </row>
    <row r="3333" spans="3:3" x14ac:dyDescent="0.25">
      <c r="C3333" s="26">
        <v>3331</v>
      </c>
    </row>
    <row r="3334" spans="3:3" x14ac:dyDescent="0.25">
      <c r="C3334" s="26">
        <v>3332</v>
      </c>
    </row>
    <row r="3335" spans="3:3" x14ac:dyDescent="0.25">
      <c r="C3335" s="26">
        <v>3333</v>
      </c>
    </row>
    <row r="3336" spans="3:3" x14ac:dyDescent="0.25">
      <c r="C3336" s="26">
        <v>3334</v>
      </c>
    </row>
    <row r="3337" spans="3:3" x14ac:dyDescent="0.25">
      <c r="C3337" s="26">
        <v>3335</v>
      </c>
    </row>
    <row r="3338" spans="3:3" x14ac:dyDescent="0.25">
      <c r="C3338" s="26">
        <v>3336</v>
      </c>
    </row>
    <row r="3339" spans="3:3" x14ac:dyDescent="0.25">
      <c r="C3339" s="26">
        <v>3337</v>
      </c>
    </row>
    <row r="3340" spans="3:3" x14ac:dyDescent="0.25">
      <c r="C3340" s="26">
        <v>3338</v>
      </c>
    </row>
    <row r="3341" spans="3:3" x14ac:dyDescent="0.25">
      <c r="C3341" s="26">
        <v>3339</v>
      </c>
    </row>
    <row r="3342" spans="3:3" x14ac:dyDescent="0.25">
      <c r="C3342" s="26">
        <v>3340</v>
      </c>
    </row>
    <row r="3343" spans="3:3" x14ac:dyDescent="0.25">
      <c r="C3343" s="26">
        <v>3341</v>
      </c>
    </row>
    <row r="3344" spans="3:3" x14ac:dyDescent="0.25">
      <c r="C3344" s="26">
        <v>3342</v>
      </c>
    </row>
    <row r="3345" spans="3:3" x14ac:dyDescent="0.25">
      <c r="C3345" s="26">
        <v>3343</v>
      </c>
    </row>
    <row r="3346" spans="3:3" x14ac:dyDescent="0.25">
      <c r="C3346" s="26">
        <v>3344</v>
      </c>
    </row>
    <row r="3347" spans="3:3" x14ac:dyDescent="0.25">
      <c r="C3347" s="26">
        <v>3345</v>
      </c>
    </row>
    <row r="3348" spans="3:3" x14ac:dyDescent="0.25">
      <c r="C3348" s="26">
        <v>3346</v>
      </c>
    </row>
    <row r="3349" spans="3:3" x14ac:dyDescent="0.25">
      <c r="C3349" s="26">
        <v>3347</v>
      </c>
    </row>
    <row r="3350" spans="3:3" x14ac:dyDescent="0.25">
      <c r="C3350" s="26">
        <v>3348</v>
      </c>
    </row>
    <row r="3351" spans="3:3" x14ac:dyDescent="0.25">
      <c r="C3351" s="26">
        <v>3349</v>
      </c>
    </row>
    <row r="3352" spans="3:3" x14ac:dyDescent="0.25">
      <c r="C3352" s="26">
        <v>3350</v>
      </c>
    </row>
    <row r="3353" spans="3:3" x14ac:dyDescent="0.25">
      <c r="C3353" s="26">
        <v>3351</v>
      </c>
    </row>
    <row r="3354" spans="3:3" x14ac:dyDescent="0.25">
      <c r="C3354" s="26">
        <v>3352</v>
      </c>
    </row>
    <row r="3355" spans="3:3" x14ac:dyDescent="0.25">
      <c r="C3355" s="26">
        <v>3353</v>
      </c>
    </row>
    <row r="3356" spans="3:3" x14ac:dyDescent="0.25">
      <c r="C3356" s="26">
        <v>3354</v>
      </c>
    </row>
    <row r="3357" spans="3:3" x14ac:dyDescent="0.25">
      <c r="C3357" s="26">
        <v>3355</v>
      </c>
    </row>
    <row r="3358" spans="3:3" x14ac:dyDescent="0.25">
      <c r="C3358" s="26">
        <v>3356</v>
      </c>
    </row>
    <row r="3359" spans="3:3" x14ac:dyDescent="0.25">
      <c r="C3359" s="26">
        <v>3357</v>
      </c>
    </row>
    <row r="3360" spans="3:3" x14ac:dyDescent="0.25">
      <c r="C3360" s="26">
        <v>3358</v>
      </c>
    </row>
    <row r="3361" spans="3:3" x14ac:dyDescent="0.25">
      <c r="C3361" s="26">
        <v>3359</v>
      </c>
    </row>
    <row r="3362" spans="3:3" x14ac:dyDescent="0.25">
      <c r="C3362" s="26">
        <v>3360</v>
      </c>
    </row>
    <row r="3363" spans="3:3" x14ac:dyDescent="0.25">
      <c r="C3363" s="26">
        <v>3361</v>
      </c>
    </row>
    <row r="3364" spans="3:3" x14ac:dyDescent="0.25">
      <c r="C3364" s="26">
        <v>3362</v>
      </c>
    </row>
    <row r="3365" spans="3:3" x14ac:dyDescent="0.25">
      <c r="C3365" s="26">
        <v>3363</v>
      </c>
    </row>
    <row r="3366" spans="3:3" x14ac:dyDescent="0.25">
      <c r="C3366" s="26">
        <v>3364</v>
      </c>
    </row>
    <row r="3367" spans="3:3" x14ac:dyDescent="0.25">
      <c r="C3367" s="26">
        <v>3365</v>
      </c>
    </row>
    <row r="3368" spans="3:3" x14ac:dyDescent="0.25">
      <c r="C3368" s="26">
        <v>3366</v>
      </c>
    </row>
    <row r="3369" spans="3:3" x14ac:dyDescent="0.25">
      <c r="C3369" s="26">
        <v>3367</v>
      </c>
    </row>
    <row r="3370" spans="3:3" x14ac:dyDescent="0.25">
      <c r="C3370" s="26">
        <v>3368</v>
      </c>
    </row>
    <row r="3371" spans="3:3" x14ac:dyDescent="0.25">
      <c r="C3371" s="26">
        <v>3369</v>
      </c>
    </row>
    <row r="3372" spans="3:3" x14ac:dyDescent="0.25">
      <c r="C3372" s="26">
        <v>3370</v>
      </c>
    </row>
    <row r="3373" spans="3:3" x14ac:dyDescent="0.25">
      <c r="C3373" s="26">
        <v>3371</v>
      </c>
    </row>
    <row r="3374" spans="3:3" x14ac:dyDescent="0.25">
      <c r="C3374" s="26">
        <v>3372</v>
      </c>
    </row>
    <row r="3375" spans="3:3" x14ac:dyDescent="0.25">
      <c r="C3375" s="26">
        <v>3373</v>
      </c>
    </row>
    <row r="3376" spans="3:3" x14ac:dyDescent="0.25">
      <c r="C3376" s="26">
        <v>3374</v>
      </c>
    </row>
    <row r="3377" spans="3:3" x14ac:dyDescent="0.25">
      <c r="C3377" s="26">
        <v>3375</v>
      </c>
    </row>
    <row r="3378" spans="3:3" x14ac:dyDescent="0.25">
      <c r="C3378" s="26">
        <v>3376</v>
      </c>
    </row>
    <row r="3379" spans="3:3" x14ac:dyDescent="0.25">
      <c r="C3379" s="26">
        <v>3377</v>
      </c>
    </row>
    <row r="3380" spans="3:3" x14ac:dyDescent="0.25">
      <c r="C3380" s="26">
        <v>3378</v>
      </c>
    </row>
    <row r="3381" spans="3:3" x14ac:dyDescent="0.25">
      <c r="C3381" s="26">
        <v>3379</v>
      </c>
    </row>
    <row r="3382" spans="3:3" x14ac:dyDescent="0.25">
      <c r="C3382" s="26">
        <v>3380</v>
      </c>
    </row>
    <row r="3383" spans="3:3" x14ac:dyDescent="0.25">
      <c r="C3383" s="26">
        <v>3381</v>
      </c>
    </row>
    <row r="3384" spans="3:3" x14ac:dyDescent="0.25">
      <c r="C3384" s="26">
        <v>3382</v>
      </c>
    </row>
    <row r="3385" spans="3:3" x14ac:dyDescent="0.25">
      <c r="C3385" s="26">
        <v>3383</v>
      </c>
    </row>
    <row r="3386" spans="3:3" x14ac:dyDescent="0.25">
      <c r="C3386" s="26">
        <v>3384</v>
      </c>
    </row>
    <row r="3387" spans="3:3" x14ac:dyDescent="0.25">
      <c r="C3387" s="26">
        <v>3385</v>
      </c>
    </row>
    <row r="3388" spans="3:3" x14ac:dyDescent="0.25">
      <c r="C3388" s="26">
        <v>3386</v>
      </c>
    </row>
    <row r="3389" spans="3:3" x14ac:dyDescent="0.25">
      <c r="C3389" s="26">
        <v>3387</v>
      </c>
    </row>
    <row r="3390" spans="3:3" x14ac:dyDescent="0.25">
      <c r="C3390" s="26">
        <v>3388</v>
      </c>
    </row>
    <row r="3391" spans="3:3" x14ac:dyDescent="0.25">
      <c r="C3391" s="26">
        <v>3389</v>
      </c>
    </row>
    <row r="3392" spans="3:3" x14ac:dyDescent="0.25">
      <c r="C3392" s="26">
        <v>3390</v>
      </c>
    </row>
    <row r="3393" spans="3:3" x14ac:dyDescent="0.25">
      <c r="C3393" s="26">
        <v>3391</v>
      </c>
    </row>
    <row r="3394" spans="3:3" x14ac:dyDescent="0.25">
      <c r="C3394" s="26">
        <v>3392</v>
      </c>
    </row>
    <row r="3395" spans="3:3" x14ac:dyDescent="0.25">
      <c r="C3395" s="26">
        <v>3393</v>
      </c>
    </row>
    <row r="3396" spans="3:3" x14ac:dyDescent="0.25">
      <c r="C3396" s="26">
        <v>3394</v>
      </c>
    </row>
    <row r="3397" spans="3:3" x14ac:dyDescent="0.25">
      <c r="C3397" s="26">
        <v>3395</v>
      </c>
    </row>
    <row r="3398" spans="3:3" x14ac:dyDescent="0.25">
      <c r="C3398" s="26">
        <v>3396</v>
      </c>
    </row>
    <row r="3399" spans="3:3" x14ac:dyDescent="0.25">
      <c r="C3399" s="26">
        <v>3397</v>
      </c>
    </row>
    <row r="3400" spans="3:3" x14ac:dyDescent="0.25">
      <c r="C3400" s="26">
        <v>3398</v>
      </c>
    </row>
    <row r="3401" spans="3:3" x14ac:dyDescent="0.25">
      <c r="C3401" s="26">
        <v>3399</v>
      </c>
    </row>
    <row r="3402" spans="3:3" x14ac:dyDescent="0.25">
      <c r="C3402" s="26">
        <v>3400</v>
      </c>
    </row>
    <row r="3403" spans="3:3" x14ac:dyDescent="0.25">
      <c r="C3403" s="26">
        <v>3401</v>
      </c>
    </row>
    <row r="3404" spans="3:3" x14ac:dyDescent="0.25">
      <c r="C3404" s="26">
        <v>3402</v>
      </c>
    </row>
    <row r="3405" spans="3:3" x14ac:dyDescent="0.25">
      <c r="C3405" s="26">
        <v>3403</v>
      </c>
    </row>
    <row r="3406" spans="3:3" x14ac:dyDescent="0.25">
      <c r="C3406" s="26">
        <v>3404</v>
      </c>
    </row>
    <row r="3407" spans="3:3" x14ac:dyDescent="0.25">
      <c r="C3407" s="26">
        <v>3405</v>
      </c>
    </row>
    <row r="3408" spans="3:3" x14ac:dyDescent="0.25">
      <c r="C3408" s="26">
        <v>3406</v>
      </c>
    </row>
    <row r="3409" spans="3:3" x14ac:dyDescent="0.25">
      <c r="C3409" s="26">
        <v>3407</v>
      </c>
    </row>
    <row r="3410" spans="3:3" x14ac:dyDescent="0.25">
      <c r="C3410" s="26">
        <v>3408</v>
      </c>
    </row>
    <row r="3411" spans="3:3" x14ac:dyDescent="0.25">
      <c r="C3411" s="26">
        <v>3409</v>
      </c>
    </row>
    <row r="3412" spans="3:3" x14ac:dyDescent="0.25">
      <c r="C3412" s="26">
        <v>3410</v>
      </c>
    </row>
    <row r="3413" spans="3:3" x14ac:dyDescent="0.25">
      <c r="C3413" s="26">
        <v>3411</v>
      </c>
    </row>
    <row r="3414" spans="3:3" x14ac:dyDescent="0.25">
      <c r="C3414" s="26">
        <v>3412</v>
      </c>
    </row>
    <row r="3415" spans="3:3" x14ac:dyDescent="0.25">
      <c r="C3415" s="26">
        <v>3413</v>
      </c>
    </row>
    <row r="3416" spans="3:3" x14ac:dyDescent="0.25">
      <c r="C3416" s="26">
        <v>3414</v>
      </c>
    </row>
    <row r="3417" spans="3:3" x14ac:dyDescent="0.25">
      <c r="C3417" s="26">
        <v>3415</v>
      </c>
    </row>
    <row r="3418" spans="3:3" x14ac:dyDescent="0.25">
      <c r="C3418" s="26">
        <v>3416</v>
      </c>
    </row>
    <row r="3419" spans="3:3" x14ac:dyDescent="0.25">
      <c r="C3419" s="26">
        <v>3417</v>
      </c>
    </row>
    <row r="3420" spans="3:3" x14ac:dyDescent="0.25">
      <c r="C3420" s="26">
        <v>3418</v>
      </c>
    </row>
    <row r="3421" spans="3:3" x14ac:dyDescent="0.25">
      <c r="C3421" s="26">
        <v>3419</v>
      </c>
    </row>
    <row r="3422" spans="3:3" x14ac:dyDescent="0.25">
      <c r="C3422" s="26">
        <v>3420</v>
      </c>
    </row>
    <row r="3423" spans="3:3" x14ac:dyDescent="0.25">
      <c r="C3423" s="26">
        <v>3421</v>
      </c>
    </row>
    <row r="3424" spans="3:3" x14ac:dyDescent="0.25">
      <c r="C3424" s="26">
        <v>3422</v>
      </c>
    </row>
    <row r="3425" spans="3:3" x14ac:dyDescent="0.25">
      <c r="C3425" s="26">
        <v>3423</v>
      </c>
    </row>
    <row r="3426" spans="3:3" x14ac:dyDescent="0.25">
      <c r="C3426" s="26">
        <v>3424</v>
      </c>
    </row>
    <row r="3427" spans="3:3" x14ac:dyDescent="0.25">
      <c r="C3427" s="26">
        <v>3425</v>
      </c>
    </row>
    <row r="3428" spans="3:3" x14ac:dyDescent="0.25">
      <c r="C3428" s="26">
        <v>3426</v>
      </c>
    </row>
    <row r="3429" spans="3:3" x14ac:dyDescent="0.25">
      <c r="C3429" s="26">
        <v>3427</v>
      </c>
    </row>
    <row r="3430" spans="3:3" x14ac:dyDescent="0.25">
      <c r="C3430" s="26">
        <v>3428</v>
      </c>
    </row>
    <row r="3431" spans="3:3" x14ac:dyDescent="0.25">
      <c r="C3431" s="26">
        <v>3429</v>
      </c>
    </row>
    <row r="3432" spans="3:3" x14ac:dyDescent="0.25">
      <c r="C3432" s="26">
        <v>3430</v>
      </c>
    </row>
    <row r="3433" spans="3:3" x14ac:dyDescent="0.25">
      <c r="C3433" s="26">
        <v>3431</v>
      </c>
    </row>
    <row r="3434" spans="3:3" x14ac:dyDescent="0.25">
      <c r="C3434" s="26">
        <v>3432</v>
      </c>
    </row>
    <row r="3435" spans="3:3" x14ac:dyDescent="0.25">
      <c r="C3435" s="26">
        <v>3433</v>
      </c>
    </row>
    <row r="3436" spans="3:3" x14ac:dyDescent="0.25">
      <c r="C3436" s="26">
        <v>3434</v>
      </c>
    </row>
    <row r="3437" spans="3:3" x14ac:dyDescent="0.25">
      <c r="C3437" s="26">
        <v>3435</v>
      </c>
    </row>
    <row r="3438" spans="3:3" x14ac:dyDescent="0.25">
      <c r="C3438" s="26">
        <v>3436</v>
      </c>
    </row>
    <row r="3439" spans="3:3" x14ac:dyDescent="0.25">
      <c r="C3439" s="26">
        <v>3437</v>
      </c>
    </row>
    <row r="3440" spans="3:3" x14ac:dyDescent="0.25">
      <c r="C3440" s="26">
        <v>3438</v>
      </c>
    </row>
    <row r="3441" spans="3:3" x14ac:dyDescent="0.25">
      <c r="C3441" s="26">
        <v>3439</v>
      </c>
    </row>
    <row r="3442" spans="3:3" x14ac:dyDescent="0.25">
      <c r="C3442" s="26">
        <v>3440</v>
      </c>
    </row>
    <row r="3443" spans="3:3" x14ac:dyDescent="0.25">
      <c r="C3443" s="26">
        <v>3441</v>
      </c>
    </row>
    <row r="3444" spans="3:3" x14ac:dyDescent="0.25">
      <c r="C3444" s="26">
        <v>3442</v>
      </c>
    </row>
    <row r="3445" spans="3:3" x14ac:dyDescent="0.25">
      <c r="C3445" s="26">
        <v>3443</v>
      </c>
    </row>
    <row r="3446" spans="3:3" x14ac:dyDescent="0.25">
      <c r="C3446" s="26">
        <v>3444</v>
      </c>
    </row>
    <row r="3447" spans="3:3" x14ac:dyDescent="0.25">
      <c r="C3447" s="26">
        <v>3445</v>
      </c>
    </row>
    <row r="3448" spans="3:3" x14ac:dyDescent="0.25">
      <c r="C3448" s="26">
        <v>3446</v>
      </c>
    </row>
    <row r="3449" spans="3:3" x14ac:dyDescent="0.25">
      <c r="C3449" s="26">
        <v>3447</v>
      </c>
    </row>
    <row r="3450" spans="3:3" x14ac:dyDescent="0.25">
      <c r="C3450" s="26">
        <v>3448</v>
      </c>
    </row>
    <row r="3451" spans="3:3" x14ac:dyDescent="0.25">
      <c r="C3451" s="26">
        <v>3449</v>
      </c>
    </row>
    <row r="3452" spans="3:3" x14ac:dyDescent="0.25">
      <c r="C3452" s="26">
        <v>3450</v>
      </c>
    </row>
    <row r="3453" spans="3:3" x14ac:dyDescent="0.25">
      <c r="C3453" s="26">
        <v>3451</v>
      </c>
    </row>
    <row r="3454" spans="3:3" x14ac:dyDescent="0.25">
      <c r="C3454" s="26">
        <v>3452</v>
      </c>
    </row>
    <row r="3455" spans="3:3" x14ac:dyDescent="0.25">
      <c r="C3455" s="26">
        <v>3453</v>
      </c>
    </row>
    <row r="3456" spans="3:3" x14ac:dyDescent="0.25">
      <c r="C3456" s="26">
        <v>3454</v>
      </c>
    </row>
    <row r="3457" spans="3:3" x14ac:dyDescent="0.25">
      <c r="C3457" s="26">
        <v>3455</v>
      </c>
    </row>
    <row r="3458" spans="3:3" x14ac:dyDescent="0.25">
      <c r="C3458" s="26">
        <v>3456</v>
      </c>
    </row>
    <row r="3459" spans="3:3" x14ac:dyDescent="0.25">
      <c r="C3459" s="26">
        <v>3457</v>
      </c>
    </row>
    <row r="3460" spans="3:3" x14ac:dyDescent="0.25">
      <c r="C3460" s="26">
        <v>3458</v>
      </c>
    </row>
    <row r="3461" spans="3:3" x14ac:dyDescent="0.25">
      <c r="C3461" s="26">
        <v>3459</v>
      </c>
    </row>
    <row r="3462" spans="3:3" x14ac:dyDescent="0.25">
      <c r="C3462" s="26">
        <v>3460</v>
      </c>
    </row>
    <row r="3463" spans="3:3" x14ac:dyDescent="0.25">
      <c r="C3463" s="26">
        <v>3461</v>
      </c>
    </row>
    <row r="3464" spans="3:3" x14ac:dyDescent="0.25">
      <c r="C3464" s="26">
        <v>3462</v>
      </c>
    </row>
    <row r="3465" spans="3:3" x14ac:dyDescent="0.25">
      <c r="C3465" s="26">
        <v>3463</v>
      </c>
    </row>
    <row r="3466" spans="3:3" x14ac:dyDescent="0.25">
      <c r="C3466" s="26">
        <v>3464</v>
      </c>
    </row>
    <row r="3467" spans="3:3" x14ac:dyDescent="0.25">
      <c r="C3467" s="26">
        <v>3465</v>
      </c>
    </row>
    <row r="3468" spans="3:3" x14ac:dyDescent="0.25">
      <c r="C3468" s="26">
        <v>3466</v>
      </c>
    </row>
    <row r="3469" spans="3:3" x14ac:dyDescent="0.25">
      <c r="C3469" s="26">
        <v>3467</v>
      </c>
    </row>
    <row r="3470" spans="3:3" x14ac:dyDescent="0.25">
      <c r="C3470" s="26">
        <v>3468</v>
      </c>
    </row>
    <row r="3471" spans="3:3" x14ac:dyDescent="0.25">
      <c r="C3471" s="26">
        <v>3469</v>
      </c>
    </row>
    <row r="3472" spans="3:3" x14ac:dyDescent="0.25">
      <c r="C3472" s="26">
        <v>3470</v>
      </c>
    </row>
    <row r="3473" spans="3:3" x14ac:dyDescent="0.25">
      <c r="C3473" s="26">
        <v>3471</v>
      </c>
    </row>
    <row r="3474" spans="3:3" x14ac:dyDescent="0.25">
      <c r="C3474" s="26">
        <v>3472</v>
      </c>
    </row>
    <row r="3475" spans="3:3" x14ac:dyDescent="0.25">
      <c r="C3475" s="26">
        <v>3473</v>
      </c>
    </row>
    <row r="3476" spans="3:3" x14ac:dyDescent="0.25">
      <c r="C3476" s="26">
        <v>3474</v>
      </c>
    </row>
    <row r="3477" spans="3:3" x14ac:dyDescent="0.25">
      <c r="C3477" s="26">
        <v>3475</v>
      </c>
    </row>
    <row r="3478" spans="3:3" x14ac:dyDescent="0.25">
      <c r="C3478" s="26">
        <v>3476</v>
      </c>
    </row>
    <row r="3479" spans="3:3" x14ac:dyDescent="0.25">
      <c r="C3479" s="26">
        <v>3477</v>
      </c>
    </row>
    <row r="3480" spans="3:3" x14ac:dyDescent="0.25">
      <c r="C3480" s="26">
        <v>3478</v>
      </c>
    </row>
    <row r="3481" spans="3:3" x14ac:dyDescent="0.25">
      <c r="C3481" s="26">
        <v>3479</v>
      </c>
    </row>
    <row r="3482" spans="3:3" x14ac:dyDescent="0.25">
      <c r="C3482" s="26">
        <v>3480</v>
      </c>
    </row>
    <row r="3483" spans="3:3" x14ac:dyDescent="0.25">
      <c r="C3483" s="26">
        <v>3481</v>
      </c>
    </row>
    <row r="3484" spans="3:3" x14ac:dyDescent="0.25">
      <c r="C3484" s="26">
        <v>3482</v>
      </c>
    </row>
    <row r="3485" spans="3:3" x14ac:dyDescent="0.25">
      <c r="C3485" s="26">
        <v>3483</v>
      </c>
    </row>
    <row r="3486" spans="3:3" x14ac:dyDescent="0.25">
      <c r="C3486" s="26">
        <v>3484</v>
      </c>
    </row>
    <row r="3487" spans="3:3" x14ac:dyDescent="0.25">
      <c r="C3487" s="26">
        <v>3485</v>
      </c>
    </row>
    <row r="3488" spans="3:3" x14ac:dyDescent="0.25">
      <c r="C3488" s="26">
        <v>3486</v>
      </c>
    </row>
    <row r="3489" spans="3:3" x14ac:dyDescent="0.25">
      <c r="C3489" s="26">
        <v>3487</v>
      </c>
    </row>
    <row r="3490" spans="3:3" x14ac:dyDescent="0.25">
      <c r="C3490" s="26">
        <v>3488</v>
      </c>
    </row>
    <row r="3491" spans="3:3" x14ac:dyDescent="0.25">
      <c r="C3491" s="26">
        <v>3489</v>
      </c>
    </row>
    <row r="3492" spans="3:3" x14ac:dyDescent="0.25">
      <c r="C3492" s="26">
        <v>3490</v>
      </c>
    </row>
    <row r="3493" spans="3:3" x14ac:dyDescent="0.25">
      <c r="C3493" s="26">
        <v>3491</v>
      </c>
    </row>
    <row r="3494" spans="3:3" x14ac:dyDescent="0.25">
      <c r="C3494" s="26">
        <v>3492</v>
      </c>
    </row>
    <row r="3495" spans="3:3" x14ac:dyDescent="0.25">
      <c r="C3495" s="26">
        <v>3493</v>
      </c>
    </row>
    <row r="3496" spans="3:3" x14ac:dyDescent="0.25">
      <c r="C3496" s="26">
        <v>3494</v>
      </c>
    </row>
    <row r="3497" spans="3:3" x14ac:dyDescent="0.25">
      <c r="C3497" s="26">
        <v>3495</v>
      </c>
    </row>
    <row r="3498" spans="3:3" x14ac:dyDescent="0.25">
      <c r="C3498" s="26">
        <v>3496</v>
      </c>
    </row>
    <row r="3499" spans="3:3" x14ac:dyDescent="0.25">
      <c r="C3499" s="26">
        <v>3497</v>
      </c>
    </row>
    <row r="3500" spans="3:3" x14ac:dyDescent="0.25">
      <c r="C3500" s="26">
        <v>3498</v>
      </c>
    </row>
    <row r="3501" spans="3:3" x14ac:dyDescent="0.25">
      <c r="C3501" s="26">
        <v>3499</v>
      </c>
    </row>
    <row r="3502" spans="3:3" x14ac:dyDescent="0.25">
      <c r="C3502" s="26">
        <v>3500</v>
      </c>
    </row>
    <row r="3503" spans="3:3" x14ac:dyDescent="0.25">
      <c r="C3503" s="26">
        <v>3501</v>
      </c>
    </row>
    <row r="3504" spans="3:3" x14ac:dyDescent="0.25">
      <c r="C3504" s="26">
        <v>3502</v>
      </c>
    </row>
    <row r="3505" spans="3:3" x14ac:dyDescent="0.25">
      <c r="C3505" s="26">
        <v>3503</v>
      </c>
    </row>
    <row r="3506" spans="3:3" x14ac:dyDescent="0.25">
      <c r="C3506" s="26">
        <v>3504</v>
      </c>
    </row>
    <row r="3507" spans="3:3" x14ac:dyDescent="0.25">
      <c r="C3507" s="26">
        <v>3505</v>
      </c>
    </row>
    <row r="3508" spans="3:3" x14ac:dyDescent="0.25">
      <c r="C3508" s="26">
        <v>3506</v>
      </c>
    </row>
    <row r="3509" spans="3:3" x14ac:dyDescent="0.25">
      <c r="C3509" s="26">
        <v>3507</v>
      </c>
    </row>
    <row r="3510" spans="3:3" x14ac:dyDescent="0.25">
      <c r="C3510" s="26">
        <v>3508</v>
      </c>
    </row>
    <row r="3511" spans="3:3" x14ac:dyDescent="0.25">
      <c r="C3511" s="26">
        <v>3509</v>
      </c>
    </row>
    <row r="3512" spans="3:3" x14ac:dyDescent="0.25">
      <c r="C3512" s="26">
        <v>3510</v>
      </c>
    </row>
    <row r="3513" spans="3:3" x14ac:dyDescent="0.25">
      <c r="C3513" s="26">
        <v>3511</v>
      </c>
    </row>
    <row r="3514" spans="3:3" x14ac:dyDescent="0.25">
      <c r="C3514" s="26">
        <v>3512</v>
      </c>
    </row>
    <row r="3515" spans="3:3" x14ac:dyDescent="0.25">
      <c r="C3515" s="26">
        <v>3513</v>
      </c>
    </row>
    <row r="3516" spans="3:3" x14ac:dyDescent="0.25">
      <c r="C3516" s="26">
        <v>3514</v>
      </c>
    </row>
    <row r="3517" spans="3:3" x14ac:dyDescent="0.25">
      <c r="C3517" s="26">
        <v>3515</v>
      </c>
    </row>
    <row r="3518" spans="3:3" x14ac:dyDescent="0.25">
      <c r="C3518" s="26">
        <v>3516</v>
      </c>
    </row>
    <row r="3519" spans="3:3" x14ac:dyDescent="0.25">
      <c r="C3519" s="26">
        <v>3517</v>
      </c>
    </row>
    <row r="3520" spans="3:3" x14ac:dyDescent="0.25">
      <c r="C3520" s="26">
        <v>3518</v>
      </c>
    </row>
    <row r="3521" spans="3:3" x14ac:dyDescent="0.25">
      <c r="C3521" s="26">
        <v>3519</v>
      </c>
    </row>
    <row r="3522" spans="3:3" x14ac:dyDescent="0.25">
      <c r="C3522" s="26">
        <v>3520</v>
      </c>
    </row>
    <row r="3523" spans="3:3" x14ac:dyDescent="0.25">
      <c r="C3523" s="26">
        <v>3521</v>
      </c>
    </row>
    <row r="3524" spans="3:3" x14ac:dyDescent="0.25">
      <c r="C3524" s="26">
        <v>3522</v>
      </c>
    </row>
    <row r="3525" spans="3:3" x14ac:dyDescent="0.25">
      <c r="C3525" s="26">
        <v>3523</v>
      </c>
    </row>
    <row r="3526" spans="3:3" x14ac:dyDescent="0.25">
      <c r="C3526" s="26">
        <v>3524</v>
      </c>
    </row>
    <row r="3527" spans="3:3" x14ac:dyDescent="0.25">
      <c r="C3527" s="26">
        <v>3525</v>
      </c>
    </row>
    <row r="3528" spans="3:3" x14ac:dyDescent="0.25">
      <c r="C3528" s="26">
        <v>3526</v>
      </c>
    </row>
    <row r="3529" spans="3:3" x14ac:dyDescent="0.25">
      <c r="C3529" s="26">
        <v>3527</v>
      </c>
    </row>
    <row r="3530" spans="3:3" x14ac:dyDescent="0.25">
      <c r="C3530" s="26">
        <v>3528</v>
      </c>
    </row>
    <row r="3531" spans="3:3" x14ac:dyDescent="0.25">
      <c r="C3531" s="26">
        <v>3529</v>
      </c>
    </row>
    <row r="3532" spans="3:3" x14ac:dyDescent="0.25">
      <c r="C3532" s="26">
        <v>3530</v>
      </c>
    </row>
    <row r="3533" spans="3:3" x14ac:dyDescent="0.25">
      <c r="C3533" s="26">
        <v>3531</v>
      </c>
    </row>
    <row r="3534" spans="3:3" x14ac:dyDescent="0.25">
      <c r="C3534" s="26">
        <v>3532</v>
      </c>
    </row>
    <row r="3535" spans="3:3" x14ac:dyDescent="0.25">
      <c r="C3535" s="26">
        <v>3533</v>
      </c>
    </row>
    <row r="3536" spans="3:3" x14ac:dyDescent="0.25">
      <c r="C3536" s="26">
        <v>3534</v>
      </c>
    </row>
    <row r="3537" spans="3:3" x14ac:dyDescent="0.25">
      <c r="C3537" s="26">
        <v>3535</v>
      </c>
    </row>
    <row r="3538" spans="3:3" x14ac:dyDescent="0.25">
      <c r="C3538" s="26">
        <v>3536</v>
      </c>
    </row>
    <row r="3539" spans="3:3" x14ac:dyDescent="0.25">
      <c r="C3539" s="26">
        <v>3537</v>
      </c>
    </row>
    <row r="3540" spans="3:3" x14ac:dyDescent="0.25">
      <c r="C3540" s="26">
        <v>3538</v>
      </c>
    </row>
    <row r="3541" spans="3:3" x14ac:dyDescent="0.25">
      <c r="C3541" s="26">
        <v>3539</v>
      </c>
    </row>
    <row r="3542" spans="3:3" x14ac:dyDescent="0.25">
      <c r="C3542" s="26">
        <v>3540</v>
      </c>
    </row>
    <row r="3543" spans="3:3" x14ac:dyDescent="0.25">
      <c r="C3543" s="26">
        <v>3541</v>
      </c>
    </row>
    <row r="3544" spans="3:3" x14ac:dyDescent="0.25">
      <c r="C3544" s="26">
        <v>3542</v>
      </c>
    </row>
    <row r="3545" spans="3:3" x14ac:dyDescent="0.25">
      <c r="C3545" s="26">
        <v>3543</v>
      </c>
    </row>
    <row r="3546" spans="3:3" x14ac:dyDescent="0.25">
      <c r="C3546" s="26">
        <v>3544</v>
      </c>
    </row>
    <row r="3547" spans="3:3" x14ac:dyDescent="0.25">
      <c r="C3547" s="26">
        <v>3545</v>
      </c>
    </row>
    <row r="3548" spans="3:3" x14ac:dyDescent="0.25">
      <c r="C3548" s="26">
        <v>3546</v>
      </c>
    </row>
    <row r="3549" spans="3:3" x14ac:dyDescent="0.25">
      <c r="C3549" s="26">
        <v>3547</v>
      </c>
    </row>
    <row r="3550" spans="3:3" x14ac:dyDescent="0.25">
      <c r="C3550" s="26">
        <v>3548</v>
      </c>
    </row>
    <row r="3551" spans="3:3" x14ac:dyDescent="0.25">
      <c r="C3551" s="26">
        <v>3549</v>
      </c>
    </row>
    <row r="3552" spans="3:3" x14ac:dyDescent="0.25">
      <c r="C3552" s="26">
        <v>3550</v>
      </c>
    </row>
    <row r="3553" spans="3:3" x14ac:dyDescent="0.25">
      <c r="C3553" s="26">
        <v>3551</v>
      </c>
    </row>
    <row r="3554" spans="3:3" x14ac:dyDescent="0.25">
      <c r="C3554" s="26">
        <v>3552</v>
      </c>
    </row>
    <row r="3555" spans="3:3" x14ac:dyDescent="0.25">
      <c r="C3555" s="26">
        <v>3553</v>
      </c>
    </row>
    <row r="3556" spans="3:3" x14ac:dyDescent="0.25">
      <c r="C3556" s="26">
        <v>3554</v>
      </c>
    </row>
    <row r="3557" spans="3:3" x14ac:dyDescent="0.25">
      <c r="C3557" s="26">
        <v>3555</v>
      </c>
    </row>
    <row r="3558" spans="3:3" x14ac:dyDescent="0.25">
      <c r="C3558" s="26">
        <v>3556</v>
      </c>
    </row>
    <row r="3559" spans="3:3" x14ac:dyDescent="0.25">
      <c r="C3559" s="26">
        <v>3557</v>
      </c>
    </row>
    <row r="3560" spans="3:3" x14ac:dyDescent="0.25">
      <c r="C3560" s="26">
        <v>3558</v>
      </c>
    </row>
    <row r="3561" spans="3:3" x14ac:dyDescent="0.25">
      <c r="C3561" s="26">
        <v>3559</v>
      </c>
    </row>
    <row r="3562" spans="3:3" x14ac:dyDescent="0.25">
      <c r="C3562" s="26">
        <v>3560</v>
      </c>
    </row>
    <row r="3563" spans="3:3" x14ac:dyDescent="0.25">
      <c r="C3563" s="26">
        <v>3561</v>
      </c>
    </row>
    <row r="3564" spans="3:3" x14ac:dyDescent="0.25">
      <c r="C3564" s="26">
        <v>3562</v>
      </c>
    </row>
    <row r="3565" spans="3:3" x14ac:dyDescent="0.25">
      <c r="C3565" s="26">
        <v>3563</v>
      </c>
    </row>
    <row r="3566" spans="3:3" x14ac:dyDescent="0.25">
      <c r="C3566" s="26">
        <v>3564</v>
      </c>
    </row>
    <row r="3567" spans="3:3" x14ac:dyDescent="0.25">
      <c r="C3567" s="26">
        <v>3565</v>
      </c>
    </row>
    <row r="3568" spans="3:3" x14ac:dyDescent="0.25">
      <c r="C3568" s="26">
        <v>3566</v>
      </c>
    </row>
    <row r="3569" spans="3:3" x14ac:dyDescent="0.25">
      <c r="C3569" s="26">
        <v>3567</v>
      </c>
    </row>
    <row r="3570" spans="3:3" x14ac:dyDescent="0.25">
      <c r="C3570" s="26">
        <v>3568</v>
      </c>
    </row>
    <row r="3571" spans="3:3" x14ac:dyDescent="0.25">
      <c r="C3571" s="26">
        <v>3569</v>
      </c>
    </row>
    <row r="3572" spans="3:3" x14ac:dyDescent="0.25">
      <c r="C3572" s="26">
        <v>3570</v>
      </c>
    </row>
    <row r="3573" spans="3:3" x14ac:dyDescent="0.25">
      <c r="C3573" s="26">
        <v>3571</v>
      </c>
    </row>
    <row r="3574" spans="3:3" x14ac:dyDescent="0.25">
      <c r="C3574" s="26">
        <v>3572</v>
      </c>
    </row>
    <row r="3575" spans="3:3" x14ac:dyDescent="0.25">
      <c r="C3575" s="26">
        <v>3573</v>
      </c>
    </row>
    <row r="3576" spans="3:3" x14ac:dyDescent="0.25">
      <c r="C3576" s="26">
        <v>3574</v>
      </c>
    </row>
    <row r="3577" spans="3:3" x14ac:dyDescent="0.25">
      <c r="C3577" s="26">
        <v>3575</v>
      </c>
    </row>
    <row r="3578" spans="3:3" x14ac:dyDescent="0.25">
      <c r="C3578" s="26">
        <v>3576</v>
      </c>
    </row>
    <row r="3579" spans="3:3" x14ac:dyDescent="0.25">
      <c r="C3579" s="26">
        <v>3577</v>
      </c>
    </row>
    <row r="3580" spans="3:3" x14ac:dyDescent="0.25">
      <c r="C3580" s="26">
        <v>3578</v>
      </c>
    </row>
    <row r="3581" spans="3:3" x14ac:dyDescent="0.25">
      <c r="C3581" s="26">
        <v>3579</v>
      </c>
    </row>
    <row r="3582" spans="3:3" x14ac:dyDescent="0.25">
      <c r="C3582" s="26">
        <v>3580</v>
      </c>
    </row>
    <row r="3583" spans="3:3" x14ac:dyDescent="0.25">
      <c r="C3583" s="26">
        <v>3581</v>
      </c>
    </row>
    <row r="3584" spans="3:3" x14ac:dyDescent="0.25">
      <c r="C3584" s="26">
        <v>3582</v>
      </c>
    </row>
    <row r="3585" spans="3:3" x14ac:dyDescent="0.25">
      <c r="C3585" s="26">
        <v>3583</v>
      </c>
    </row>
    <row r="3586" spans="3:3" x14ac:dyDescent="0.25">
      <c r="C3586" s="26">
        <v>3584</v>
      </c>
    </row>
    <row r="3587" spans="3:3" x14ac:dyDescent="0.25">
      <c r="C3587" s="26">
        <v>3585</v>
      </c>
    </row>
    <row r="3588" spans="3:3" x14ac:dyDescent="0.25">
      <c r="C3588" s="26">
        <v>3586</v>
      </c>
    </row>
    <row r="3589" spans="3:3" x14ac:dyDescent="0.25">
      <c r="C3589" s="26">
        <v>3587</v>
      </c>
    </row>
    <row r="3590" spans="3:3" x14ac:dyDescent="0.25">
      <c r="C3590" s="26">
        <v>3588</v>
      </c>
    </row>
    <row r="3591" spans="3:3" x14ac:dyDescent="0.25">
      <c r="C3591" s="26">
        <v>3589</v>
      </c>
    </row>
    <row r="3592" spans="3:3" x14ac:dyDescent="0.25">
      <c r="C3592" s="26">
        <v>3590</v>
      </c>
    </row>
    <row r="3593" spans="3:3" x14ac:dyDescent="0.25">
      <c r="C3593" s="26">
        <v>3591</v>
      </c>
    </row>
    <row r="3594" spans="3:3" x14ac:dyDescent="0.25">
      <c r="C3594" s="26">
        <v>3592</v>
      </c>
    </row>
    <row r="3595" spans="3:3" x14ac:dyDescent="0.25">
      <c r="C3595" s="26">
        <v>3593</v>
      </c>
    </row>
    <row r="3596" spans="3:3" x14ac:dyDescent="0.25">
      <c r="C3596" s="26">
        <v>3594</v>
      </c>
    </row>
    <row r="3597" spans="3:3" x14ac:dyDescent="0.25">
      <c r="C3597" s="26">
        <v>3595</v>
      </c>
    </row>
    <row r="3598" spans="3:3" x14ac:dyDescent="0.25">
      <c r="C3598" s="26">
        <v>3596</v>
      </c>
    </row>
    <row r="3599" spans="3:3" x14ac:dyDescent="0.25">
      <c r="C3599" s="26">
        <v>3597</v>
      </c>
    </row>
    <row r="3600" spans="3:3" x14ac:dyDescent="0.25">
      <c r="C3600" s="26">
        <v>3598</v>
      </c>
    </row>
    <row r="3601" spans="3:3" x14ac:dyDescent="0.25">
      <c r="C3601" s="26">
        <v>3599</v>
      </c>
    </row>
    <row r="3602" spans="3:3" x14ac:dyDescent="0.25">
      <c r="C3602" s="26">
        <v>3600</v>
      </c>
    </row>
    <row r="3603" spans="3:3" x14ac:dyDescent="0.25">
      <c r="C3603" s="26">
        <v>3601</v>
      </c>
    </row>
    <row r="3604" spans="3:3" x14ac:dyDescent="0.25">
      <c r="C3604" s="26">
        <v>3602</v>
      </c>
    </row>
    <row r="3605" spans="3:3" x14ac:dyDescent="0.25">
      <c r="C3605" s="26">
        <v>3603</v>
      </c>
    </row>
    <row r="3606" spans="3:3" x14ac:dyDescent="0.25">
      <c r="C3606" s="26">
        <v>3604</v>
      </c>
    </row>
    <row r="3607" spans="3:3" x14ac:dyDescent="0.25">
      <c r="C3607" s="26">
        <v>3605</v>
      </c>
    </row>
    <row r="3608" spans="3:3" x14ac:dyDescent="0.25">
      <c r="C3608" s="26">
        <v>3606</v>
      </c>
    </row>
    <row r="3609" spans="3:3" x14ac:dyDescent="0.25">
      <c r="C3609" s="26">
        <v>3607</v>
      </c>
    </row>
    <row r="3610" spans="3:3" x14ac:dyDescent="0.25">
      <c r="C3610" s="26">
        <v>3608</v>
      </c>
    </row>
    <row r="3611" spans="3:3" x14ac:dyDescent="0.25">
      <c r="C3611" s="26">
        <v>3609</v>
      </c>
    </row>
    <row r="3612" spans="3:3" x14ac:dyDescent="0.25">
      <c r="C3612" s="26">
        <v>3610</v>
      </c>
    </row>
    <row r="3613" spans="3:3" x14ac:dyDescent="0.25">
      <c r="C3613" s="26">
        <v>3611</v>
      </c>
    </row>
    <row r="3614" spans="3:3" x14ac:dyDescent="0.25">
      <c r="C3614" s="26">
        <v>3612</v>
      </c>
    </row>
    <row r="3615" spans="3:3" x14ac:dyDescent="0.25">
      <c r="C3615" s="26">
        <v>3613</v>
      </c>
    </row>
    <row r="3616" spans="3:3" x14ac:dyDescent="0.25">
      <c r="C3616" s="26">
        <v>3614</v>
      </c>
    </row>
    <row r="3617" spans="3:3" x14ac:dyDescent="0.25">
      <c r="C3617" s="26">
        <v>3615</v>
      </c>
    </row>
    <row r="3618" spans="3:3" x14ac:dyDescent="0.25">
      <c r="C3618" s="26">
        <v>3616</v>
      </c>
    </row>
    <row r="3619" spans="3:3" x14ac:dyDescent="0.25">
      <c r="C3619" s="26">
        <v>3617</v>
      </c>
    </row>
    <row r="3620" spans="3:3" x14ac:dyDescent="0.25">
      <c r="C3620" s="26">
        <v>3618</v>
      </c>
    </row>
    <row r="3621" spans="3:3" x14ac:dyDescent="0.25">
      <c r="C3621" s="26">
        <v>3619</v>
      </c>
    </row>
    <row r="3622" spans="3:3" x14ac:dyDescent="0.25">
      <c r="C3622" s="26">
        <v>3620</v>
      </c>
    </row>
    <row r="3623" spans="3:3" x14ac:dyDescent="0.25">
      <c r="C3623" s="26">
        <v>3621</v>
      </c>
    </row>
    <row r="3624" spans="3:3" x14ac:dyDescent="0.25">
      <c r="C3624" s="26">
        <v>3622</v>
      </c>
    </row>
    <row r="3625" spans="3:3" x14ac:dyDescent="0.25">
      <c r="C3625" s="26">
        <v>3623</v>
      </c>
    </row>
    <row r="3626" spans="3:3" x14ac:dyDescent="0.25">
      <c r="C3626" s="26">
        <v>3624</v>
      </c>
    </row>
    <row r="3627" spans="3:3" x14ac:dyDescent="0.25">
      <c r="C3627" s="26">
        <v>3625</v>
      </c>
    </row>
    <row r="3628" spans="3:3" x14ac:dyDescent="0.25">
      <c r="C3628" s="26">
        <v>3626</v>
      </c>
    </row>
    <row r="3629" spans="3:3" x14ac:dyDescent="0.25">
      <c r="C3629" s="26">
        <v>3627</v>
      </c>
    </row>
    <row r="3630" spans="3:3" x14ac:dyDescent="0.25">
      <c r="C3630" s="26">
        <v>3628</v>
      </c>
    </row>
    <row r="3631" spans="3:3" x14ac:dyDescent="0.25">
      <c r="C3631" s="26">
        <v>3629</v>
      </c>
    </row>
    <row r="3632" spans="3:3" x14ac:dyDescent="0.25">
      <c r="C3632" s="26">
        <v>3630</v>
      </c>
    </row>
    <row r="3633" spans="3:3" x14ac:dyDescent="0.25">
      <c r="C3633" s="26">
        <v>3631</v>
      </c>
    </row>
    <row r="3634" spans="3:3" x14ac:dyDescent="0.25">
      <c r="C3634" s="26">
        <v>3632</v>
      </c>
    </row>
    <row r="3635" spans="3:3" x14ac:dyDescent="0.25">
      <c r="C3635" s="26">
        <v>3633</v>
      </c>
    </row>
    <row r="3636" spans="3:3" x14ac:dyDescent="0.25">
      <c r="C3636" s="26">
        <v>3634</v>
      </c>
    </row>
    <row r="3637" spans="3:3" x14ac:dyDescent="0.25">
      <c r="C3637" s="26">
        <v>3635</v>
      </c>
    </row>
    <row r="3638" spans="3:3" x14ac:dyDescent="0.25">
      <c r="C3638" s="26">
        <v>3636</v>
      </c>
    </row>
    <row r="3639" spans="3:3" x14ac:dyDescent="0.25">
      <c r="C3639" s="26">
        <v>3637</v>
      </c>
    </row>
    <row r="3640" spans="3:3" x14ac:dyDescent="0.25">
      <c r="C3640" s="26">
        <v>3638</v>
      </c>
    </row>
    <row r="3641" spans="3:3" x14ac:dyDescent="0.25">
      <c r="C3641" s="26">
        <v>3639</v>
      </c>
    </row>
    <row r="3642" spans="3:3" x14ac:dyDescent="0.25">
      <c r="C3642" s="26">
        <v>3640</v>
      </c>
    </row>
    <row r="3643" spans="3:3" x14ac:dyDescent="0.25">
      <c r="C3643" s="26">
        <v>3641</v>
      </c>
    </row>
    <row r="3644" spans="3:3" x14ac:dyDescent="0.25">
      <c r="C3644" s="26">
        <v>3642</v>
      </c>
    </row>
    <row r="3645" spans="3:3" x14ac:dyDescent="0.25">
      <c r="C3645" s="26">
        <v>3643</v>
      </c>
    </row>
    <row r="3646" spans="3:3" x14ac:dyDescent="0.25">
      <c r="C3646" s="26">
        <v>3644</v>
      </c>
    </row>
    <row r="3647" spans="3:3" x14ac:dyDescent="0.25">
      <c r="C3647" s="26">
        <v>3645</v>
      </c>
    </row>
    <row r="3648" spans="3:3" x14ac:dyDescent="0.25">
      <c r="C3648" s="26">
        <v>3646</v>
      </c>
    </row>
    <row r="3649" spans="3:3" x14ac:dyDescent="0.25">
      <c r="C3649" s="26">
        <v>3647</v>
      </c>
    </row>
    <row r="3650" spans="3:3" x14ac:dyDescent="0.25">
      <c r="C3650" s="26">
        <v>3648</v>
      </c>
    </row>
    <row r="3651" spans="3:3" x14ac:dyDescent="0.25">
      <c r="C3651" s="26">
        <v>3649</v>
      </c>
    </row>
    <row r="3652" spans="3:3" x14ac:dyDescent="0.25">
      <c r="C3652" s="26">
        <v>3650</v>
      </c>
    </row>
    <row r="3653" spans="3:3" x14ac:dyDescent="0.25">
      <c r="C3653" s="26">
        <v>3651</v>
      </c>
    </row>
    <row r="3654" spans="3:3" x14ac:dyDescent="0.25">
      <c r="C3654" s="26">
        <v>3652</v>
      </c>
    </row>
    <row r="3655" spans="3:3" x14ac:dyDescent="0.25">
      <c r="C3655" s="26">
        <v>3653</v>
      </c>
    </row>
    <row r="3656" spans="3:3" x14ac:dyDescent="0.25">
      <c r="C3656" s="26">
        <v>3654</v>
      </c>
    </row>
    <row r="3657" spans="3:3" x14ac:dyDescent="0.25">
      <c r="C3657" s="26">
        <v>3655</v>
      </c>
    </row>
    <row r="3658" spans="3:3" x14ac:dyDescent="0.25">
      <c r="C3658" s="26">
        <v>3656</v>
      </c>
    </row>
    <row r="3659" spans="3:3" x14ac:dyDescent="0.25">
      <c r="C3659" s="26">
        <v>3657</v>
      </c>
    </row>
    <row r="3660" spans="3:3" x14ac:dyDescent="0.25">
      <c r="C3660" s="26">
        <v>3658</v>
      </c>
    </row>
    <row r="3661" spans="3:3" x14ac:dyDescent="0.25">
      <c r="C3661" s="26">
        <v>3659</v>
      </c>
    </row>
    <row r="3662" spans="3:3" x14ac:dyDescent="0.25">
      <c r="C3662" s="26">
        <v>3660</v>
      </c>
    </row>
    <row r="3663" spans="3:3" x14ac:dyDescent="0.25">
      <c r="C3663" s="26">
        <v>3661</v>
      </c>
    </row>
    <row r="3664" spans="3:3" x14ac:dyDescent="0.25">
      <c r="C3664" s="26">
        <v>3662</v>
      </c>
    </row>
    <row r="3665" spans="3:3" x14ac:dyDescent="0.25">
      <c r="C3665" s="26">
        <v>3663</v>
      </c>
    </row>
    <row r="3666" spans="3:3" x14ac:dyDescent="0.25">
      <c r="C3666" s="26">
        <v>3664</v>
      </c>
    </row>
    <row r="3667" spans="3:3" x14ac:dyDescent="0.25">
      <c r="C3667" s="26">
        <v>3665</v>
      </c>
    </row>
    <row r="3668" spans="3:3" x14ac:dyDescent="0.25">
      <c r="C3668" s="26">
        <v>3666</v>
      </c>
    </row>
    <row r="3669" spans="3:3" x14ac:dyDescent="0.25">
      <c r="C3669" s="26">
        <v>3667</v>
      </c>
    </row>
    <row r="3670" spans="3:3" x14ac:dyDescent="0.25">
      <c r="C3670" s="26">
        <v>3668</v>
      </c>
    </row>
    <row r="3671" spans="3:3" x14ac:dyDescent="0.25">
      <c r="C3671" s="26">
        <v>3669</v>
      </c>
    </row>
    <row r="3672" spans="3:3" x14ac:dyDescent="0.25">
      <c r="C3672" s="26">
        <v>3670</v>
      </c>
    </row>
    <row r="3673" spans="3:3" x14ac:dyDescent="0.25">
      <c r="C3673" s="26">
        <v>3671</v>
      </c>
    </row>
    <row r="3674" spans="3:3" x14ac:dyDescent="0.25">
      <c r="C3674" s="26">
        <v>3672</v>
      </c>
    </row>
    <row r="3675" spans="3:3" x14ac:dyDescent="0.25">
      <c r="C3675" s="26">
        <v>3673</v>
      </c>
    </row>
    <row r="3676" spans="3:3" x14ac:dyDescent="0.25">
      <c r="C3676" s="26">
        <v>3674</v>
      </c>
    </row>
    <row r="3677" spans="3:3" x14ac:dyDescent="0.25">
      <c r="C3677" s="26">
        <v>3675</v>
      </c>
    </row>
    <row r="3678" spans="3:3" x14ac:dyDescent="0.25">
      <c r="C3678" s="26">
        <v>3676</v>
      </c>
    </row>
    <row r="3679" spans="3:3" x14ac:dyDescent="0.25">
      <c r="C3679" s="26">
        <v>3677</v>
      </c>
    </row>
    <row r="3680" spans="3:3" x14ac:dyDescent="0.25">
      <c r="C3680" s="26">
        <v>3678</v>
      </c>
    </row>
    <row r="3681" spans="3:3" x14ac:dyDescent="0.25">
      <c r="C3681" s="26">
        <v>3679</v>
      </c>
    </row>
    <row r="3682" spans="3:3" x14ac:dyDescent="0.25">
      <c r="C3682" s="26">
        <v>3680</v>
      </c>
    </row>
    <row r="3683" spans="3:3" x14ac:dyDescent="0.25">
      <c r="C3683" s="26">
        <v>3681</v>
      </c>
    </row>
    <row r="3684" spans="3:3" x14ac:dyDescent="0.25">
      <c r="C3684" s="26">
        <v>3682</v>
      </c>
    </row>
    <row r="3685" spans="3:3" x14ac:dyDescent="0.25">
      <c r="C3685" s="26">
        <v>3683</v>
      </c>
    </row>
    <row r="3686" spans="3:3" x14ac:dyDescent="0.25">
      <c r="C3686" s="26">
        <v>3684</v>
      </c>
    </row>
    <row r="3687" spans="3:3" x14ac:dyDescent="0.25">
      <c r="C3687" s="26">
        <v>3685</v>
      </c>
    </row>
    <row r="3688" spans="3:3" x14ac:dyDescent="0.25">
      <c r="C3688" s="26">
        <v>3686</v>
      </c>
    </row>
    <row r="3689" spans="3:3" x14ac:dyDescent="0.25">
      <c r="C3689" s="26">
        <v>3687</v>
      </c>
    </row>
    <row r="3690" spans="3:3" x14ac:dyDescent="0.25">
      <c r="C3690" s="26">
        <v>3688</v>
      </c>
    </row>
    <row r="3691" spans="3:3" x14ac:dyDescent="0.25">
      <c r="C3691" s="26">
        <v>3689</v>
      </c>
    </row>
    <row r="3692" spans="3:3" x14ac:dyDescent="0.25">
      <c r="C3692" s="26">
        <v>3690</v>
      </c>
    </row>
    <row r="3693" spans="3:3" x14ac:dyDescent="0.25">
      <c r="C3693" s="26">
        <v>3691</v>
      </c>
    </row>
    <row r="3694" spans="3:3" x14ac:dyDescent="0.25">
      <c r="C3694" s="26">
        <v>3692</v>
      </c>
    </row>
    <row r="3695" spans="3:3" x14ac:dyDescent="0.25">
      <c r="C3695" s="26">
        <v>3693</v>
      </c>
    </row>
    <row r="3696" spans="3:3" x14ac:dyDescent="0.25">
      <c r="C3696" s="26">
        <v>3694</v>
      </c>
    </row>
    <row r="3697" spans="3:3" x14ac:dyDescent="0.25">
      <c r="C3697" s="26">
        <v>3695</v>
      </c>
    </row>
    <row r="3698" spans="3:3" x14ac:dyDescent="0.25">
      <c r="C3698" s="26">
        <v>3696</v>
      </c>
    </row>
    <row r="3699" spans="3:3" x14ac:dyDescent="0.25">
      <c r="C3699" s="26">
        <v>3697</v>
      </c>
    </row>
    <row r="3700" spans="3:3" x14ac:dyDescent="0.25">
      <c r="C3700" s="26">
        <v>3698</v>
      </c>
    </row>
    <row r="3701" spans="3:3" x14ac:dyDescent="0.25">
      <c r="C3701" s="26">
        <v>3699</v>
      </c>
    </row>
    <row r="3702" spans="3:3" x14ac:dyDescent="0.25">
      <c r="C3702" s="26">
        <v>3700</v>
      </c>
    </row>
    <row r="3703" spans="3:3" x14ac:dyDescent="0.25">
      <c r="C3703" s="26">
        <v>3701</v>
      </c>
    </row>
    <row r="3704" spans="3:3" x14ac:dyDescent="0.25">
      <c r="C3704" s="26">
        <v>3702</v>
      </c>
    </row>
    <row r="3705" spans="3:3" x14ac:dyDescent="0.25">
      <c r="C3705" s="26">
        <v>3703</v>
      </c>
    </row>
    <row r="3706" spans="3:3" x14ac:dyDescent="0.25">
      <c r="C3706" s="26">
        <v>3704</v>
      </c>
    </row>
    <row r="3707" spans="3:3" x14ac:dyDescent="0.25">
      <c r="C3707" s="26">
        <v>3705</v>
      </c>
    </row>
    <row r="3708" spans="3:3" x14ac:dyDescent="0.25">
      <c r="C3708" s="26">
        <v>3706</v>
      </c>
    </row>
    <row r="3709" spans="3:3" x14ac:dyDescent="0.25">
      <c r="C3709" s="26">
        <v>3707</v>
      </c>
    </row>
    <row r="3710" spans="3:3" x14ac:dyDescent="0.25">
      <c r="C3710" s="26">
        <v>3708</v>
      </c>
    </row>
    <row r="3711" spans="3:3" x14ac:dyDescent="0.25">
      <c r="C3711" s="26">
        <v>3709</v>
      </c>
    </row>
    <row r="3712" spans="3:3" x14ac:dyDescent="0.25">
      <c r="C3712" s="26">
        <v>3710</v>
      </c>
    </row>
    <row r="3713" spans="3:3" x14ac:dyDescent="0.25">
      <c r="C3713" s="26">
        <v>3711</v>
      </c>
    </row>
    <row r="3714" spans="3:3" x14ac:dyDescent="0.25">
      <c r="C3714" s="26">
        <v>3712</v>
      </c>
    </row>
    <row r="3715" spans="3:3" x14ac:dyDescent="0.25">
      <c r="C3715" s="26">
        <v>3713</v>
      </c>
    </row>
    <row r="3716" spans="3:3" x14ac:dyDescent="0.25">
      <c r="C3716" s="26">
        <v>3714</v>
      </c>
    </row>
    <row r="3717" spans="3:3" x14ac:dyDescent="0.25">
      <c r="C3717" s="26">
        <v>3715</v>
      </c>
    </row>
    <row r="3718" spans="3:3" x14ac:dyDescent="0.25">
      <c r="C3718" s="26">
        <v>3716</v>
      </c>
    </row>
    <row r="3719" spans="3:3" x14ac:dyDescent="0.25">
      <c r="C3719" s="26">
        <v>3717</v>
      </c>
    </row>
    <row r="3720" spans="3:3" x14ac:dyDescent="0.25">
      <c r="C3720" s="26">
        <v>3718</v>
      </c>
    </row>
    <row r="3721" spans="3:3" x14ac:dyDescent="0.25">
      <c r="C3721" s="26">
        <v>3719</v>
      </c>
    </row>
    <row r="3722" spans="3:3" x14ac:dyDescent="0.25">
      <c r="C3722" s="26">
        <v>3720</v>
      </c>
    </row>
    <row r="3723" spans="3:3" x14ac:dyDescent="0.25">
      <c r="C3723" s="26">
        <v>3721</v>
      </c>
    </row>
    <row r="3724" spans="3:3" x14ac:dyDescent="0.25">
      <c r="C3724" s="26">
        <v>3722</v>
      </c>
    </row>
    <row r="3725" spans="3:3" x14ac:dyDescent="0.25">
      <c r="C3725" s="26">
        <v>3723</v>
      </c>
    </row>
    <row r="3726" spans="3:3" x14ac:dyDescent="0.25">
      <c r="C3726" s="26">
        <v>3724</v>
      </c>
    </row>
    <row r="3727" spans="3:3" x14ac:dyDescent="0.25">
      <c r="C3727" s="26">
        <v>3725</v>
      </c>
    </row>
    <row r="3728" spans="3:3" x14ac:dyDescent="0.25">
      <c r="C3728" s="26">
        <v>3726</v>
      </c>
    </row>
    <row r="3729" spans="3:3" x14ac:dyDescent="0.25">
      <c r="C3729" s="26">
        <v>3727</v>
      </c>
    </row>
    <row r="3730" spans="3:3" x14ac:dyDescent="0.25">
      <c r="C3730" s="26">
        <v>3728</v>
      </c>
    </row>
    <row r="3731" spans="3:3" x14ac:dyDescent="0.25">
      <c r="C3731" s="26">
        <v>3729</v>
      </c>
    </row>
    <row r="3732" spans="3:3" x14ac:dyDescent="0.25">
      <c r="C3732" s="26">
        <v>3730</v>
      </c>
    </row>
    <row r="3733" spans="3:3" x14ac:dyDescent="0.25">
      <c r="C3733" s="26">
        <v>3731</v>
      </c>
    </row>
    <row r="3734" spans="3:3" x14ac:dyDescent="0.25">
      <c r="C3734" s="26">
        <v>3732</v>
      </c>
    </row>
    <row r="3735" spans="3:3" x14ac:dyDescent="0.25">
      <c r="C3735" s="26">
        <v>3733</v>
      </c>
    </row>
    <row r="3736" spans="3:3" x14ac:dyDescent="0.25">
      <c r="C3736" s="26">
        <v>3734</v>
      </c>
    </row>
    <row r="3737" spans="3:3" x14ac:dyDescent="0.25">
      <c r="C3737" s="26">
        <v>3735</v>
      </c>
    </row>
    <row r="3738" spans="3:3" x14ac:dyDescent="0.25">
      <c r="C3738" s="26">
        <v>3736</v>
      </c>
    </row>
    <row r="3739" spans="3:3" x14ac:dyDescent="0.25">
      <c r="C3739" s="26">
        <v>3737</v>
      </c>
    </row>
    <row r="3740" spans="3:3" x14ac:dyDescent="0.25">
      <c r="C3740" s="26">
        <v>3738</v>
      </c>
    </row>
    <row r="3741" spans="3:3" x14ac:dyDescent="0.25">
      <c r="C3741" s="26">
        <v>3739</v>
      </c>
    </row>
    <row r="3742" spans="3:3" x14ac:dyDescent="0.25">
      <c r="C3742" s="26">
        <v>3740</v>
      </c>
    </row>
    <row r="3743" spans="3:3" x14ac:dyDescent="0.25">
      <c r="C3743" s="26">
        <v>3741</v>
      </c>
    </row>
    <row r="3744" spans="3:3" x14ac:dyDescent="0.25">
      <c r="C3744" s="26">
        <v>3742</v>
      </c>
    </row>
    <row r="3745" spans="3:3" x14ac:dyDescent="0.25">
      <c r="C3745" s="26">
        <v>3743</v>
      </c>
    </row>
    <row r="3746" spans="3:3" x14ac:dyDescent="0.25">
      <c r="C3746" s="26">
        <v>3744</v>
      </c>
    </row>
    <row r="3747" spans="3:3" x14ac:dyDescent="0.25">
      <c r="C3747" s="26">
        <v>3745</v>
      </c>
    </row>
    <row r="3748" spans="3:3" x14ac:dyDescent="0.25">
      <c r="C3748" s="26">
        <v>3746</v>
      </c>
    </row>
    <row r="3749" spans="3:3" x14ac:dyDescent="0.25">
      <c r="C3749" s="26">
        <v>3747</v>
      </c>
    </row>
    <row r="3750" spans="3:3" x14ac:dyDescent="0.25">
      <c r="C3750" s="26">
        <v>3748</v>
      </c>
    </row>
    <row r="3751" spans="3:3" x14ac:dyDescent="0.25">
      <c r="C3751" s="26">
        <v>3749</v>
      </c>
    </row>
    <row r="3752" spans="3:3" x14ac:dyDescent="0.25">
      <c r="C3752" s="26">
        <v>3750</v>
      </c>
    </row>
    <row r="3753" spans="3:3" x14ac:dyDescent="0.25">
      <c r="C3753" s="26">
        <v>3751</v>
      </c>
    </row>
    <row r="3754" spans="3:3" x14ac:dyDescent="0.25">
      <c r="C3754" s="26">
        <v>3752</v>
      </c>
    </row>
    <row r="3755" spans="3:3" x14ac:dyDescent="0.25">
      <c r="C3755" s="26">
        <v>3753</v>
      </c>
    </row>
    <row r="3756" spans="3:3" x14ac:dyDescent="0.25">
      <c r="C3756" s="26">
        <v>3754</v>
      </c>
    </row>
    <row r="3757" spans="3:3" x14ac:dyDescent="0.25">
      <c r="C3757" s="26">
        <v>3755</v>
      </c>
    </row>
    <row r="3758" spans="3:3" x14ac:dyDescent="0.25">
      <c r="C3758" s="26">
        <v>3756</v>
      </c>
    </row>
    <row r="3759" spans="3:3" x14ac:dyDescent="0.25">
      <c r="C3759" s="26">
        <v>3757</v>
      </c>
    </row>
    <row r="3760" spans="3:3" x14ac:dyDescent="0.25">
      <c r="C3760" s="26">
        <v>3758</v>
      </c>
    </row>
    <row r="3761" spans="3:3" x14ac:dyDescent="0.25">
      <c r="C3761" s="26">
        <v>3759</v>
      </c>
    </row>
    <row r="3762" spans="3:3" x14ac:dyDescent="0.25">
      <c r="C3762" s="26">
        <v>3760</v>
      </c>
    </row>
    <row r="3763" spans="3:3" x14ac:dyDescent="0.25">
      <c r="C3763" s="26">
        <v>3761</v>
      </c>
    </row>
    <row r="3764" spans="3:3" x14ac:dyDescent="0.25">
      <c r="C3764" s="26">
        <v>3762</v>
      </c>
    </row>
    <row r="3765" spans="3:3" x14ac:dyDescent="0.25">
      <c r="C3765" s="26">
        <v>3763</v>
      </c>
    </row>
    <row r="3766" spans="3:3" x14ac:dyDescent="0.25">
      <c r="C3766" s="26">
        <v>3764</v>
      </c>
    </row>
    <row r="3767" spans="3:3" x14ac:dyDescent="0.25">
      <c r="C3767" s="26">
        <v>3765</v>
      </c>
    </row>
    <row r="3768" spans="3:3" x14ac:dyDescent="0.25">
      <c r="C3768" s="26">
        <v>3766</v>
      </c>
    </row>
    <row r="3769" spans="3:3" x14ac:dyDescent="0.25">
      <c r="C3769" s="26">
        <v>3767</v>
      </c>
    </row>
    <row r="3770" spans="3:3" x14ac:dyDescent="0.25">
      <c r="C3770" s="26">
        <v>3768</v>
      </c>
    </row>
    <row r="3771" spans="3:3" x14ac:dyDescent="0.25">
      <c r="C3771" s="26">
        <v>3769</v>
      </c>
    </row>
    <row r="3772" spans="3:3" x14ac:dyDescent="0.25">
      <c r="C3772" s="26">
        <v>3770</v>
      </c>
    </row>
    <row r="3773" spans="3:3" x14ac:dyDescent="0.25">
      <c r="C3773" s="26">
        <v>3771</v>
      </c>
    </row>
    <row r="3774" spans="3:3" x14ac:dyDescent="0.25">
      <c r="C3774" s="26">
        <v>3772</v>
      </c>
    </row>
    <row r="3775" spans="3:3" x14ac:dyDescent="0.25">
      <c r="C3775" s="26">
        <v>3773</v>
      </c>
    </row>
    <row r="3776" spans="3:3" x14ac:dyDescent="0.25">
      <c r="C3776" s="26">
        <v>3774</v>
      </c>
    </row>
    <row r="3777" spans="3:3" x14ac:dyDescent="0.25">
      <c r="C3777" s="26">
        <v>3775</v>
      </c>
    </row>
    <row r="3778" spans="3:3" x14ac:dyDescent="0.25">
      <c r="C3778" s="26">
        <v>3776</v>
      </c>
    </row>
    <row r="3779" spans="3:3" x14ac:dyDescent="0.25">
      <c r="C3779" s="26">
        <v>3777</v>
      </c>
    </row>
    <row r="3780" spans="3:3" x14ac:dyDescent="0.25">
      <c r="C3780" s="26">
        <v>3778</v>
      </c>
    </row>
    <row r="3781" spans="3:3" x14ac:dyDescent="0.25">
      <c r="C3781" s="26">
        <v>3779</v>
      </c>
    </row>
    <row r="3782" spans="3:3" x14ac:dyDescent="0.25">
      <c r="C3782" s="26">
        <v>3780</v>
      </c>
    </row>
    <row r="3783" spans="3:3" x14ac:dyDescent="0.25">
      <c r="C3783" s="26">
        <v>3781</v>
      </c>
    </row>
    <row r="3784" spans="3:3" x14ac:dyDescent="0.25">
      <c r="C3784" s="26">
        <v>3782</v>
      </c>
    </row>
    <row r="3785" spans="3:3" x14ac:dyDescent="0.25">
      <c r="C3785" s="26">
        <v>3783</v>
      </c>
    </row>
    <row r="3786" spans="3:3" x14ac:dyDescent="0.25">
      <c r="C3786" s="26">
        <v>3784</v>
      </c>
    </row>
    <row r="3787" spans="3:3" x14ac:dyDescent="0.25">
      <c r="C3787" s="26">
        <v>3785</v>
      </c>
    </row>
    <row r="3788" spans="3:3" x14ac:dyDescent="0.25">
      <c r="C3788" s="26">
        <v>3786</v>
      </c>
    </row>
    <row r="3789" spans="3:3" x14ac:dyDescent="0.25">
      <c r="C3789" s="26">
        <v>3787</v>
      </c>
    </row>
    <row r="3790" spans="3:3" x14ac:dyDescent="0.25">
      <c r="C3790" s="26">
        <v>3788</v>
      </c>
    </row>
    <row r="3791" spans="3:3" x14ac:dyDescent="0.25">
      <c r="C3791" s="26">
        <v>3789</v>
      </c>
    </row>
    <row r="3792" spans="3:3" x14ac:dyDescent="0.25">
      <c r="C3792" s="26">
        <v>3790</v>
      </c>
    </row>
    <row r="3793" spans="3:3" x14ac:dyDescent="0.25">
      <c r="C3793" s="26">
        <v>3791</v>
      </c>
    </row>
    <row r="3794" spans="3:3" x14ac:dyDescent="0.25">
      <c r="C3794" s="26">
        <v>3792</v>
      </c>
    </row>
    <row r="3795" spans="3:3" x14ac:dyDescent="0.25">
      <c r="C3795" s="26">
        <v>3793</v>
      </c>
    </row>
    <row r="3796" spans="3:3" x14ac:dyDescent="0.25">
      <c r="C3796" s="26">
        <v>3794</v>
      </c>
    </row>
    <row r="3797" spans="3:3" x14ac:dyDescent="0.25">
      <c r="C3797" s="26">
        <v>3795</v>
      </c>
    </row>
    <row r="3798" spans="3:3" x14ac:dyDescent="0.25">
      <c r="C3798" s="26">
        <v>3796</v>
      </c>
    </row>
    <row r="3799" spans="3:3" x14ac:dyDescent="0.25">
      <c r="C3799" s="26">
        <v>3797</v>
      </c>
    </row>
    <row r="3800" spans="3:3" x14ac:dyDescent="0.25">
      <c r="C3800" s="26">
        <v>3798</v>
      </c>
    </row>
    <row r="3801" spans="3:3" x14ac:dyDescent="0.25">
      <c r="C3801" s="26">
        <v>3799</v>
      </c>
    </row>
    <row r="3802" spans="3:3" x14ac:dyDescent="0.25">
      <c r="C3802" s="26">
        <v>3800</v>
      </c>
    </row>
    <row r="3803" spans="3:3" x14ac:dyDescent="0.25">
      <c r="C3803" s="26">
        <v>3801</v>
      </c>
    </row>
    <row r="3804" spans="3:3" x14ac:dyDescent="0.25">
      <c r="C3804" s="26">
        <v>3802</v>
      </c>
    </row>
    <row r="3805" spans="3:3" x14ac:dyDescent="0.25">
      <c r="C3805" s="26">
        <v>3803</v>
      </c>
    </row>
    <row r="3806" spans="3:3" x14ac:dyDescent="0.25">
      <c r="C3806" s="26">
        <v>3804</v>
      </c>
    </row>
    <row r="3807" spans="3:3" x14ac:dyDescent="0.25">
      <c r="C3807" s="26">
        <v>3805</v>
      </c>
    </row>
    <row r="3808" spans="3:3" x14ac:dyDescent="0.25">
      <c r="C3808" s="26">
        <v>3806</v>
      </c>
    </row>
    <row r="3809" spans="3:3" x14ac:dyDescent="0.25">
      <c r="C3809" s="26">
        <v>3807</v>
      </c>
    </row>
    <row r="3810" spans="3:3" x14ac:dyDescent="0.25">
      <c r="C3810" s="26">
        <v>3808</v>
      </c>
    </row>
    <row r="3811" spans="3:3" x14ac:dyDescent="0.25">
      <c r="C3811" s="26">
        <v>3809</v>
      </c>
    </row>
    <row r="3812" spans="3:3" x14ac:dyDescent="0.25">
      <c r="C3812" s="26">
        <v>3810</v>
      </c>
    </row>
    <row r="3813" spans="3:3" x14ac:dyDescent="0.25">
      <c r="C3813" s="26">
        <v>3811</v>
      </c>
    </row>
    <row r="3814" spans="3:3" x14ac:dyDescent="0.25">
      <c r="C3814" s="26">
        <v>3812</v>
      </c>
    </row>
    <row r="3815" spans="3:3" x14ac:dyDescent="0.25">
      <c r="C3815" s="26">
        <v>3813</v>
      </c>
    </row>
    <row r="3816" spans="3:3" x14ac:dyDescent="0.25">
      <c r="C3816" s="26">
        <v>3814</v>
      </c>
    </row>
    <row r="3817" spans="3:3" x14ac:dyDescent="0.25">
      <c r="C3817" s="26">
        <v>3815</v>
      </c>
    </row>
    <row r="3818" spans="3:3" x14ac:dyDescent="0.25">
      <c r="C3818" s="26">
        <v>3816</v>
      </c>
    </row>
    <row r="3819" spans="3:3" x14ac:dyDescent="0.25">
      <c r="C3819" s="26">
        <v>3817</v>
      </c>
    </row>
    <row r="3820" spans="3:3" x14ac:dyDescent="0.25">
      <c r="C3820" s="26">
        <v>3818</v>
      </c>
    </row>
    <row r="3821" spans="3:3" x14ac:dyDescent="0.25">
      <c r="C3821" s="26">
        <v>3819</v>
      </c>
    </row>
    <row r="3822" spans="3:3" x14ac:dyDescent="0.25">
      <c r="C3822" s="26">
        <v>3820</v>
      </c>
    </row>
    <row r="3823" spans="3:3" x14ac:dyDescent="0.25">
      <c r="C3823" s="26">
        <v>3821</v>
      </c>
    </row>
    <row r="3824" spans="3:3" x14ac:dyDescent="0.25">
      <c r="C3824" s="26">
        <v>3822</v>
      </c>
    </row>
    <row r="3825" spans="3:3" x14ac:dyDescent="0.25">
      <c r="C3825" s="26">
        <v>3823</v>
      </c>
    </row>
    <row r="3826" spans="3:3" x14ac:dyDescent="0.25">
      <c r="C3826" s="26">
        <v>3824</v>
      </c>
    </row>
    <row r="3827" spans="3:3" x14ac:dyDescent="0.25">
      <c r="C3827" s="26">
        <v>3825</v>
      </c>
    </row>
    <row r="3828" spans="3:3" x14ac:dyDescent="0.25">
      <c r="C3828" s="26">
        <v>3826</v>
      </c>
    </row>
    <row r="3829" spans="3:3" x14ac:dyDescent="0.25">
      <c r="C3829" s="26">
        <v>3827</v>
      </c>
    </row>
    <row r="3830" spans="3:3" x14ac:dyDescent="0.25">
      <c r="C3830" s="26">
        <v>3828</v>
      </c>
    </row>
    <row r="3831" spans="3:3" x14ac:dyDescent="0.25">
      <c r="C3831" s="26">
        <v>3829</v>
      </c>
    </row>
    <row r="3832" spans="3:3" x14ac:dyDescent="0.25">
      <c r="C3832" s="26">
        <v>3830</v>
      </c>
    </row>
    <row r="3833" spans="3:3" x14ac:dyDescent="0.25">
      <c r="C3833" s="26">
        <v>3831</v>
      </c>
    </row>
    <row r="3834" spans="3:3" x14ac:dyDescent="0.25">
      <c r="C3834" s="26">
        <v>3832</v>
      </c>
    </row>
    <row r="3835" spans="3:3" x14ac:dyDescent="0.25">
      <c r="C3835" s="26">
        <v>3833</v>
      </c>
    </row>
    <row r="3836" spans="3:3" x14ac:dyDescent="0.25">
      <c r="C3836" s="26">
        <v>3834</v>
      </c>
    </row>
    <row r="3837" spans="3:3" x14ac:dyDescent="0.25">
      <c r="C3837" s="26">
        <v>3835</v>
      </c>
    </row>
    <row r="3838" spans="3:3" x14ac:dyDescent="0.25">
      <c r="C3838" s="26">
        <v>3836</v>
      </c>
    </row>
    <row r="3839" spans="3:3" x14ac:dyDescent="0.25">
      <c r="C3839" s="26">
        <v>3837</v>
      </c>
    </row>
    <row r="3840" spans="3:3" x14ac:dyDescent="0.25">
      <c r="C3840" s="26">
        <v>3838</v>
      </c>
    </row>
    <row r="3841" spans="3:3" x14ac:dyDescent="0.25">
      <c r="C3841" s="26">
        <v>3839</v>
      </c>
    </row>
    <row r="3842" spans="3:3" x14ac:dyDescent="0.25">
      <c r="C3842" s="26">
        <v>3840</v>
      </c>
    </row>
    <row r="3843" spans="3:3" x14ac:dyDescent="0.25">
      <c r="C3843" s="26">
        <v>3841</v>
      </c>
    </row>
    <row r="3844" spans="3:3" x14ac:dyDescent="0.25">
      <c r="C3844" s="26">
        <v>3842</v>
      </c>
    </row>
    <row r="3845" spans="3:3" x14ac:dyDescent="0.25">
      <c r="C3845" s="26">
        <v>3843</v>
      </c>
    </row>
    <row r="3846" spans="3:3" x14ac:dyDescent="0.25">
      <c r="C3846" s="26">
        <v>3844</v>
      </c>
    </row>
    <row r="3847" spans="3:3" x14ac:dyDescent="0.25">
      <c r="C3847" s="26">
        <v>3845</v>
      </c>
    </row>
    <row r="3848" spans="3:3" x14ac:dyDescent="0.25">
      <c r="C3848" s="26">
        <v>3846</v>
      </c>
    </row>
    <row r="3849" spans="3:3" x14ac:dyDescent="0.25">
      <c r="C3849" s="26">
        <v>3847</v>
      </c>
    </row>
    <row r="3850" spans="3:3" x14ac:dyDescent="0.25">
      <c r="C3850" s="26">
        <v>3848</v>
      </c>
    </row>
    <row r="3851" spans="3:3" x14ac:dyDescent="0.25">
      <c r="C3851" s="26">
        <v>3849</v>
      </c>
    </row>
    <row r="3852" spans="3:3" x14ac:dyDescent="0.25">
      <c r="C3852" s="26">
        <v>3850</v>
      </c>
    </row>
    <row r="3853" spans="3:3" x14ac:dyDescent="0.25">
      <c r="C3853" s="26">
        <v>3851</v>
      </c>
    </row>
    <row r="3854" spans="3:3" x14ac:dyDescent="0.25">
      <c r="C3854" s="26">
        <v>3852</v>
      </c>
    </row>
    <row r="3855" spans="3:3" x14ac:dyDescent="0.25">
      <c r="C3855" s="26">
        <v>3853</v>
      </c>
    </row>
    <row r="3856" spans="3:3" x14ac:dyDescent="0.25">
      <c r="C3856" s="26">
        <v>3854</v>
      </c>
    </row>
    <row r="3857" spans="3:3" x14ac:dyDescent="0.25">
      <c r="C3857" s="26">
        <v>3855</v>
      </c>
    </row>
    <row r="3858" spans="3:3" x14ac:dyDescent="0.25">
      <c r="C3858" s="26">
        <v>3856</v>
      </c>
    </row>
    <row r="3859" spans="3:3" x14ac:dyDescent="0.25">
      <c r="C3859" s="26">
        <v>3857</v>
      </c>
    </row>
    <row r="3860" spans="3:3" x14ac:dyDescent="0.25">
      <c r="C3860" s="26">
        <v>3858</v>
      </c>
    </row>
    <row r="3861" spans="3:3" x14ac:dyDescent="0.25">
      <c r="C3861" s="26">
        <v>3859</v>
      </c>
    </row>
    <row r="3862" spans="3:3" x14ac:dyDescent="0.25">
      <c r="C3862" s="26">
        <v>3860</v>
      </c>
    </row>
    <row r="3863" spans="3:3" x14ac:dyDescent="0.25">
      <c r="C3863" s="26">
        <v>3861</v>
      </c>
    </row>
    <row r="3864" spans="3:3" x14ac:dyDescent="0.25">
      <c r="C3864" s="26">
        <v>3862</v>
      </c>
    </row>
    <row r="3865" spans="3:3" x14ac:dyDescent="0.25">
      <c r="C3865" s="26">
        <v>3863</v>
      </c>
    </row>
    <row r="3866" spans="3:3" x14ac:dyDescent="0.25">
      <c r="C3866" s="26">
        <v>3864</v>
      </c>
    </row>
    <row r="3867" spans="3:3" x14ac:dyDescent="0.25">
      <c r="C3867" s="26">
        <v>3865</v>
      </c>
    </row>
    <row r="3868" spans="3:3" x14ac:dyDescent="0.25">
      <c r="C3868" s="26">
        <v>3866</v>
      </c>
    </row>
    <row r="3869" spans="3:3" x14ac:dyDescent="0.25">
      <c r="C3869" s="26">
        <v>3867</v>
      </c>
    </row>
    <row r="3870" spans="3:3" x14ac:dyDescent="0.25">
      <c r="C3870" s="26">
        <v>3868</v>
      </c>
    </row>
    <row r="3871" spans="3:3" x14ac:dyDescent="0.25">
      <c r="C3871" s="26">
        <v>3869</v>
      </c>
    </row>
    <row r="3872" spans="3:3" x14ac:dyDescent="0.25">
      <c r="C3872" s="26">
        <v>3870</v>
      </c>
    </row>
    <row r="3873" spans="3:3" x14ac:dyDescent="0.25">
      <c r="C3873" s="26">
        <v>3871</v>
      </c>
    </row>
    <row r="3874" spans="3:3" x14ac:dyDescent="0.25">
      <c r="C3874" s="26">
        <v>3872</v>
      </c>
    </row>
    <row r="3875" spans="3:3" x14ac:dyDescent="0.25">
      <c r="C3875" s="26">
        <v>3873</v>
      </c>
    </row>
    <row r="3876" spans="3:3" x14ac:dyDescent="0.25">
      <c r="C3876" s="26">
        <v>3874</v>
      </c>
    </row>
    <row r="3877" spans="3:3" x14ac:dyDescent="0.25">
      <c r="C3877" s="26">
        <v>3875</v>
      </c>
    </row>
    <row r="3878" spans="3:3" x14ac:dyDescent="0.25">
      <c r="C3878" s="26">
        <v>3876</v>
      </c>
    </row>
    <row r="3879" spans="3:3" x14ac:dyDescent="0.25">
      <c r="C3879" s="26">
        <v>3877</v>
      </c>
    </row>
    <row r="3880" spans="3:3" x14ac:dyDescent="0.25">
      <c r="C3880" s="26">
        <v>3878</v>
      </c>
    </row>
    <row r="3881" spans="3:3" x14ac:dyDescent="0.25">
      <c r="C3881" s="26">
        <v>3879</v>
      </c>
    </row>
    <row r="3882" spans="3:3" x14ac:dyDescent="0.25">
      <c r="C3882" s="26">
        <v>3880</v>
      </c>
    </row>
    <row r="3883" spans="3:3" x14ac:dyDescent="0.25">
      <c r="C3883" s="26">
        <v>3881</v>
      </c>
    </row>
    <row r="3884" spans="3:3" x14ac:dyDescent="0.25">
      <c r="C3884" s="26">
        <v>3882</v>
      </c>
    </row>
    <row r="3885" spans="3:3" x14ac:dyDescent="0.25">
      <c r="C3885" s="26">
        <v>3883</v>
      </c>
    </row>
    <row r="3886" spans="3:3" x14ac:dyDescent="0.25">
      <c r="C3886" s="26">
        <v>3884</v>
      </c>
    </row>
    <row r="3887" spans="3:3" x14ac:dyDescent="0.25">
      <c r="C3887" s="26">
        <v>3885</v>
      </c>
    </row>
    <row r="3888" spans="3:3" x14ac:dyDescent="0.25">
      <c r="C3888" s="26">
        <v>3886</v>
      </c>
    </row>
    <row r="3889" spans="3:3" x14ac:dyDescent="0.25">
      <c r="C3889" s="26">
        <v>3887</v>
      </c>
    </row>
    <row r="3890" spans="3:3" x14ac:dyDescent="0.25">
      <c r="C3890" s="26">
        <v>3888</v>
      </c>
    </row>
    <row r="3891" spans="3:3" x14ac:dyDescent="0.25">
      <c r="C3891" s="26">
        <v>3889</v>
      </c>
    </row>
    <row r="3892" spans="3:3" x14ac:dyDescent="0.25">
      <c r="C3892" s="26">
        <v>3890</v>
      </c>
    </row>
    <row r="3893" spans="3:3" x14ac:dyDescent="0.25">
      <c r="C3893" s="26">
        <v>3891</v>
      </c>
    </row>
    <row r="3894" spans="3:3" x14ac:dyDescent="0.25">
      <c r="C3894" s="26">
        <v>3892</v>
      </c>
    </row>
    <row r="3895" spans="3:3" x14ac:dyDescent="0.25">
      <c r="C3895" s="26">
        <v>3893</v>
      </c>
    </row>
    <row r="3896" spans="3:3" x14ac:dyDescent="0.25">
      <c r="C3896" s="26">
        <v>3894</v>
      </c>
    </row>
    <row r="3897" spans="3:3" x14ac:dyDescent="0.25">
      <c r="C3897" s="26">
        <v>3895</v>
      </c>
    </row>
    <row r="3898" spans="3:3" x14ac:dyDescent="0.25">
      <c r="C3898" s="26">
        <v>3896</v>
      </c>
    </row>
    <row r="3899" spans="3:3" x14ac:dyDescent="0.25">
      <c r="C3899" s="26">
        <v>3897</v>
      </c>
    </row>
    <row r="3900" spans="3:3" x14ac:dyDescent="0.25">
      <c r="C3900" s="26">
        <v>3898</v>
      </c>
    </row>
    <row r="3901" spans="3:3" x14ac:dyDescent="0.25">
      <c r="C3901" s="26">
        <v>3899</v>
      </c>
    </row>
    <row r="3902" spans="3:3" x14ac:dyDescent="0.25">
      <c r="C3902" s="26">
        <v>3900</v>
      </c>
    </row>
    <row r="3903" spans="3:3" x14ac:dyDescent="0.25">
      <c r="C3903" s="26">
        <v>3901</v>
      </c>
    </row>
    <row r="3904" spans="3:3" x14ac:dyDescent="0.25">
      <c r="C3904" s="26">
        <v>3902</v>
      </c>
    </row>
    <row r="3905" spans="3:3" x14ac:dyDescent="0.25">
      <c r="C3905" s="26">
        <v>3903</v>
      </c>
    </row>
    <row r="3906" spans="3:3" x14ac:dyDescent="0.25">
      <c r="C3906" s="26">
        <v>3904</v>
      </c>
    </row>
    <row r="3907" spans="3:3" x14ac:dyDescent="0.25">
      <c r="C3907" s="26">
        <v>3905</v>
      </c>
    </row>
    <row r="3908" spans="3:3" x14ac:dyDescent="0.25">
      <c r="C3908" s="26">
        <v>3906</v>
      </c>
    </row>
    <row r="3909" spans="3:3" x14ac:dyDescent="0.25">
      <c r="C3909" s="26">
        <v>3907</v>
      </c>
    </row>
    <row r="3910" spans="3:3" x14ac:dyDescent="0.25">
      <c r="C3910" s="26">
        <v>3908</v>
      </c>
    </row>
    <row r="3911" spans="3:3" x14ac:dyDescent="0.25">
      <c r="C3911" s="26">
        <v>3909</v>
      </c>
    </row>
    <row r="3912" spans="3:3" x14ac:dyDescent="0.25">
      <c r="C3912" s="26">
        <v>3910</v>
      </c>
    </row>
    <row r="3913" spans="3:3" x14ac:dyDescent="0.25">
      <c r="C3913" s="26">
        <v>3911</v>
      </c>
    </row>
    <row r="3914" spans="3:3" x14ac:dyDescent="0.25">
      <c r="C3914" s="26">
        <v>3912</v>
      </c>
    </row>
    <row r="3915" spans="3:3" x14ac:dyDescent="0.25">
      <c r="C3915" s="26">
        <v>3913</v>
      </c>
    </row>
    <row r="3916" spans="3:3" x14ac:dyDescent="0.25">
      <c r="C3916" s="26">
        <v>3914</v>
      </c>
    </row>
    <row r="3917" spans="3:3" x14ac:dyDescent="0.25">
      <c r="C3917" s="26">
        <v>3915</v>
      </c>
    </row>
    <row r="3918" spans="3:3" x14ac:dyDescent="0.25">
      <c r="C3918" s="26">
        <v>3916</v>
      </c>
    </row>
    <row r="3919" spans="3:3" x14ac:dyDescent="0.25">
      <c r="C3919" s="26">
        <v>3917</v>
      </c>
    </row>
    <row r="3920" spans="3:3" x14ac:dyDescent="0.25">
      <c r="C3920" s="26">
        <v>3918</v>
      </c>
    </row>
    <row r="3921" spans="3:3" x14ac:dyDescent="0.25">
      <c r="C3921" s="26">
        <v>3919</v>
      </c>
    </row>
    <row r="3922" spans="3:3" x14ac:dyDescent="0.25">
      <c r="C3922" s="26">
        <v>3920</v>
      </c>
    </row>
    <row r="3923" spans="3:3" x14ac:dyDescent="0.25">
      <c r="C3923" s="26">
        <v>3921</v>
      </c>
    </row>
    <row r="3924" spans="3:3" x14ac:dyDescent="0.25">
      <c r="C3924" s="26">
        <v>3922</v>
      </c>
    </row>
    <row r="3925" spans="3:3" x14ac:dyDescent="0.25">
      <c r="C3925" s="26">
        <v>3923</v>
      </c>
    </row>
    <row r="3926" spans="3:3" x14ac:dyDescent="0.25">
      <c r="C3926" s="26">
        <v>3924</v>
      </c>
    </row>
    <row r="3927" spans="3:3" x14ac:dyDescent="0.25">
      <c r="C3927" s="26">
        <v>3925</v>
      </c>
    </row>
    <row r="3928" spans="3:3" x14ac:dyDescent="0.25">
      <c r="C3928" s="26">
        <v>3926</v>
      </c>
    </row>
    <row r="3929" spans="3:3" x14ac:dyDescent="0.25">
      <c r="C3929" s="26">
        <v>3927</v>
      </c>
    </row>
    <row r="3930" spans="3:3" x14ac:dyDescent="0.25">
      <c r="C3930" s="26">
        <v>3928</v>
      </c>
    </row>
    <row r="3931" spans="3:3" x14ac:dyDescent="0.25">
      <c r="C3931" s="26">
        <v>3929</v>
      </c>
    </row>
    <row r="3932" spans="3:3" x14ac:dyDescent="0.25">
      <c r="C3932" s="26">
        <v>3930</v>
      </c>
    </row>
    <row r="3933" spans="3:3" x14ac:dyDescent="0.25">
      <c r="C3933" s="26">
        <v>3931</v>
      </c>
    </row>
    <row r="3934" spans="3:3" x14ac:dyDescent="0.25">
      <c r="C3934" s="26">
        <v>3932</v>
      </c>
    </row>
    <row r="3935" spans="3:3" x14ac:dyDescent="0.25">
      <c r="C3935" s="26">
        <v>3933</v>
      </c>
    </row>
    <row r="3936" spans="3:3" x14ac:dyDescent="0.25">
      <c r="C3936" s="26">
        <v>3934</v>
      </c>
    </row>
    <row r="3937" spans="3:3" x14ac:dyDescent="0.25">
      <c r="C3937" s="26">
        <v>3935</v>
      </c>
    </row>
    <row r="3938" spans="3:3" x14ac:dyDescent="0.25">
      <c r="C3938" s="26">
        <v>3936</v>
      </c>
    </row>
    <row r="3939" spans="3:3" x14ac:dyDescent="0.25">
      <c r="C3939" s="26">
        <v>3937</v>
      </c>
    </row>
    <row r="3940" spans="3:3" x14ac:dyDescent="0.25">
      <c r="C3940" s="26">
        <v>3938</v>
      </c>
    </row>
    <row r="3941" spans="3:3" x14ac:dyDescent="0.25">
      <c r="C3941" s="26">
        <v>3939</v>
      </c>
    </row>
    <row r="3942" spans="3:3" x14ac:dyDescent="0.25">
      <c r="C3942" s="26">
        <v>3940</v>
      </c>
    </row>
    <row r="3943" spans="3:3" x14ac:dyDescent="0.25">
      <c r="C3943" s="26">
        <v>3941</v>
      </c>
    </row>
    <row r="3944" spans="3:3" x14ac:dyDescent="0.25">
      <c r="C3944" s="26">
        <v>3942</v>
      </c>
    </row>
    <row r="3945" spans="3:3" x14ac:dyDescent="0.25">
      <c r="C3945" s="26">
        <v>3943</v>
      </c>
    </row>
    <row r="3946" spans="3:3" x14ac:dyDescent="0.25">
      <c r="C3946" s="26">
        <v>3944</v>
      </c>
    </row>
    <row r="3947" spans="3:3" x14ac:dyDescent="0.25">
      <c r="C3947" s="26">
        <v>3945</v>
      </c>
    </row>
    <row r="3948" spans="3:3" x14ac:dyDescent="0.25">
      <c r="C3948" s="26">
        <v>3946</v>
      </c>
    </row>
    <row r="3949" spans="3:3" x14ac:dyDescent="0.25">
      <c r="C3949" s="26">
        <v>3947</v>
      </c>
    </row>
    <row r="3950" spans="3:3" x14ac:dyDescent="0.25">
      <c r="C3950" s="26">
        <v>3948</v>
      </c>
    </row>
    <row r="3951" spans="3:3" x14ac:dyDescent="0.25">
      <c r="C3951" s="26">
        <v>3949</v>
      </c>
    </row>
    <row r="3952" spans="3:3" x14ac:dyDescent="0.25">
      <c r="C3952" s="26">
        <v>3950</v>
      </c>
    </row>
    <row r="3953" spans="3:3" x14ac:dyDescent="0.25">
      <c r="C3953" s="26">
        <v>3951</v>
      </c>
    </row>
    <row r="3954" spans="3:3" x14ac:dyDescent="0.25">
      <c r="C3954" s="26">
        <v>3952</v>
      </c>
    </row>
    <row r="3955" spans="3:3" x14ac:dyDescent="0.25">
      <c r="C3955" s="26">
        <v>3953</v>
      </c>
    </row>
    <row r="3956" spans="3:3" x14ac:dyDescent="0.25">
      <c r="C3956" s="26">
        <v>3954</v>
      </c>
    </row>
    <row r="3957" spans="3:3" x14ac:dyDescent="0.25">
      <c r="C3957" s="26">
        <v>3955</v>
      </c>
    </row>
    <row r="3958" spans="3:3" x14ac:dyDescent="0.25">
      <c r="C3958" s="26">
        <v>3956</v>
      </c>
    </row>
    <row r="3959" spans="3:3" x14ac:dyDescent="0.25">
      <c r="C3959" s="26">
        <v>3957</v>
      </c>
    </row>
    <row r="3960" spans="3:3" x14ac:dyDescent="0.25">
      <c r="C3960" s="26">
        <v>3958</v>
      </c>
    </row>
    <row r="3961" spans="3:3" x14ac:dyDescent="0.25">
      <c r="C3961" s="26">
        <v>3959</v>
      </c>
    </row>
    <row r="3962" spans="3:3" x14ac:dyDescent="0.25">
      <c r="C3962" s="26">
        <v>3960</v>
      </c>
    </row>
    <row r="3963" spans="3:3" x14ac:dyDescent="0.25">
      <c r="C3963" s="26">
        <v>3961</v>
      </c>
    </row>
    <row r="3964" spans="3:3" x14ac:dyDescent="0.25">
      <c r="C3964" s="26">
        <v>3962</v>
      </c>
    </row>
    <row r="3965" spans="3:3" x14ac:dyDescent="0.25">
      <c r="C3965" s="26">
        <v>3963</v>
      </c>
    </row>
    <row r="3966" spans="3:3" x14ac:dyDescent="0.25">
      <c r="C3966" s="26">
        <v>3964</v>
      </c>
    </row>
    <row r="3967" spans="3:3" x14ac:dyDescent="0.25">
      <c r="C3967" s="26">
        <v>3965</v>
      </c>
    </row>
    <row r="3968" spans="3:3" x14ac:dyDescent="0.25">
      <c r="C3968" s="26">
        <v>3966</v>
      </c>
    </row>
    <row r="3969" spans="3:3" x14ac:dyDescent="0.25">
      <c r="C3969" s="26">
        <v>3967</v>
      </c>
    </row>
    <row r="3970" spans="3:3" x14ac:dyDescent="0.25">
      <c r="C3970" s="26">
        <v>3968</v>
      </c>
    </row>
    <row r="3971" spans="3:3" x14ac:dyDescent="0.25">
      <c r="C3971" s="26">
        <v>3969</v>
      </c>
    </row>
    <row r="3972" spans="3:3" x14ac:dyDescent="0.25">
      <c r="C3972" s="26">
        <v>3970</v>
      </c>
    </row>
    <row r="3973" spans="3:3" x14ac:dyDescent="0.25">
      <c r="C3973" s="26">
        <v>3971</v>
      </c>
    </row>
    <row r="3974" spans="3:3" x14ac:dyDescent="0.25">
      <c r="C3974" s="26">
        <v>3972</v>
      </c>
    </row>
    <row r="3975" spans="3:3" x14ac:dyDescent="0.25">
      <c r="C3975" s="26">
        <v>3973</v>
      </c>
    </row>
    <row r="3976" spans="3:3" x14ac:dyDescent="0.25">
      <c r="C3976" s="26">
        <v>3974</v>
      </c>
    </row>
    <row r="3977" spans="3:3" x14ac:dyDescent="0.25">
      <c r="C3977" s="26">
        <v>3975</v>
      </c>
    </row>
    <row r="3978" spans="3:3" x14ac:dyDescent="0.25">
      <c r="C3978" s="26">
        <v>3976</v>
      </c>
    </row>
    <row r="3979" spans="3:3" x14ac:dyDescent="0.25">
      <c r="C3979" s="26">
        <v>3977</v>
      </c>
    </row>
    <row r="3980" spans="3:3" x14ac:dyDescent="0.25">
      <c r="C3980" s="26">
        <v>3978</v>
      </c>
    </row>
    <row r="3981" spans="3:3" x14ac:dyDescent="0.25">
      <c r="C3981" s="26">
        <v>3979</v>
      </c>
    </row>
    <row r="3982" spans="3:3" x14ac:dyDescent="0.25">
      <c r="C3982" s="26">
        <v>3980</v>
      </c>
    </row>
    <row r="3983" spans="3:3" x14ac:dyDescent="0.25">
      <c r="C3983" s="26">
        <v>3981</v>
      </c>
    </row>
    <row r="3984" spans="3:3" x14ac:dyDescent="0.25">
      <c r="C3984" s="26">
        <v>3982</v>
      </c>
    </row>
    <row r="3985" spans="3:3" x14ac:dyDescent="0.25">
      <c r="C3985" s="26">
        <v>3983</v>
      </c>
    </row>
    <row r="3986" spans="3:3" x14ac:dyDescent="0.25">
      <c r="C3986" s="26">
        <v>3984</v>
      </c>
    </row>
    <row r="3987" spans="3:3" x14ac:dyDescent="0.25">
      <c r="C3987" s="26">
        <v>3985</v>
      </c>
    </row>
    <row r="3988" spans="3:3" x14ac:dyDescent="0.25">
      <c r="C3988" s="26">
        <v>3986</v>
      </c>
    </row>
    <row r="3989" spans="3:3" x14ac:dyDescent="0.25">
      <c r="C3989" s="26">
        <v>3987</v>
      </c>
    </row>
    <row r="3990" spans="3:3" x14ac:dyDescent="0.25">
      <c r="C3990" s="26">
        <v>3988</v>
      </c>
    </row>
    <row r="3991" spans="3:3" x14ac:dyDescent="0.25">
      <c r="C3991" s="26">
        <v>3989</v>
      </c>
    </row>
    <row r="3992" spans="3:3" x14ac:dyDescent="0.25">
      <c r="C3992" s="26">
        <v>3990</v>
      </c>
    </row>
    <row r="3993" spans="3:3" x14ac:dyDescent="0.25">
      <c r="C3993" s="26">
        <v>3991</v>
      </c>
    </row>
    <row r="3994" spans="3:3" x14ac:dyDescent="0.25">
      <c r="C3994" s="26">
        <v>3992</v>
      </c>
    </row>
    <row r="3995" spans="3:3" x14ac:dyDescent="0.25">
      <c r="C3995" s="26">
        <v>3993</v>
      </c>
    </row>
    <row r="3996" spans="3:3" x14ac:dyDescent="0.25">
      <c r="C3996" s="26">
        <v>3994</v>
      </c>
    </row>
    <row r="3997" spans="3:3" x14ac:dyDescent="0.25">
      <c r="C3997" s="26">
        <v>3995</v>
      </c>
    </row>
    <row r="3998" spans="3:3" x14ac:dyDescent="0.25">
      <c r="C3998" s="26">
        <v>3996</v>
      </c>
    </row>
    <row r="3999" spans="3:3" x14ac:dyDescent="0.25">
      <c r="C3999" s="26">
        <v>3997</v>
      </c>
    </row>
    <row r="4000" spans="3:3" x14ac:dyDescent="0.25">
      <c r="C4000" s="26">
        <v>3998</v>
      </c>
    </row>
    <row r="4001" spans="3:3" x14ac:dyDescent="0.25">
      <c r="C4001" s="26">
        <v>3999</v>
      </c>
    </row>
    <row r="4002" spans="3:3" x14ac:dyDescent="0.25">
      <c r="C4002" s="26">
        <v>4000</v>
      </c>
    </row>
    <row r="4003" spans="3:3" x14ac:dyDescent="0.25">
      <c r="C4003" s="26">
        <v>4001</v>
      </c>
    </row>
    <row r="4004" spans="3:3" x14ac:dyDescent="0.25">
      <c r="C4004" s="26">
        <v>4002</v>
      </c>
    </row>
    <row r="4005" spans="3:3" x14ac:dyDescent="0.25">
      <c r="C4005" s="26">
        <v>4003</v>
      </c>
    </row>
    <row r="4006" spans="3:3" x14ac:dyDescent="0.25">
      <c r="C4006" s="26">
        <v>4004</v>
      </c>
    </row>
    <row r="4007" spans="3:3" x14ac:dyDescent="0.25">
      <c r="C4007" s="26">
        <v>4005</v>
      </c>
    </row>
    <row r="4008" spans="3:3" x14ac:dyDescent="0.25">
      <c r="C4008" s="26">
        <v>4006</v>
      </c>
    </row>
    <row r="4009" spans="3:3" x14ac:dyDescent="0.25">
      <c r="C4009" s="26">
        <v>4007</v>
      </c>
    </row>
    <row r="4010" spans="3:3" x14ac:dyDescent="0.25">
      <c r="C4010" s="26">
        <v>4008</v>
      </c>
    </row>
    <row r="4011" spans="3:3" x14ac:dyDescent="0.25">
      <c r="C4011" s="26">
        <v>4009</v>
      </c>
    </row>
    <row r="4012" spans="3:3" x14ac:dyDescent="0.25">
      <c r="C4012" s="26">
        <v>4010</v>
      </c>
    </row>
    <row r="4013" spans="3:3" x14ac:dyDescent="0.25">
      <c r="C4013" s="26">
        <v>4011</v>
      </c>
    </row>
    <row r="4014" spans="3:3" x14ac:dyDescent="0.25">
      <c r="C4014" s="26">
        <v>4012</v>
      </c>
    </row>
    <row r="4015" spans="3:3" x14ac:dyDescent="0.25">
      <c r="C4015" s="26">
        <v>4013</v>
      </c>
    </row>
    <row r="4016" spans="3:3" x14ac:dyDescent="0.25">
      <c r="C4016" s="26">
        <v>4014</v>
      </c>
    </row>
    <row r="4017" spans="3:3" x14ac:dyDescent="0.25">
      <c r="C4017" s="26">
        <v>4015</v>
      </c>
    </row>
    <row r="4018" spans="3:3" x14ac:dyDescent="0.25">
      <c r="C4018" s="26">
        <v>4016</v>
      </c>
    </row>
    <row r="4019" spans="3:3" x14ac:dyDescent="0.25">
      <c r="C4019" s="26">
        <v>4017</v>
      </c>
    </row>
    <row r="4020" spans="3:3" x14ac:dyDescent="0.25">
      <c r="C4020" s="26">
        <v>4018</v>
      </c>
    </row>
    <row r="4021" spans="3:3" x14ac:dyDescent="0.25">
      <c r="C4021" s="26">
        <v>4019</v>
      </c>
    </row>
    <row r="4022" spans="3:3" x14ac:dyDescent="0.25">
      <c r="C4022" s="26">
        <v>4020</v>
      </c>
    </row>
    <row r="4023" spans="3:3" x14ac:dyDescent="0.25">
      <c r="C4023" s="26">
        <v>4021</v>
      </c>
    </row>
    <row r="4024" spans="3:3" x14ac:dyDescent="0.25">
      <c r="C4024" s="26">
        <v>4022</v>
      </c>
    </row>
    <row r="4025" spans="3:3" x14ac:dyDescent="0.25">
      <c r="C4025" s="26">
        <v>4023</v>
      </c>
    </row>
    <row r="4026" spans="3:3" x14ac:dyDescent="0.25">
      <c r="C4026" s="26">
        <v>4024</v>
      </c>
    </row>
    <row r="4027" spans="3:3" x14ac:dyDescent="0.25">
      <c r="C4027" s="26">
        <v>4025</v>
      </c>
    </row>
    <row r="4028" spans="3:3" x14ac:dyDescent="0.25">
      <c r="C4028" s="26">
        <v>4026</v>
      </c>
    </row>
    <row r="4029" spans="3:3" x14ac:dyDescent="0.25">
      <c r="C4029" s="26">
        <v>4027</v>
      </c>
    </row>
    <row r="4030" spans="3:3" x14ac:dyDescent="0.25">
      <c r="C4030" s="26">
        <v>4028</v>
      </c>
    </row>
    <row r="4031" spans="3:3" x14ac:dyDescent="0.25">
      <c r="C4031" s="26">
        <v>4029</v>
      </c>
    </row>
    <row r="4032" spans="3:3" x14ac:dyDescent="0.25">
      <c r="C4032" s="26">
        <v>4030</v>
      </c>
    </row>
    <row r="4033" spans="3:3" x14ac:dyDescent="0.25">
      <c r="C4033" s="26">
        <v>4031</v>
      </c>
    </row>
    <row r="4034" spans="3:3" x14ac:dyDescent="0.25">
      <c r="C4034" s="26">
        <v>4032</v>
      </c>
    </row>
    <row r="4035" spans="3:3" x14ac:dyDescent="0.25">
      <c r="C4035" s="26">
        <v>4033</v>
      </c>
    </row>
    <row r="4036" spans="3:3" x14ac:dyDescent="0.25">
      <c r="C4036" s="26">
        <v>4034</v>
      </c>
    </row>
    <row r="4037" spans="3:3" x14ac:dyDescent="0.25">
      <c r="C4037" s="26">
        <v>4035</v>
      </c>
    </row>
    <row r="4038" spans="3:3" x14ac:dyDescent="0.25">
      <c r="C4038" s="26">
        <v>4036</v>
      </c>
    </row>
    <row r="4039" spans="3:3" x14ac:dyDescent="0.25">
      <c r="C4039" s="26">
        <v>4037</v>
      </c>
    </row>
    <row r="4040" spans="3:3" x14ac:dyDescent="0.25">
      <c r="C4040" s="26">
        <v>4038</v>
      </c>
    </row>
    <row r="4041" spans="3:3" x14ac:dyDescent="0.25">
      <c r="C4041" s="26">
        <v>4039</v>
      </c>
    </row>
    <row r="4042" spans="3:3" x14ac:dyDescent="0.25">
      <c r="C4042" s="26">
        <v>4040</v>
      </c>
    </row>
    <row r="4043" spans="3:3" x14ac:dyDescent="0.25">
      <c r="C4043" s="26">
        <v>4041</v>
      </c>
    </row>
    <row r="4044" spans="3:3" x14ac:dyDescent="0.25">
      <c r="C4044" s="26">
        <v>4042</v>
      </c>
    </row>
    <row r="4045" spans="3:3" x14ac:dyDescent="0.25">
      <c r="C4045" s="26">
        <v>4043</v>
      </c>
    </row>
    <row r="4046" spans="3:3" x14ac:dyDescent="0.25">
      <c r="C4046" s="26">
        <v>4044</v>
      </c>
    </row>
    <row r="4047" spans="3:3" x14ac:dyDescent="0.25">
      <c r="C4047" s="26">
        <v>4045</v>
      </c>
    </row>
    <row r="4048" spans="3:3" x14ac:dyDescent="0.25">
      <c r="C4048" s="26">
        <v>4046</v>
      </c>
    </row>
    <row r="4049" spans="3:3" x14ac:dyDescent="0.25">
      <c r="C4049" s="26">
        <v>4047</v>
      </c>
    </row>
    <row r="4050" spans="3:3" x14ac:dyDescent="0.25">
      <c r="C4050" s="26">
        <v>4048</v>
      </c>
    </row>
    <row r="4051" spans="3:3" x14ac:dyDescent="0.25">
      <c r="C4051" s="26">
        <v>4049</v>
      </c>
    </row>
    <row r="4052" spans="3:3" x14ac:dyDescent="0.25">
      <c r="C4052" s="26">
        <v>4050</v>
      </c>
    </row>
    <row r="4053" spans="3:3" x14ac:dyDescent="0.25">
      <c r="C4053" s="26">
        <v>4051</v>
      </c>
    </row>
    <row r="4054" spans="3:3" x14ac:dyDescent="0.25">
      <c r="C4054" s="26">
        <v>4052</v>
      </c>
    </row>
    <row r="4055" spans="3:3" x14ac:dyDescent="0.25">
      <c r="C4055" s="26">
        <v>4053</v>
      </c>
    </row>
    <row r="4056" spans="3:3" x14ac:dyDescent="0.25">
      <c r="C4056" s="26">
        <v>4054</v>
      </c>
    </row>
    <row r="4057" spans="3:3" x14ac:dyDescent="0.25">
      <c r="C4057" s="26">
        <v>4055</v>
      </c>
    </row>
    <row r="4058" spans="3:3" x14ac:dyDescent="0.25">
      <c r="C4058" s="26">
        <v>4056</v>
      </c>
    </row>
    <row r="4059" spans="3:3" x14ac:dyDescent="0.25">
      <c r="C4059" s="26">
        <v>4057</v>
      </c>
    </row>
    <row r="4060" spans="3:3" x14ac:dyDescent="0.25">
      <c r="C4060" s="26">
        <v>4058</v>
      </c>
    </row>
    <row r="4061" spans="3:3" x14ac:dyDescent="0.25">
      <c r="C4061" s="26">
        <v>4059</v>
      </c>
    </row>
    <row r="4062" spans="3:3" x14ac:dyDescent="0.25">
      <c r="C4062" s="26">
        <v>4060</v>
      </c>
    </row>
    <row r="4063" spans="3:3" x14ac:dyDescent="0.25">
      <c r="C4063" s="26">
        <v>4061</v>
      </c>
    </row>
    <row r="4064" spans="3:3" x14ac:dyDescent="0.25">
      <c r="C4064" s="26">
        <v>4062</v>
      </c>
    </row>
    <row r="4065" spans="3:3" x14ac:dyDescent="0.25">
      <c r="C4065" s="26">
        <v>4063</v>
      </c>
    </row>
    <row r="4066" spans="3:3" x14ac:dyDescent="0.25">
      <c r="C4066" s="26">
        <v>4064</v>
      </c>
    </row>
    <row r="4067" spans="3:3" x14ac:dyDescent="0.25">
      <c r="C4067" s="26">
        <v>4065</v>
      </c>
    </row>
    <row r="4068" spans="3:3" x14ac:dyDescent="0.25">
      <c r="C4068" s="26">
        <v>4066</v>
      </c>
    </row>
    <row r="4069" spans="3:3" x14ac:dyDescent="0.25">
      <c r="C4069" s="26">
        <v>4067</v>
      </c>
    </row>
    <row r="4070" spans="3:3" x14ac:dyDescent="0.25">
      <c r="C4070" s="26">
        <v>4068</v>
      </c>
    </row>
    <row r="4071" spans="3:3" x14ac:dyDescent="0.25">
      <c r="C4071" s="26">
        <v>4069</v>
      </c>
    </row>
    <row r="4072" spans="3:3" x14ac:dyDescent="0.25">
      <c r="C4072" s="26">
        <v>4070</v>
      </c>
    </row>
    <row r="4073" spans="3:3" x14ac:dyDescent="0.25">
      <c r="C4073" s="26">
        <v>4071</v>
      </c>
    </row>
    <row r="4074" spans="3:3" x14ac:dyDescent="0.25">
      <c r="C4074" s="26">
        <v>4072</v>
      </c>
    </row>
    <row r="4075" spans="3:3" x14ac:dyDescent="0.25">
      <c r="C4075" s="26">
        <v>4073</v>
      </c>
    </row>
    <row r="4076" spans="3:3" x14ac:dyDescent="0.25">
      <c r="C4076" s="26">
        <v>4074</v>
      </c>
    </row>
    <row r="4077" spans="3:3" x14ac:dyDescent="0.25">
      <c r="C4077" s="26">
        <v>4075</v>
      </c>
    </row>
    <row r="4078" spans="3:3" x14ac:dyDescent="0.25">
      <c r="C4078" s="26">
        <v>4076</v>
      </c>
    </row>
    <row r="4079" spans="3:3" x14ac:dyDescent="0.25">
      <c r="C4079" s="26">
        <v>4077</v>
      </c>
    </row>
    <row r="4080" spans="3:3" x14ac:dyDescent="0.25">
      <c r="C4080" s="26">
        <v>4078</v>
      </c>
    </row>
    <row r="4081" spans="3:3" x14ac:dyDescent="0.25">
      <c r="C4081" s="26">
        <v>4079</v>
      </c>
    </row>
    <row r="4082" spans="3:3" x14ac:dyDescent="0.25">
      <c r="C4082" s="26">
        <v>4080</v>
      </c>
    </row>
    <row r="4083" spans="3:3" x14ac:dyDescent="0.25">
      <c r="C4083" s="26">
        <v>4081</v>
      </c>
    </row>
    <row r="4084" spans="3:3" x14ac:dyDescent="0.25">
      <c r="C4084" s="26">
        <v>4082</v>
      </c>
    </row>
    <row r="4085" spans="3:3" x14ac:dyDescent="0.25">
      <c r="C4085" s="26">
        <v>4083</v>
      </c>
    </row>
    <row r="4086" spans="3:3" x14ac:dyDescent="0.25">
      <c r="C4086" s="26">
        <v>4084</v>
      </c>
    </row>
    <row r="4087" spans="3:3" x14ac:dyDescent="0.25">
      <c r="C4087" s="26">
        <v>4085</v>
      </c>
    </row>
    <row r="4088" spans="3:3" x14ac:dyDescent="0.25">
      <c r="C4088" s="26">
        <v>4086</v>
      </c>
    </row>
    <row r="4089" spans="3:3" x14ac:dyDescent="0.25">
      <c r="C4089" s="26">
        <v>4087</v>
      </c>
    </row>
    <row r="4090" spans="3:3" x14ac:dyDescent="0.25">
      <c r="C4090" s="26">
        <v>4088</v>
      </c>
    </row>
    <row r="4091" spans="3:3" x14ac:dyDescent="0.25">
      <c r="C4091" s="26">
        <v>4089</v>
      </c>
    </row>
    <row r="4092" spans="3:3" x14ac:dyDescent="0.25">
      <c r="C4092" s="26">
        <v>4090</v>
      </c>
    </row>
    <row r="4093" spans="3:3" x14ac:dyDescent="0.25">
      <c r="C4093" s="26">
        <v>4091</v>
      </c>
    </row>
    <row r="4094" spans="3:3" x14ac:dyDescent="0.25">
      <c r="C4094" s="26">
        <v>4092</v>
      </c>
    </row>
    <row r="4095" spans="3:3" x14ac:dyDescent="0.25">
      <c r="C4095" s="26">
        <v>4093</v>
      </c>
    </row>
    <row r="4096" spans="3:3" x14ac:dyDescent="0.25">
      <c r="C4096" s="26">
        <v>4094</v>
      </c>
    </row>
    <row r="4097" spans="3:3" x14ac:dyDescent="0.25">
      <c r="C4097" s="26">
        <v>4095</v>
      </c>
    </row>
    <row r="4098" spans="3:3" x14ac:dyDescent="0.25">
      <c r="C4098" s="26">
        <v>4096</v>
      </c>
    </row>
    <row r="4099" spans="3:3" x14ac:dyDescent="0.25">
      <c r="C4099" s="26">
        <v>4097</v>
      </c>
    </row>
    <row r="4100" spans="3:3" x14ac:dyDescent="0.25">
      <c r="C4100" s="26">
        <v>4098</v>
      </c>
    </row>
    <row r="4101" spans="3:3" x14ac:dyDescent="0.25">
      <c r="C4101" s="26">
        <v>4099</v>
      </c>
    </row>
    <row r="4102" spans="3:3" x14ac:dyDescent="0.25">
      <c r="C4102" s="26">
        <v>4100</v>
      </c>
    </row>
    <row r="4103" spans="3:3" x14ac:dyDescent="0.25">
      <c r="C4103" s="26">
        <v>4101</v>
      </c>
    </row>
    <row r="4104" spans="3:3" x14ac:dyDescent="0.25">
      <c r="C4104" s="26">
        <v>4102</v>
      </c>
    </row>
    <row r="4105" spans="3:3" x14ac:dyDescent="0.25">
      <c r="C4105" s="26">
        <v>4103</v>
      </c>
    </row>
    <row r="4106" spans="3:3" x14ac:dyDescent="0.25">
      <c r="C4106" s="26">
        <v>4104</v>
      </c>
    </row>
    <row r="4107" spans="3:3" x14ac:dyDescent="0.25">
      <c r="C4107" s="26">
        <v>4105</v>
      </c>
    </row>
    <row r="4108" spans="3:3" x14ac:dyDescent="0.25">
      <c r="C4108" s="26">
        <v>4106</v>
      </c>
    </row>
    <row r="4109" spans="3:3" x14ac:dyDescent="0.25">
      <c r="C4109" s="26">
        <v>4107</v>
      </c>
    </row>
    <row r="4110" spans="3:3" x14ac:dyDescent="0.25">
      <c r="C4110" s="26">
        <v>4108</v>
      </c>
    </row>
    <row r="4111" spans="3:3" x14ac:dyDescent="0.25">
      <c r="C4111" s="26">
        <v>4109</v>
      </c>
    </row>
    <row r="4112" spans="3:3" x14ac:dyDescent="0.25">
      <c r="C4112" s="26">
        <v>4110</v>
      </c>
    </row>
    <row r="4113" spans="3:3" x14ac:dyDescent="0.25">
      <c r="C4113" s="26">
        <v>4111</v>
      </c>
    </row>
    <row r="4114" spans="3:3" x14ac:dyDescent="0.25">
      <c r="C4114" s="26">
        <v>4112</v>
      </c>
    </row>
    <row r="4115" spans="3:3" x14ac:dyDescent="0.25">
      <c r="C4115" s="26">
        <v>4113</v>
      </c>
    </row>
    <row r="4116" spans="3:3" x14ac:dyDescent="0.25">
      <c r="C4116" s="26">
        <v>4114</v>
      </c>
    </row>
    <row r="4117" spans="3:3" x14ac:dyDescent="0.25">
      <c r="C4117" s="26">
        <v>4115</v>
      </c>
    </row>
    <row r="4118" spans="3:3" x14ac:dyDescent="0.25">
      <c r="C4118" s="26">
        <v>4116</v>
      </c>
    </row>
    <row r="4119" spans="3:3" x14ac:dyDescent="0.25">
      <c r="C4119" s="26">
        <v>4117</v>
      </c>
    </row>
    <row r="4120" spans="3:3" x14ac:dyDescent="0.25">
      <c r="C4120" s="26">
        <v>4118</v>
      </c>
    </row>
    <row r="4121" spans="3:3" x14ac:dyDescent="0.25">
      <c r="C4121" s="26">
        <v>4119</v>
      </c>
    </row>
    <row r="4122" spans="3:3" x14ac:dyDescent="0.25">
      <c r="C4122" s="26">
        <v>4120</v>
      </c>
    </row>
    <row r="4123" spans="3:3" x14ac:dyDescent="0.25">
      <c r="C4123" s="26">
        <v>4121</v>
      </c>
    </row>
    <row r="4124" spans="3:3" x14ac:dyDescent="0.25">
      <c r="C4124" s="26">
        <v>4122</v>
      </c>
    </row>
    <row r="4125" spans="3:3" x14ac:dyDescent="0.25">
      <c r="C4125" s="26">
        <v>4123</v>
      </c>
    </row>
    <row r="4126" spans="3:3" x14ac:dyDescent="0.25">
      <c r="C4126" s="26">
        <v>4124</v>
      </c>
    </row>
    <row r="4127" spans="3:3" x14ac:dyDescent="0.25">
      <c r="C4127" s="26">
        <v>4125</v>
      </c>
    </row>
    <row r="4128" spans="3:3" x14ac:dyDescent="0.25">
      <c r="C4128" s="26">
        <v>4126</v>
      </c>
    </row>
    <row r="4129" spans="3:3" x14ac:dyDescent="0.25">
      <c r="C4129" s="26">
        <v>4127</v>
      </c>
    </row>
    <row r="4130" spans="3:3" x14ac:dyDescent="0.25">
      <c r="C4130" s="26">
        <v>4128</v>
      </c>
    </row>
    <row r="4131" spans="3:3" x14ac:dyDescent="0.25">
      <c r="C4131" s="26">
        <v>4129</v>
      </c>
    </row>
    <row r="4132" spans="3:3" x14ac:dyDescent="0.25">
      <c r="C4132" s="26">
        <v>4130</v>
      </c>
    </row>
    <row r="4133" spans="3:3" x14ac:dyDescent="0.25">
      <c r="C4133" s="26">
        <v>4131</v>
      </c>
    </row>
    <row r="4134" spans="3:3" x14ac:dyDescent="0.25">
      <c r="C4134" s="26">
        <v>4132</v>
      </c>
    </row>
    <row r="4135" spans="3:3" x14ac:dyDescent="0.25">
      <c r="C4135" s="26">
        <v>4133</v>
      </c>
    </row>
    <row r="4136" spans="3:3" x14ac:dyDescent="0.25">
      <c r="C4136" s="26">
        <v>4134</v>
      </c>
    </row>
    <row r="4137" spans="3:3" x14ac:dyDescent="0.25">
      <c r="C4137" s="26">
        <v>4135</v>
      </c>
    </row>
    <row r="4138" spans="3:3" x14ac:dyDescent="0.25">
      <c r="C4138" s="26">
        <v>4136</v>
      </c>
    </row>
    <row r="4139" spans="3:3" x14ac:dyDescent="0.25">
      <c r="C4139" s="26">
        <v>4137</v>
      </c>
    </row>
    <row r="4140" spans="3:3" x14ac:dyDescent="0.25">
      <c r="C4140" s="26">
        <v>4138</v>
      </c>
    </row>
    <row r="4141" spans="3:3" x14ac:dyDescent="0.25">
      <c r="C4141" s="26">
        <v>4139</v>
      </c>
    </row>
    <row r="4142" spans="3:3" x14ac:dyDescent="0.25">
      <c r="C4142" s="26">
        <v>4140</v>
      </c>
    </row>
    <row r="4143" spans="3:3" x14ac:dyDescent="0.25">
      <c r="C4143" s="26">
        <v>4141</v>
      </c>
    </row>
    <row r="4144" spans="3:3" x14ac:dyDescent="0.25">
      <c r="C4144" s="26">
        <v>4142</v>
      </c>
    </row>
    <row r="4145" spans="3:3" x14ac:dyDescent="0.25">
      <c r="C4145" s="26">
        <v>4143</v>
      </c>
    </row>
    <row r="4146" spans="3:3" x14ac:dyDescent="0.25">
      <c r="C4146" s="26">
        <v>4144</v>
      </c>
    </row>
    <row r="4147" spans="3:3" x14ac:dyDescent="0.25">
      <c r="C4147" s="26">
        <v>4145</v>
      </c>
    </row>
    <row r="4148" spans="3:3" x14ac:dyDescent="0.25">
      <c r="C4148" s="26">
        <v>4146</v>
      </c>
    </row>
    <row r="4149" spans="3:3" x14ac:dyDescent="0.25">
      <c r="C4149" s="26">
        <v>4147</v>
      </c>
    </row>
    <row r="4150" spans="3:3" x14ac:dyDescent="0.25">
      <c r="C4150" s="26">
        <v>4148</v>
      </c>
    </row>
    <row r="4151" spans="3:3" x14ac:dyDescent="0.25">
      <c r="C4151" s="26">
        <v>4149</v>
      </c>
    </row>
    <row r="4152" spans="3:3" x14ac:dyDescent="0.25">
      <c r="C4152" s="26">
        <v>4150</v>
      </c>
    </row>
    <row r="4153" spans="3:3" x14ac:dyDescent="0.25">
      <c r="C4153" s="26">
        <v>4151</v>
      </c>
    </row>
    <row r="4154" spans="3:3" x14ac:dyDescent="0.25">
      <c r="C4154" s="26">
        <v>4152</v>
      </c>
    </row>
    <row r="4155" spans="3:3" x14ac:dyDescent="0.25">
      <c r="C4155" s="26">
        <v>4153</v>
      </c>
    </row>
    <row r="4156" spans="3:3" x14ac:dyDescent="0.25">
      <c r="C4156" s="26">
        <v>4154</v>
      </c>
    </row>
    <row r="4157" spans="3:3" x14ac:dyDescent="0.25">
      <c r="C4157" s="26">
        <v>4155</v>
      </c>
    </row>
    <row r="4158" spans="3:3" x14ac:dyDescent="0.25">
      <c r="C4158" s="26">
        <v>4156</v>
      </c>
    </row>
    <row r="4159" spans="3:3" x14ac:dyDescent="0.25">
      <c r="C4159" s="26">
        <v>4157</v>
      </c>
    </row>
    <row r="4160" spans="3:3" x14ac:dyDescent="0.25">
      <c r="C4160" s="26">
        <v>4158</v>
      </c>
    </row>
    <row r="4161" spans="3:3" x14ac:dyDescent="0.25">
      <c r="C4161" s="26">
        <v>4159</v>
      </c>
    </row>
    <row r="4162" spans="3:3" x14ac:dyDescent="0.25">
      <c r="C4162" s="26">
        <v>4160</v>
      </c>
    </row>
    <row r="4163" spans="3:3" x14ac:dyDescent="0.25">
      <c r="C4163" s="26">
        <v>4161</v>
      </c>
    </row>
    <row r="4164" spans="3:3" x14ac:dyDescent="0.25">
      <c r="C4164" s="26">
        <v>4162</v>
      </c>
    </row>
    <row r="4165" spans="3:3" x14ac:dyDescent="0.25">
      <c r="C4165" s="26">
        <v>4163</v>
      </c>
    </row>
    <row r="4166" spans="3:3" x14ac:dyDescent="0.25">
      <c r="C4166" s="26">
        <v>4164</v>
      </c>
    </row>
    <row r="4167" spans="3:3" x14ac:dyDescent="0.25">
      <c r="C4167" s="26">
        <v>4165</v>
      </c>
    </row>
    <row r="4168" spans="3:3" x14ac:dyDescent="0.25">
      <c r="C4168" s="26">
        <v>4166</v>
      </c>
    </row>
    <row r="4169" spans="3:3" x14ac:dyDescent="0.25">
      <c r="C4169" s="26">
        <v>4167</v>
      </c>
    </row>
    <row r="4170" spans="3:3" x14ac:dyDescent="0.25">
      <c r="C4170" s="26">
        <v>4168</v>
      </c>
    </row>
    <row r="4171" spans="3:3" x14ac:dyDescent="0.25">
      <c r="C4171" s="26">
        <v>4169</v>
      </c>
    </row>
    <row r="4172" spans="3:3" x14ac:dyDescent="0.25">
      <c r="C4172" s="26">
        <v>4170</v>
      </c>
    </row>
    <row r="4173" spans="3:3" x14ac:dyDescent="0.25">
      <c r="C4173" s="26">
        <v>4171</v>
      </c>
    </row>
    <row r="4174" spans="3:3" x14ac:dyDescent="0.25">
      <c r="C4174" s="26">
        <v>4172</v>
      </c>
    </row>
    <row r="4175" spans="3:3" x14ac:dyDescent="0.25">
      <c r="C4175" s="26">
        <v>4173</v>
      </c>
    </row>
    <row r="4176" spans="3:3" x14ac:dyDescent="0.25">
      <c r="C4176" s="26">
        <v>4174</v>
      </c>
    </row>
    <row r="4177" spans="3:3" x14ac:dyDescent="0.25">
      <c r="C4177" s="26">
        <v>4175</v>
      </c>
    </row>
    <row r="4178" spans="3:3" x14ac:dyDescent="0.25">
      <c r="C4178" s="26">
        <v>4176</v>
      </c>
    </row>
    <row r="4179" spans="3:3" x14ac:dyDescent="0.25">
      <c r="C4179" s="26">
        <v>4177</v>
      </c>
    </row>
    <row r="4180" spans="3:3" x14ac:dyDescent="0.25">
      <c r="C4180" s="26">
        <v>4178</v>
      </c>
    </row>
    <row r="4181" spans="3:3" x14ac:dyDescent="0.25">
      <c r="C4181" s="26">
        <v>4179</v>
      </c>
    </row>
    <row r="4182" spans="3:3" x14ac:dyDescent="0.25">
      <c r="C4182" s="26">
        <v>4180</v>
      </c>
    </row>
    <row r="4183" spans="3:3" x14ac:dyDescent="0.25">
      <c r="C4183" s="26">
        <v>4181</v>
      </c>
    </row>
    <row r="4184" spans="3:3" x14ac:dyDescent="0.25">
      <c r="C4184" s="26">
        <v>4182</v>
      </c>
    </row>
    <row r="4185" spans="3:3" x14ac:dyDescent="0.25">
      <c r="C4185" s="26">
        <v>4183</v>
      </c>
    </row>
    <row r="4186" spans="3:3" x14ac:dyDescent="0.25">
      <c r="C4186" s="26">
        <v>4184</v>
      </c>
    </row>
    <row r="4187" spans="3:3" x14ac:dyDescent="0.25">
      <c r="C4187" s="26">
        <v>4185</v>
      </c>
    </row>
    <row r="4188" spans="3:3" x14ac:dyDescent="0.25">
      <c r="C4188" s="26">
        <v>4186</v>
      </c>
    </row>
    <row r="4189" spans="3:3" x14ac:dyDescent="0.25">
      <c r="C4189" s="26">
        <v>4187</v>
      </c>
    </row>
    <row r="4190" spans="3:3" x14ac:dyDescent="0.25">
      <c r="C4190" s="26">
        <v>4188</v>
      </c>
    </row>
    <row r="4191" spans="3:3" x14ac:dyDescent="0.25">
      <c r="C4191" s="26">
        <v>4189</v>
      </c>
    </row>
    <row r="4192" spans="3:3" x14ac:dyDescent="0.25">
      <c r="C4192" s="26">
        <v>4190</v>
      </c>
    </row>
    <row r="4193" spans="3:3" x14ac:dyDescent="0.25">
      <c r="C4193" s="26">
        <v>4191</v>
      </c>
    </row>
    <row r="4194" spans="3:3" x14ac:dyDescent="0.25">
      <c r="C4194" s="26">
        <v>4192</v>
      </c>
    </row>
    <row r="4195" spans="3:3" x14ac:dyDescent="0.25">
      <c r="C4195" s="26">
        <v>4193</v>
      </c>
    </row>
    <row r="4196" spans="3:3" x14ac:dyDescent="0.25">
      <c r="C4196" s="26">
        <v>4194</v>
      </c>
    </row>
    <row r="4197" spans="3:3" x14ac:dyDescent="0.25">
      <c r="C4197" s="26">
        <v>4195</v>
      </c>
    </row>
    <row r="4198" spans="3:3" x14ac:dyDescent="0.25">
      <c r="C4198" s="26">
        <v>4196</v>
      </c>
    </row>
    <row r="4199" spans="3:3" x14ac:dyDescent="0.25">
      <c r="C4199" s="26">
        <v>4197</v>
      </c>
    </row>
    <row r="4200" spans="3:3" x14ac:dyDescent="0.25">
      <c r="C4200" s="26">
        <v>4198</v>
      </c>
    </row>
    <row r="4201" spans="3:3" x14ac:dyDescent="0.25">
      <c r="C4201" s="26">
        <v>4199</v>
      </c>
    </row>
    <row r="4202" spans="3:3" x14ac:dyDescent="0.25">
      <c r="C4202" s="26">
        <v>4200</v>
      </c>
    </row>
    <row r="4203" spans="3:3" x14ac:dyDescent="0.25">
      <c r="C4203" s="26">
        <v>4201</v>
      </c>
    </row>
    <row r="4204" spans="3:3" x14ac:dyDescent="0.25">
      <c r="C4204" s="26">
        <v>4202</v>
      </c>
    </row>
    <row r="4205" spans="3:3" x14ac:dyDescent="0.25">
      <c r="C4205" s="26">
        <v>4203</v>
      </c>
    </row>
    <row r="4206" spans="3:3" x14ac:dyDescent="0.25">
      <c r="C4206" s="26">
        <v>4204</v>
      </c>
    </row>
    <row r="4207" spans="3:3" x14ac:dyDescent="0.25">
      <c r="C4207" s="26">
        <v>4205</v>
      </c>
    </row>
    <row r="4208" spans="3:3" x14ac:dyDescent="0.25">
      <c r="C4208" s="26">
        <v>4206</v>
      </c>
    </row>
    <row r="4209" spans="3:3" x14ac:dyDescent="0.25">
      <c r="C4209" s="26">
        <v>4207</v>
      </c>
    </row>
    <row r="4210" spans="3:3" x14ac:dyDescent="0.25">
      <c r="C4210" s="26">
        <v>4208</v>
      </c>
    </row>
    <row r="4211" spans="3:3" x14ac:dyDescent="0.25">
      <c r="C4211" s="26">
        <v>4209</v>
      </c>
    </row>
    <row r="4212" spans="3:3" x14ac:dyDescent="0.25">
      <c r="C4212" s="26">
        <v>4210</v>
      </c>
    </row>
    <row r="4213" spans="3:3" x14ac:dyDescent="0.25">
      <c r="C4213" s="26">
        <v>4211</v>
      </c>
    </row>
    <row r="4214" spans="3:3" x14ac:dyDescent="0.25">
      <c r="C4214" s="26">
        <v>4212</v>
      </c>
    </row>
    <row r="4215" spans="3:3" x14ac:dyDescent="0.25">
      <c r="C4215" s="26">
        <v>4213</v>
      </c>
    </row>
    <row r="4216" spans="3:3" x14ac:dyDescent="0.25">
      <c r="C4216" s="26">
        <v>4214</v>
      </c>
    </row>
    <row r="4217" spans="3:3" x14ac:dyDescent="0.25">
      <c r="C4217" s="26">
        <v>4215</v>
      </c>
    </row>
    <row r="4218" spans="3:3" x14ac:dyDescent="0.25">
      <c r="C4218" s="26">
        <v>4216</v>
      </c>
    </row>
    <row r="4219" spans="3:3" x14ac:dyDescent="0.25">
      <c r="C4219" s="26">
        <v>4217</v>
      </c>
    </row>
    <row r="4220" spans="3:3" x14ac:dyDescent="0.25">
      <c r="C4220" s="26">
        <v>4218</v>
      </c>
    </row>
    <row r="4221" spans="3:3" x14ac:dyDescent="0.25">
      <c r="C4221" s="26">
        <v>4219</v>
      </c>
    </row>
    <row r="4222" spans="3:3" x14ac:dyDescent="0.25">
      <c r="C4222" s="26">
        <v>4220</v>
      </c>
    </row>
    <row r="4223" spans="3:3" x14ac:dyDescent="0.25">
      <c r="C4223" s="26">
        <v>4221</v>
      </c>
    </row>
    <row r="4224" spans="3:3" x14ac:dyDescent="0.25">
      <c r="C4224" s="26">
        <v>4222</v>
      </c>
    </row>
    <row r="4225" spans="3:3" x14ac:dyDescent="0.25">
      <c r="C4225" s="26">
        <v>4223</v>
      </c>
    </row>
    <row r="4226" spans="3:3" x14ac:dyDescent="0.25">
      <c r="C4226" s="26">
        <v>4224</v>
      </c>
    </row>
    <row r="4227" spans="3:3" x14ac:dyDescent="0.25">
      <c r="C4227" s="26">
        <v>4225</v>
      </c>
    </row>
    <row r="4228" spans="3:3" x14ac:dyDescent="0.25">
      <c r="C4228" s="26">
        <v>4226</v>
      </c>
    </row>
    <row r="4229" spans="3:3" x14ac:dyDescent="0.25">
      <c r="C4229" s="26">
        <v>4227</v>
      </c>
    </row>
    <row r="4230" spans="3:3" x14ac:dyDescent="0.25">
      <c r="C4230" s="26">
        <v>4228</v>
      </c>
    </row>
    <row r="4231" spans="3:3" x14ac:dyDescent="0.25">
      <c r="C4231" s="26">
        <v>4229</v>
      </c>
    </row>
    <row r="4232" spans="3:3" x14ac:dyDescent="0.25">
      <c r="C4232" s="26">
        <v>4230</v>
      </c>
    </row>
    <row r="4233" spans="3:3" x14ac:dyDescent="0.25">
      <c r="C4233" s="26">
        <v>4231</v>
      </c>
    </row>
    <row r="4234" spans="3:3" x14ac:dyDescent="0.25">
      <c r="C4234" s="26">
        <v>4232</v>
      </c>
    </row>
    <row r="4235" spans="3:3" x14ac:dyDescent="0.25">
      <c r="C4235" s="26">
        <v>4233</v>
      </c>
    </row>
    <row r="4236" spans="3:3" x14ac:dyDescent="0.25">
      <c r="C4236" s="26">
        <v>4234</v>
      </c>
    </row>
    <row r="4237" spans="3:3" x14ac:dyDescent="0.25">
      <c r="C4237" s="26">
        <v>4235</v>
      </c>
    </row>
    <row r="4238" spans="3:3" x14ac:dyDescent="0.25">
      <c r="C4238" s="26">
        <v>4236</v>
      </c>
    </row>
    <row r="4239" spans="3:3" x14ac:dyDescent="0.25">
      <c r="C4239" s="26">
        <v>4237</v>
      </c>
    </row>
    <row r="4240" spans="3:3" x14ac:dyDescent="0.25">
      <c r="C4240" s="26">
        <v>4238</v>
      </c>
    </row>
    <row r="4241" spans="3:3" x14ac:dyDescent="0.25">
      <c r="C4241" s="26">
        <v>4239</v>
      </c>
    </row>
    <row r="4242" spans="3:3" x14ac:dyDescent="0.25">
      <c r="C4242" s="26">
        <v>4240</v>
      </c>
    </row>
    <row r="4243" spans="3:3" x14ac:dyDescent="0.25">
      <c r="C4243" s="26">
        <v>4241</v>
      </c>
    </row>
    <row r="4244" spans="3:3" x14ac:dyDescent="0.25">
      <c r="C4244" s="26">
        <v>4242</v>
      </c>
    </row>
    <row r="4245" spans="3:3" x14ac:dyDescent="0.25">
      <c r="C4245" s="26">
        <v>4243</v>
      </c>
    </row>
    <row r="4246" spans="3:3" x14ac:dyDescent="0.25">
      <c r="C4246" s="26">
        <v>4244</v>
      </c>
    </row>
    <row r="4247" spans="3:3" x14ac:dyDescent="0.25">
      <c r="C4247" s="26">
        <v>4245</v>
      </c>
    </row>
    <row r="4248" spans="3:3" x14ac:dyDescent="0.25">
      <c r="C4248" s="26">
        <v>4246</v>
      </c>
    </row>
    <row r="4249" spans="3:3" x14ac:dyDescent="0.25">
      <c r="C4249" s="26">
        <v>4247</v>
      </c>
    </row>
    <row r="4250" spans="3:3" x14ac:dyDescent="0.25">
      <c r="C4250" s="26">
        <v>4248</v>
      </c>
    </row>
    <row r="4251" spans="3:3" x14ac:dyDescent="0.25">
      <c r="C4251" s="26">
        <v>4249</v>
      </c>
    </row>
    <row r="4252" spans="3:3" x14ac:dyDescent="0.25">
      <c r="C4252" s="26">
        <v>4250</v>
      </c>
    </row>
    <row r="4253" spans="3:3" x14ac:dyDescent="0.25">
      <c r="C4253" s="26">
        <v>4251</v>
      </c>
    </row>
    <row r="4254" spans="3:3" x14ac:dyDescent="0.25">
      <c r="C4254" s="26">
        <v>4252</v>
      </c>
    </row>
    <row r="4255" spans="3:3" x14ac:dyDescent="0.25">
      <c r="C4255" s="26">
        <v>4253</v>
      </c>
    </row>
    <row r="4256" spans="3:3" x14ac:dyDescent="0.25">
      <c r="C4256" s="26">
        <v>4254</v>
      </c>
    </row>
    <row r="4257" spans="3:3" x14ac:dyDescent="0.25">
      <c r="C4257" s="26">
        <v>4255</v>
      </c>
    </row>
    <row r="4258" spans="3:3" x14ac:dyDescent="0.25">
      <c r="C4258" s="26">
        <v>4256</v>
      </c>
    </row>
    <row r="4259" spans="3:3" x14ac:dyDescent="0.25">
      <c r="C4259" s="26">
        <v>4257</v>
      </c>
    </row>
    <row r="4260" spans="3:3" x14ac:dyDescent="0.25">
      <c r="C4260" s="26">
        <v>4258</v>
      </c>
    </row>
    <row r="4261" spans="3:3" x14ac:dyDescent="0.25">
      <c r="C4261" s="26">
        <v>4259</v>
      </c>
    </row>
    <row r="4262" spans="3:3" x14ac:dyDescent="0.25">
      <c r="C4262" s="26">
        <v>4260</v>
      </c>
    </row>
    <row r="4263" spans="3:3" x14ac:dyDescent="0.25">
      <c r="C4263" s="26">
        <v>4261</v>
      </c>
    </row>
    <row r="4264" spans="3:3" x14ac:dyDescent="0.25">
      <c r="C4264" s="26">
        <v>4262</v>
      </c>
    </row>
    <row r="4265" spans="3:3" x14ac:dyDescent="0.25">
      <c r="C4265" s="26">
        <v>4263</v>
      </c>
    </row>
    <row r="4266" spans="3:3" x14ac:dyDescent="0.25">
      <c r="C4266" s="26">
        <v>4264</v>
      </c>
    </row>
    <row r="4267" spans="3:3" x14ac:dyDescent="0.25">
      <c r="C4267" s="26">
        <v>4265</v>
      </c>
    </row>
    <row r="4268" spans="3:3" x14ac:dyDescent="0.25">
      <c r="C4268" s="26">
        <v>4266</v>
      </c>
    </row>
    <row r="4269" spans="3:3" x14ac:dyDescent="0.25">
      <c r="C4269" s="26">
        <v>4267</v>
      </c>
    </row>
    <row r="4270" spans="3:3" x14ac:dyDescent="0.25">
      <c r="C4270" s="26">
        <v>4268</v>
      </c>
    </row>
    <row r="4271" spans="3:3" x14ac:dyDescent="0.25">
      <c r="C4271" s="26">
        <v>4269</v>
      </c>
    </row>
    <row r="4272" spans="3:3" x14ac:dyDescent="0.25">
      <c r="C4272" s="26">
        <v>4270</v>
      </c>
    </row>
    <row r="4273" spans="3:3" x14ac:dyDescent="0.25">
      <c r="C4273" s="26">
        <v>4271</v>
      </c>
    </row>
    <row r="4274" spans="3:3" x14ac:dyDescent="0.25">
      <c r="C4274" s="26">
        <v>4272</v>
      </c>
    </row>
    <row r="4275" spans="3:3" x14ac:dyDescent="0.25">
      <c r="C4275" s="26">
        <v>4273</v>
      </c>
    </row>
    <row r="4276" spans="3:3" x14ac:dyDescent="0.25">
      <c r="C4276" s="26">
        <v>4274</v>
      </c>
    </row>
    <row r="4277" spans="3:3" x14ac:dyDescent="0.25">
      <c r="C4277" s="26">
        <v>4275</v>
      </c>
    </row>
    <row r="4278" spans="3:3" x14ac:dyDescent="0.25">
      <c r="C4278" s="26">
        <v>4276</v>
      </c>
    </row>
    <row r="4279" spans="3:3" x14ac:dyDescent="0.25">
      <c r="C4279" s="26">
        <v>4277</v>
      </c>
    </row>
    <row r="4280" spans="3:3" x14ac:dyDescent="0.25">
      <c r="C4280" s="26">
        <v>4278</v>
      </c>
    </row>
    <row r="4281" spans="3:3" x14ac:dyDescent="0.25">
      <c r="C4281" s="26">
        <v>4279</v>
      </c>
    </row>
    <row r="4282" spans="3:3" x14ac:dyDescent="0.25">
      <c r="C4282" s="26">
        <v>4280</v>
      </c>
    </row>
    <row r="4283" spans="3:3" x14ac:dyDescent="0.25">
      <c r="C4283" s="26">
        <v>4281</v>
      </c>
    </row>
    <row r="4284" spans="3:3" x14ac:dyDescent="0.25">
      <c r="C4284" s="26">
        <v>4282</v>
      </c>
    </row>
    <row r="4285" spans="3:3" x14ac:dyDescent="0.25">
      <c r="C4285" s="26">
        <v>4283</v>
      </c>
    </row>
    <row r="4286" spans="3:3" x14ac:dyDescent="0.25">
      <c r="C4286" s="26">
        <v>4284</v>
      </c>
    </row>
    <row r="4287" spans="3:3" x14ac:dyDescent="0.25">
      <c r="C4287" s="26">
        <v>4285</v>
      </c>
    </row>
    <row r="4288" spans="3:3" x14ac:dyDescent="0.25">
      <c r="C4288" s="26">
        <v>4286</v>
      </c>
    </row>
    <row r="4289" spans="3:3" x14ac:dyDescent="0.25">
      <c r="C4289" s="26">
        <v>4287</v>
      </c>
    </row>
    <row r="4290" spans="3:3" x14ac:dyDescent="0.25">
      <c r="C4290" s="26">
        <v>4288</v>
      </c>
    </row>
    <row r="4291" spans="3:3" x14ac:dyDescent="0.25">
      <c r="C4291" s="26">
        <v>4289</v>
      </c>
    </row>
    <row r="4292" spans="3:3" x14ac:dyDescent="0.25">
      <c r="C4292" s="26">
        <v>4290</v>
      </c>
    </row>
    <row r="4293" spans="3:3" x14ac:dyDescent="0.25">
      <c r="C4293" s="26">
        <v>4291</v>
      </c>
    </row>
    <row r="4294" spans="3:3" x14ac:dyDescent="0.25">
      <c r="C4294" s="26">
        <v>4292</v>
      </c>
    </row>
    <row r="4295" spans="3:3" x14ac:dyDescent="0.25">
      <c r="C4295" s="26">
        <v>4293</v>
      </c>
    </row>
    <row r="4296" spans="3:3" x14ac:dyDescent="0.25">
      <c r="C4296" s="26">
        <v>4294</v>
      </c>
    </row>
    <row r="4297" spans="3:3" x14ac:dyDescent="0.25">
      <c r="C4297" s="26">
        <v>4295</v>
      </c>
    </row>
    <row r="4298" spans="3:3" x14ac:dyDescent="0.25">
      <c r="C4298" s="26">
        <v>4296</v>
      </c>
    </row>
    <row r="4299" spans="3:3" x14ac:dyDescent="0.25">
      <c r="C4299" s="26">
        <v>4297</v>
      </c>
    </row>
    <row r="4300" spans="3:3" x14ac:dyDescent="0.25">
      <c r="C4300" s="26">
        <v>4298</v>
      </c>
    </row>
    <row r="4301" spans="3:3" x14ac:dyDescent="0.25">
      <c r="C4301" s="26">
        <v>4299</v>
      </c>
    </row>
    <row r="4302" spans="3:3" x14ac:dyDescent="0.25">
      <c r="C4302" s="26">
        <v>4300</v>
      </c>
    </row>
    <row r="4303" spans="3:3" x14ac:dyDescent="0.25">
      <c r="C4303" s="26">
        <v>4301</v>
      </c>
    </row>
    <row r="4304" spans="3:3" x14ac:dyDescent="0.25">
      <c r="C4304" s="26">
        <v>4302</v>
      </c>
    </row>
    <row r="4305" spans="3:3" x14ac:dyDescent="0.25">
      <c r="C4305" s="26">
        <v>4303</v>
      </c>
    </row>
    <row r="4306" spans="3:3" x14ac:dyDescent="0.25">
      <c r="C4306" s="26">
        <v>4304</v>
      </c>
    </row>
    <row r="4307" spans="3:3" x14ac:dyDescent="0.25">
      <c r="C4307" s="26">
        <v>4305</v>
      </c>
    </row>
    <row r="4308" spans="3:3" x14ac:dyDescent="0.25">
      <c r="C4308" s="26">
        <v>4306</v>
      </c>
    </row>
    <row r="4309" spans="3:3" x14ac:dyDescent="0.25">
      <c r="C4309" s="26">
        <v>4307</v>
      </c>
    </row>
    <row r="4310" spans="3:3" x14ac:dyDescent="0.25">
      <c r="C4310" s="26">
        <v>4308</v>
      </c>
    </row>
    <row r="4311" spans="3:3" x14ac:dyDescent="0.25">
      <c r="C4311" s="26">
        <v>4309</v>
      </c>
    </row>
    <row r="4312" spans="3:3" x14ac:dyDescent="0.25">
      <c r="C4312" s="26">
        <v>4310</v>
      </c>
    </row>
    <row r="4313" spans="3:3" x14ac:dyDescent="0.25">
      <c r="C4313" s="26">
        <v>4311</v>
      </c>
    </row>
    <row r="4314" spans="3:3" x14ac:dyDescent="0.25">
      <c r="C4314" s="26">
        <v>4312</v>
      </c>
    </row>
    <row r="4315" spans="3:3" x14ac:dyDescent="0.25">
      <c r="C4315" s="26">
        <v>4313</v>
      </c>
    </row>
    <row r="4316" spans="3:3" x14ac:dyDescent="0.25">
      <c r="C4316" s="26">
        <v>4314</v>
      </c>
    </row>
    <row r="4317" spans="3:3" x14ac:dyDescent="0.25">
      <c r="C4317" s="26">
        <v>4315</v>
      </c>
    </row>
    <row r="4318" spans="3:3" x14ac:dyDescent="0.25">
      <c r="C4318" s="26">
        <v>4316</v>
      </c>
    </row>
    <row r="4319" spans="3:3" x14ac:dyDescent="0.25">
      <c r="C4319" s="26">
        <v>4317</v>
      </c>
    </row>
    <row r="4320" spans="3:3" x14ac:dyDescent="0.25">
      <c r="C4320" s="26">
        <v>4318</v>
      </c>
    </row>
    <row r="4321" spans="3:3" x14ac:dyDescent="0.25">
      <c r="C4321" s="26">
        <v>4319</v>
      </c>
    </row>
    <row r="4322" spans="3:3" x14ac:dyDescent="0.25">
      <c r="C4322" s="26">
        <v>4320</v>
      </c>
    </row>
    <row r="4323" spans="3:3" x14ac:dyDescent="0.25">
      <c r="C4323" s="26">
        <v>4321</v>
      </c>
    </row>
    <row r="4324" spans="3:3" x14ac:dyDescent="0.25">
      <c r="C4324" s="26">
        <v>4322</v>
      </c>
    </row>
    <row r="4325" spans="3:3" x14ac:dyDescent="0.25">
      <c r="C4325" s="26">
        <v>4323</v>
      </c>
    </row>
    <row r="4326" spans="3:3" x14ac:dyDescent="0.25">
      <c r="C4326" s="26">
        <v>4324</v>
      </c>
    </row>
    <row r="4327" spans="3:3" x14ac:dyDescent="0.25">
      <c r="C4327" s="26">
        <v>4325</v>
      </c>
    </row>
    <row r="4328" spans="3:3" x14ac:dyDescent="0.25">
      <c r="C4328" s="26">
        <v>4326</v>
      </c>
    </row>
    <row r="4329" spans="3:3" x14ac:dyDescent="0.25">
      <c r="C4329" s="26">
        <v>4327</v>
      </c>
    </row>
    <row r="4330" spans="3:3" x14ac:dyDescent="0.25">
      <c r="C4330" s="26">
        <v>4328</v>
      </c>
    </row>
    <row r="4331" spans="3:3" x14ac:dyDescent="0.25">
      <c r="C4331" s="26">
        <v>4329</v>
      </c>
    </row>
    <row r="4332" spans="3:3" x14ac:dyDescent="0.25">
      <c r="C4332" s="26">
        <v>4330</v>
      </c>
    </row>
    <row r="4333" spans="3:3" x14ac:dyDescent="0.25">
      <c r="C4333" s="26">
        <v>4331</v>
      </c>
    </row>
    <row r="4334" spans="3:3" x14ac:dyDescent="0.25">
      <c r="C4334" s="26">
        <v>4332</v>
      </c>
    </row>
    <row r="4335" spans="3:3" x14ac:dyDescent="0.25">
      <c r="C4335" s="26">
        <v>4333</v>
      </c>
    </row>
    <row r="4336" spans="3:3" x14ac:dyDescent="0.25">
      <c r="C4336" s="26">
        <v>4334</v>
      </c>
    </row>
    <row r="4337" spans="3:3" x14ac:dyDescent="0.25">
      <c r="C4337" s="26">
        <v>4335</v>
      </c>
    </row>
    <row r="4338" spans="3:3" x14ac:dyDescent="0.25">
      <c r="C4338" s="26">
        <v>4336</v>
      </c>
    </row>
    <row r="4339" spans="3:3" x14ac:dyDescent="0.25">
      <c r="C4339" s="26">
        <v>4337</v>
      </c>
    </row>
    <row r="4340" spans="3:3" x14ac:dyDescent="0.25">
      <c r="C4340" s="26">
        <v>4338</v>
      </c>
    </row>
    <row r="4341" spans="3:3" x14ac:dyDescent="0.25">
      <c r="C4341" s="26">
        <v>4339</v>
      </c>
    </row>
    <row r="4342" spans="3:3" x14ac:dyDescent="0.25">
      <c r="C4342" s="26">
        <v>4340</v>
      </c>
    </row>
    <row r="4343" spans="3:3" x14ac:dyDescent="0.25">
      <c r="C4343" s="26">
        <v>4341</v>
      </c>
    </row>
    <row r="4344" spans="3:3" x14ac:dyDescent="0.25">
      <c r="C4344" s="26">
        <v>4342</v>
      </c>
    </row>
    <row r="4345" spans="3:3" x14ac:dyDescent="0.25">
      <c r="C4345" s="26">
        <v>4343</v>
      </c>
    </row>
    <row r="4346" spans="3:3" x14ac:dyDescent="0.25">
      <c r="C4346" s="26">
        <v>4344</v>
      </c>
    </row>
    <row r="4347" spans="3:3" x14ac:dyDescent="0.25">
      <c r="C4347" s="26">
        <v>4345</v>
      </c>
    </row>
    <row r="4348" spans="3:3" x14ac:dyDescent="0.25">
      <c r="C4348" s="26">
        <v>4346</v>
      </c>
    </row>
    <row r="4349" spans="3:3" x14ac:dyDescent="0.25">
      <c r="C4349" s="26">
        <v>4347</v>
      </c>
    </row>
    <row r="4350" spans="3:3" x14ac:dyDescent="0.25">
      <c r="C4350" s="26">
        <v>4348</v>
      </c>
    </row>
    <row r="4351" spans="3:3" x14ac:dyDescent="0.25">
      <c r="C4351" s="26">
        <v>4349</v>
      </c>
    </row>
    <row r="4352" spans="3:3" x14ac:dyDescent="0.25">
      <c r="C4352" s="26">
        <v>4350</v>
      </c>
    </row>
    <row r="4353" spans="3:3" x14ac:dyDescent="0.25">
      <c r="C4353" s="26">
        <v>4351</v>
      </c>
    </row>
    <row r="4354" spans="3:3" x14ac:dyDescent="0.25">
      <c r="C4354" s="26">
        <v>4352</v>
      </c>
    </row>
    <row r="4355" spans="3:3" x14ac:dyDescent="0.25">
      <c r="C4355" s="26">
        <v>4353</v>
      </c>
    </row>
    <row r="4356" spans="3:3" x14ac:dyDescent="0.25">
      <c r="C4356" s="26">
        <v>4354</v>
      </c>
    </row>
    <row r="4357" spans="3:3" x14ac:dyDescent="0.25">
      <c r="C4357" s="26">
        <v>4355</v>
      </c>
    </row>
    <row r="4358" spans="3:3" x14ac:dyDescent="0.25">
      <c r="C4358" s="26">
        <v>4356</v>
      </c>
    </row>
    <row r="4359" spans="3:3" x14ac:dyDescent="0.25">
      <c r="C4359" s="26">
        <v>4357</v>
      </c>
    </row>
    <row r="4360" spans="3:3" x14ac:dyDescent="0.25">
      <c r="C4360" s="26">
        <v>4358</v>
      </c>
    </row>
    <row r="4361" spans="3:3" x14ac:dyDescent="0.25">
      <c r="C4361" s="26">
        <v>4359</v>
      </c>
    </row>
    <row r="4362" spans="3:3" x14ac:dyDescent="0.25">
      <c r="C4362" s="26">
        <v>4360</v>
      </c>
    </row>
    <row r="4363" spans="3:3" x14ac:dyDescent="0.25">
      <c r="C4363" s="26">
        <v>4361</v>
      </c>
    </row>
    <row r="4364" spans="3:3" x14ac:dyDescent="0.25">
      <c r="C4364" s="26">
        <v>4362</v>
      </c>
    </row>
    <row r="4365" spans="3:3" x14ac:dyDescent="0.25">
      <c r="C4365" s="26">
        <v>4363</v>
      </c>
    </row>
    <row r="4366" spans="3:3" x14ac:dyDescent="0.25">
      <c r="C4366" s="26">
        <v>4364</v>
      </c>
    </row>
    <row r="4367" spans="3:3" x14ac:dyDescent="0.25">
      <c r="C4367" s="26">
        <v>4365</v>
      </c>
    </row>
    <row r="4368" spans="3:3" x14ac:dyDescent="0.25">
      <c r="C4368" s="26">
        <v>4366</v>
      </c>
    </row>
    <row r="4369" spans="3:3" x14ac:dyDescent="0.25">
      <c r="C4369" s="26">
        <v>4367</v>
      </c>
    </row>
    <row r="4370" spans="3:3" x14ac:dyDescent="0.25">
      <c r="C4370" s="26">
        <v>4368</v>
      </c>
    </row>
    <row r="4371" spans="3:3" x14ac:dyDescent="0.25">
      <c r="C4371" s="26">
        <v>4369</v>
      </c>
    </row>
    <row r="4372" spans="3:3" x14ac:dyDescent="0.25">
      <c r="C4372" s="26">
        <v>4370</v>
      </c>
    </row>
    <row r="4373" spans="3:3" x14ac:dyDescent="0.25">
      <c r="C4373" s="26">
        <v>4371</v>
      </c>
    </row>
    <row r="4374" spans="3:3" x14ac:dyDescent="0.25">
      <c r="C4374" s="26">
        <v>4372</v>
      </c>
    </row>
    <row r="4375" spans="3:3" x14ac:dyDescent="0.25">
      <c r="C4375" s="26">
        <v>4373</v>
      </c>
    </row>
    <row r="4376" spans="3:3" x14ac:dyDescent="0.25">
      <c r="C4376" s="26">
        <v>4374</v>
      </c>
    </row>
    <row r="4377" spans="3:3" x14ac:dyDescent="0.25">
      <c r="C4377" s="26">
        <v>4375</v>
      </c>
    </row>
    <row r="4378" spans="3:3" x14ac:dyDescent="0.25">
      <c r="C4378" s="26">
        <v>4376</v>
      </c>
    </row>
    <row r="4379" spans="3:3" x14ac:dyDescent="0.25">
      <c r="C4379" s="26">
        <v>4377</v>
      </c>
    </row>
    <row r="4380" spans="3:3" x14ac:dyDescent="0.25">
      <c r="C4380" s="26">
        <v>4378</v>
      </c>
    </row>
    <row r="4381" spans="3:3" x14ac:dyDescent="0.25">
      <c r="C4381" s="26">
        <v>4379</v>
      </c>
    </row>
    <row r="4382" spans="3:3" x14ac:dyDescent="0.25">
      <c r="C4382" s="26">
        <v>4380</v>
      </c>
    </row>
    <row r="4383" spans="3:3" x14ac:dyDescent="0.25">
      <c r="C4383" s="26">
        <v>4381</v>
      </c>
    </row>
    <row r="4384" spans="3:3" x14ac:dyDescent="0.25">
      <c r="C4384" s="26">
        <v>4382</v>
      </c>
    </row>
    <row r="4385" spans="3:3" x14ac:dyDescent="0.25">
      <c r="C4385" s="26">
        <v>4383</v>
      </c>
    </row>
    <row r="4386" spans="3:3" x14ac:dyDescent="0.25">
      <c r="C4386" s="26">
        <v>4384</v>
      </c>
    </row>
    <row r="4387" spans="3:3" x14ac:dyDescent="0.25">
      <c r="C4387" s="26">
        <v>4385</v>
      </c>
    </row>
    <row r="4388" spans="3:3" x14ac:dyDescent="0.25">
      <c r="C4388" s="26">
        <v>4386</v>
      </c>
    </row>
    <row r="4389" spans="3:3" x14ac:dyDescent="0.25">
      <c r="C4389" s="26">
        <v>4387</v>
      </c>
    </row>
    <row r="4390" spans="3:3" x14ac:dyDescent="0.25">
      <c r="C4390" s="26">
        <v>4388</v>
      </c>
    </row>
    <row r="4391" spans="3:3" x14ac:dyDescent="0.25">
      <c r="C4391" s="26">
        <v>4389</v>
      </c>
    </row>
    <row r="4392" spans="3:3" x14ac:dyDescent="0.25">
      <c r="C4392" s="26">
        <v>4390</v>
      </c>
    </row>
    <row r="4393" spans="3:3" x14ac:dyDescent="0.25">
      <c r="C4393" s="26">
        <v>4391</v>
      </c>
    </row>
    <row r="4394" spans="3:3" x14ac:dyDescent="0.25">
      <c r="C4394" s="26">
        <v>4392</v>
      </c>
    </row>
    <row r="4395" spans="3:3" x14ac:dyDescent="0.25">
      <c r="C4395" s="26">
        <v>4393</v>
      </c>
    </row>
    <row r="4396" spans="3:3" x14ac:dyDescent="0.25">
      <c r="C4396" s="26">
        <v>4394</v>
      </c>
    </row>
    <row r="4397" spans="3:3" x14ac:dyDescent="0.25">
      <c r="C4397" s="26">
        <v>4395</v>
      </c>
    </row>
    <row r="4398" spans="3:3" x14ac:dyDescent="0.25">
      <c r="C4398" s="26">
        <v>4396</v>
      </c>
    </row>
    <row r="4399" spans="3:3" x14ac:dyDescent="0.25">
      <c r="C4399" s="26">
        <v>4397</v>
      </c>
    </row>
    <row r="4400" spans="3:3" x14ac:dyDescent="0.25">
      <c r="C4400" s="26">
        <v>4398</v>
      </c>
    </row>
    <row r="4401" spans="3:3" x14ac:dyDescent="0.25">
      <c r="C4401" s="26">
        <v>4399</v>
      </c>
    </row>
    <row r="4402" spans="3:3" x14ac:dyDescent="0.25">
      <c r="C4402" s="26">
        <v>4400</v>
      </c>
    </row>
    <row r="4403" spans="3:3" x14ac:dyDescent="0.25">
      <c r="C4403" s="26">
        <v>4401</v>
      </c>
    </row>
    <row r="4404" spans="3:3" x14ac:dyDescent="0.25">
      <c r="C4404" s="26">
        <v>4402</v>
      </c>
    </row>
    <row r="4405" spans="3:3" x14ac:dyDescent="0.25">
      <c r="C4405" s="26">
        <v>4403</v>
      </c>
    </row>
    <row r="4406" spans="3:3" x14ac:dyDescent="0.25">
      <c r="C4406" s="26">
        <v>4404</v>
      </c>
    </row>
    <row r="4407" spans="3:3" x14ac:dyDescent="0.25">
      <c r="C4407" s="26">
        <v>4405</v>
      </c>
    </row>
    <row r="4408" spans="3:3" x14ac:dyDescent="0.25">
      <c r="C4408" s="26">
        <v>4406</v>
      </c>
    </row>
    <row r="4409" spans="3:3" x14ac:dyDescent="0.25">
      <c r="C4409" s="26">
        <v>4407</v>
      </c>
    </row>
    <row r="4410" spans="3:3" x14ac:dyDescent="0.25">
      <c r="C4410" s="26">
        <v>4408</v>
      </c>
    </row>
    <row r="4411" spans="3:3" x14ac:dyDescent="0.25">
      <c r="C4411" s="26">
        <v>4409</v>
      </c>
    </row>
    <row r="4412" spans="3:3" x14ac:dyDescent="0.25">
      <c r="C4412" s="26">
        <v>4410</v>
      </c>
    </row>
    <row r="4413" spans="3:3" x14ac:dyDescent="0.25">
      <c r="C4413" s="26">
        <v>4411</v>
      </c>
    </row>
    <row r="4414" spans="3:3" x14ac:dyDescent="0.25">
      <c r="C4414" s="26">
        <v>4412</v>
      </c>
    </row>
    <row r="4415" spans="3:3" x14ac:dyDescent="0.25">
      <c r="C4415" s="26">
        <v>4413</v>
      </c>
    </row>
    <row r="4416" spans="3:3" x14ac:dyDescent="0.25">
      <c r="C4416" s="26">
        <v>4414</v>
      </c>
    </row>
    <row r="4417" spans="3:3" x14ac:dyDescent="0.25">
      <c r="C4417" s="26">
        <v>4415</v>
      </c>
    </row>
    <row r="4418" spans="3:3" x14ac:dyDescent="0.25">
      <c r="C4418" s="26">
        <v>4416</v>
      </c>
    </row>
    <row r="4419" spans="3:3" x14ac:dyDescent="0.25">
      <c r="C4419" s="26">
        <v>4417</v>
      </c>
    </row>
    <row r="4420" spans="3:3" x14ac:dyDescent="0.25">
      <c r="C4420" s="26">
        <v>4418</v>
      </c>
    </row>
    <row r="4421" spans="3:3" x14ac:dyDescent="0.25">
      <c r="C4421" s="26">
        <v>4419</v>
      </c>
    </row>
    <row r="4422" spans="3:3" x14ac:dyDescent="0.25">
      <c r="C4422" s="26">
        <v>4420</v>
      </c>
    </row>
    <row r="4423" spans="3:3" x14ac:dyDescent="0.25">
      <c r="C4423" s="26">
        <v>4421</v>
      </c>
    </row>
    <row r="4424" spans="3:3" x14ac:dyDescent="0.25">
      <c r="C4424" s="26">
        <v>4422</v>
      </c>
    </row>
    <row r="4425" spans="3:3" x14ac:dyDescent="0.25">
      <c r="C4425" s="26">
        <v>4423</v>
      </c>
    </row>
    <row r="4426" spans="3:3" x14ac:dyDescent="0.25">
      <c r="C4426" s="26">
        <v>4424</v>
      </c>
    </row>
    <row r="4427" spans="3:3" x14ac:dyDescent="0.25">
      <c r="C4427" s="26">
        <v>4425</v>
      </c>
    </row>
    <row r="4428" spans="3:3" x14ac:dyDescent="0.25">
      <c r="C4428" s="26">
        <v>4426</v>
      </c>
    </row>
    <row r="4429" spans="3:3" x14ac:dyDescent="0.25">
      <c r="C4429" s="26">
        <v>4427</v>
      </c>
    </row>
    <row r="4430" spans="3:3" x14ac:dyDescent="0.25">
      <c r="C4430" s="26">
        <v>4428</v>
      </c>
    </row>
    <row r="4431" spans="3:3" x14ac:dyDescent="0.25">
      <c r="C4431" s="26">
        <v>4429</v>
      </c>
    </row>
    <row r="4432" spans="3:3" x14ac:dyDescent="0.25">
      <c r="C4432" s="26">
        <v>4430</v>
      </c>
    </row>
    <row r="4433" spans="3:3" x14ac:dyDescent="0.25">
      <c r="C4433" s="26">
        <v>4431</v>
      </c>
    </row>
    <row r="4434" spans="3:3" x14ac:dyDescent="0.25">
      <c r="C4434" s="26">
        <v>4432</v>
      </c>
    </row>
    <row r="4435" spans="3:3" x14ac:dyDescent="0.25">
      <c r="C4435" s="26">
        <v>4433</v>
      </c>
    </row>
    <row r="4436" spans="3:3" x14ac:dyDescent="0.25">
      <c r="C4436" s="26">
        <v>4434</v>
      </c>
    </row>
    <row r="4437" spans="3:3" x14ac:dyDescent="0.25">
      <c r="C4437" s="26">
        <v>4435</v>
      </c>
    </row>
    <row r="4438" spans="3:3" x14ac:dyDescent="0.25">
      <c r="C4438" s="26">
        <v>4436</v>
      </c>
    </row>
    <row r="4439" spans="3:3" x14ac:dyDescent="0.25">
      <c r="C4439" s="26">
        <v>4437</v>
      </c>
    </row>
    <row r="4440" spans="3:3" x14ac:dyDescent="0.25">
      <c r="C4440" s="26">
        <v>4438</v>
      </c>
    </row>
    <row r="4441" spans="3:3" x14ac:dyDescent="0.25">
      <c r="C4441" s="26">
        <v>4439</v>
      </c>
    </row>
    <row r="4442" spans="3:3" x14ac:dyDescent="0.25">
      <c r="C4442" s="26">
        <v>4440</v>
      </c>
    </row>
    <row r="4443" spans="3:3" x14ac:dyDescent="0.25">
      <c r="C4443" s="26">
        <v>4441</v>
      </c>
    </row>
    <row r="4444" spans="3:3" x14ac:dyDescent="0.25">
      <c r="C4444" s="26">
        <v>4442</v>
      </c>
    </row>
    <row r="4445" spans="3:3" x14ac:dyDescent="0.25">
      <c r="C4445" s="26">
        <v>4443</v>
      </c>
    </row>
    <row r="4446" spans="3:3" x14ac:dyDescent="0.25">
      <c r="C4446" s="26">
        <v>4444</v>
      </c>
    </row>
    <row r="4447" spans="3:3" x14ac:dyDescent="0.25">
      <c r="C4447" s="26">
        <v>4445</v>
      </c>
    </row>
    <row r="4448" spans="3:3" x14ac:dyDescent="0.25">
      <c r="C4448" s="26">
        <v>4446</v>
      </c>
    </row>
    <row r="4449" spans="3:3" x14ac:dyDescent="0.25">
      <c r="C4449" s="26">
        <v>4447</v>
      </c>
    </row>
    <row r="4450" spans="3:3" x14ac:dyDescent="0.25">
      <c r="C4450" s="26">
        <v>4448</v>
      </c>
    </row>
    <row r="4451" spans="3:3" x14ac:dyDescent="0.25">
      <c r="C4451" s="26">
        <v>4449</v>
      </c>
    </row>
    <row r="4452" spans="3:3" x14ac:dyDescent="0.25">
      <c r="C4452" s="26">
        <v>4450</v>
      </c>
    </row>
    <row r="4453" spans="3:3" x14ac:dyDescent="0.25">
      <c r="C4453" s="26">
        <v>4451</v>
      </c>
    </row>
    <row r="4454" spans="3:3" x14ac:dyDescent="0.25">
      <c r="C4454" s="26">
        <v>4452</v>
      </c>
    </row>
    <row r="4455" spans="3:3" x14ac:dyDescent="0.25">
      <c r="C4455" s="26">
        <v>4453</v>
      </c>
    </row>
    <row r="4456" spans="3:3" x14ac:dyDescent="0.25">
      <c r="C4456" s="26">
        <v>4454</v>
      </c>
    </row>
    <row r="4457" spans="3:3" x14ac:dyDescent="0.25">
      <c r="C4457" s="26">
        <v>4455</v>
      </c>
    </row>
    <row r="4458" spans="3:3" x14ac:dyDescent="0.25">
      <c r="C4458" s="26">
        <v>4456</v>
      </c>
    </row>
    <row r="4459" spans="3:3" x14ac:dyDescent="0.25">
      <c r="C4459" s="26">
        <v>4457</v>
      </c>
    </row>
    <row r="4460" spans="3:3" x14ac:dyDescent="0.25">
      <c r="C4460" s="26">
        <v>4458</v>
      </c>
    </row>
    <row r="4461" spans="3:3" x14ac:dyDescent="0.25">
      <c r="C4461" s="26">
        <v>4459</v>
      </c>
    </row>
    <row r="4462" spans="3:3" x14ac:dyDescent="0.25">
      <c r="C4462" s="26">
        <v>4460</v>
      </c>
    </row>
    <row r="4463" spans="3:3" x14ac:dyDescent="0.25">
      <c r="C4463" s="26">
        <v>4461</v>
      </c>
    </row>
    <row r="4464" spans="3:3" x14ac:dyDescent="0.25">
      <c r="C4464" s="26">
        <v>4462</v>
      </c>
    </row>
    <row r="4465" spans="3:3" x14ac:dyDescent="0.25">
      <c r="C4465" s="26">
        <v>4463</v>
      </c>
    </row>
    <row r="4466" spans="3:3" x14ac:dyDescent="0.25">
      <c r="C4466" s="26">
        <v>4464</v>
      </c>
    </row>
    <row r="4467" spans="3:3" x14ac:dyDescent="0.25">
      <c r="C4467" s="26">
        <v>4465</v>
      </c>
    </row>
    <row r="4468" spans="3:3" x14ac:dyDescent="0.25">
      <c r="C4468" s="26">
        <v>4466</v>
      </c>
    </row>
    <row r="4469" spans="3:3" x14ac:dyDescent="0.25">
      <c r="C4469" s="26">
        <v>4467</v>
      </c>
    </row>
    <row r="4470" spans="3:3" x14ac:dyDescent="0.25">
      <c r="C4470" s="26">
        <v>4468</v>
      </c>
    </row>
    <row r="4471" spans="3:3" x14ac:dyDescent="0.25">
      <c r="C4471" s="26">
        <v>4469</v>
      </c>
    </row>
    <row r="4472" spans="3:3" x14ac:dyDescent="0.25">
      <c r="C4472" s="26">
        <v>4470</v>
      </c>
    </row>
    <row r="4473" spans="3:3" x14ac:dyDescent="0.25">
      <c r="C4473" s="26">
        <v>4471</v>
      </c>
    </row>
    <row r="4474" spans="3:3" x14ac:dyDescent="0.25">
      <c r="C4474" s="26">
        <v>4472</v>
      </c>
    </row>
    <row r="4475" spans="3:3" x14ac:dyDescent="0.25">
      <c r="C4475" s="26">
        <v>4473</v>
      </c>
    </row>
    <row r="4476" spans="3:3" x14ac:dyDescent="0.25">
      <c r="C4476" s="26">
        <v>4474</v>
      </c>
    </row>
    <row r="4477" spans="3:3" x14ac:dyDescent="0.25">
      <c r="C4477" s="26">
        <v>4475</v>
      </c>
    </row>
    <row r="4478" spans="3:3" x14ac:dyDescent="0.25">
      <c r="C4478" s="26">
        <v>4476</v>
      </c>
    </row>
    <row r="4479" spans="3:3" x14ac:dyDescent="0.25">
      <c r="C4479" s="26">
        <v>4477</v>
      </c>
    </row>
    <row r="4480" spans="3:3" x14ac:dyDescent="0.25">
      <c r="C4480" s="26">
        <v>4478</v>
      </c>
    </row>
    <row r="4481" spans="3:3" x14ac:dyDescent="0.25">
      <c r="C4481" s="26">
        <v>4479</v>
      </c>
    </row>
    <row r="4482" spans="3:3" x14ac:dyDescent="0.25">
      <c r="C4482" s="26">
        <v>4480</v>
      </c>
    </row>
    <row r="4483" spans="3:3" x14ac:dyDescent="0.25">
      <c r="C4483" s="26">
        <v>4481</v>
      </c>
    </row>
    <row r="4484" spans="3:3" x14ac:dyDescent="0.25">
      <c r="C4484" s="26">
        <v>4482</v>
      </c>
    </row>
    <row r="4485" spans="3:3" x14ac:dyDescent="0.25">
      <c r="C4485" s="26">
        <v>4483</v>
      </c>
    </row>
    <row r="4486" spans="3:3" x14ac:dyDescent="0.25">
      <c r="C4486" s="26">
        <v>4484</v>
      </c>
    </row>
    <row r="4487" spans="3:3" x14ac:dyDescent="0.25">
      <c r="C4487" s="26">
        <v>4485</v>
      </c>
    </row>
    <row r="4488" spans="3:3" x14ac:dyDescent="0.25">
      <c r="C4488" s="26">
        <v>4486</v>
      </c>
    </row>
    <row r="4489" spans="3:3" x14ac:dyDescent="0.25">
      <c r="C4489" s="26">
        <v>4487</v>
      </c>
    </row>
    <row r="4490" spans="3:3" x14ac:dyDescent="0.25">
      <c r="C4490" s="26">
        <v>4488</v>
      </c>
    </row>
    <row r="4491" spans="3:3" x14ac:dyDescent="0.25">
      <c r="C4491" s="26">
        <v>4489</v>
      </c>
    </row>
    <row r="4492" spans="3:3" x14ac:dyDescent="0.25">
      <c r="C4492" s="26">
        <v>4490</v>
      </c>
    </row>
    <row r="4493" spans="3:3" x14ac:dyDescent="0.25">
      <c r="C4493" s="26">
        <v>4491</v>
      </c>
    </row>
    <row r="4494" spans="3:3" x14ac:dyDescent="0.25">
      <c r="C4494" s="26">
        <v>4492</v>
      </c>
    </row>
    <row r="4495" spans="3:3" x14ac:dyDescent="0.25">
      <c r="C4495" s="26">
        <v>4493</v>
      </c>
    </row>
    <row r="4496" spans="3:3" x14ac:dyDescent="0.25">
      <c r="C4496" s="26">
        <v>4494</v>
      </c>
    </row>
    <row r="4497" spans="3:3" x14ac:dyDescent="0.25">
      <c r="C4497" s="26">
        <v>4495</v>
      </c>
    </row>
    <row r="4498" spans="3:3" x14ac:dyDescent="0.25">
      <c r="C4498" s="26">
        <v>4496</v>
      </c>
    </row>
    <row r="4499" spans="3:3" x14ac:dyDescent="0.25">
      <c r="C4499" s="26">
        <v>4497</v>
      </c>
    </row>
    <row r="4500" spans="3:3" x14ac:dyDescent="0.25">
      <c r="C4500" s="26">
        <v>4498</v>
      </c>
    </row>
    <row r="4501" spans="3:3" x14ac:dyDescent="0.25">
      <c r="C4501" s="26">
        <v>4499</v>
      </c>
    </row>
    <row r="4502" spans="3:3" x14ac:dyDescent="0.25">
      <c r="C4502" s="26">
        <v>4500</v>
      </c>
    </row>
    <row r="4503" spans="3:3" x14ac:dyDescent="0.25">
      <c r="C4503" s="26">
        <v>4501</v>
      </c>
    </row>
    <row r="4504" spans="3:3" x14ac:dyDescent="0.25">
      <c r="C4504" s="26">
        <v>4502</v>
      </c>
    </row>
    <row r="4505" spans="3:3" x14ac:dyDescent="0.25">
      <c r="C4505" s="26">
        <v>4503</v>
      </c>
    </row>
    <row r="4506" spans="3:3" x14ac:dyDescent="0.25">
      <c r="C4506" s="26">
        <v>4504</v>
      </c>
    </row>
    <row r="4507" spans="3:3" x14ac:dyDescent="0.25">
      <c r="C4507" s="26">
        <v>4505</v>
      </c>
    </row>
    <row r="4508" spans="3:3" x14ac:dyDescent="0.25">
      <c r="C4508" s="26">
        <v>4506</v>
      </c>
    </row>
    <row r="4509" spans="3:3" x14ac:dyDescent="0.25">
      <c r="C4509" s="26">
        <v>4507</v>
      </c>
    </row>
    <row r="4510" spans="3:3" x14ac:dyDescent="0.25">
      <c r="C4510" s="26">
        <v>4508</v>
      </c>
    </row>
    <row r="4511" spans="3:3" x14ac:dyDescent="0.25">
      <c r="C4511" s="26">
        <v>4509</v>
      </c>
    </row>
    <row r="4512" spans="3:3" x14ac:dyDescent="0.25">
      <c r="C4512" s="26">
        <v>4510</v>
      </c>
    </row>
    <row r="4513" spans="3:3" x14ac:dyDescent="0.25">
      <c r="C4513" s="26">
        <v>4511</v>
      </c>
    </row>
    <row r="4514" spans="3:3" x14ac:dyDescent="0.25">
      <c r="C4514" s="26">
        <v>4512</v>
      </c>
    </row>
    <row r="4515" spans="3:3" x14ac:dyDescent="0.25">
      <c r="C4515" s="26">
        <v>4513</v>
      </c>
    </row>
    <row r="4516" spans="3:3" x14ac:dyDescent="0.25">
      <c r="C4516" s="26">
        <v>4514</v>
      </c>
    </row>
    <row r="4517" spans="3:3" x14ac:dyDescent="0.25">
      <c r="C4517" s="26">
        <v>4515</v>
      </c>
    </row>
    <row r="4518" spans="3:3" x14ac:dyDescent="0.25">
      <c r="C4518" s="26">
        <v>4516</v>
      </c>
    </row>
    <row r="4519" spans="3:3" x14ac:dyDescent="0.25">
      <c r="C4519" s="26">
        <v>4517</v>
      </c>
    </row>
    <row r="4520" spans="3:3" x14ac:dyDescent="0.25">
      <c r="C4520" s="26">
        <v>4518</v>
      </c>
    </row>
    <row r="4521" spans="3:3" x14ac:dyDescent="0.25">
      <c r="C4521" s="26">
        <v>4519</v>
      </c>
    </row>
    <row r="4522" spans="3:3" x14ac:dyDescent="0.25">
      <c r="C4522" s="26">
        <v>4520</v>
      </c>
    </row>
    <row r="4523" spans="3:3" x14ac:dyDescent="0.25">
      <c r="C4523" s="26">
        <v>4521</v>
      </c>
    </row>
    <row r="4524" spans="3:3" x14ac:dyDescent="0.25">
      <c r="C4524" s="26">
        <v>4522</v>
      </c>
    </row>
    <row r="4525" spans="3:3" x14ac:dyDescent="0.25">
      <c r="C4525" s="26">
        <v>4523</v>
      </c>
    </row>
    <row r="4526" spans="3:3" x14ac:dyDescent="0.25">
      <c r="C4526" s="26">
        <v>4524</v>
      </c>
    </row>
    <row r="4527" spans="3:3" x14ac:dyDescent="0.25">
      <c r="C4527" s="26">
        <v>4525</v>
      </c>
    </row>
    <row r="4528" spans="3:3" x14ac:dyDescent="0.25">
      <c r="C4528" s="26">
        <v>4526</v>
      </c>
    </row>
    <row r="4529" spans="3:3" x14ac:dyDescent="0.25">
      <c r="C4529" s="26">
        <v>4527</v>
      </c>
    </row>
    <row r="4530" spans="3:3" x14ac:dyDescent="0.25">
      <c r="C4530" s="26">
        <v>4528</v>
      </c>
    </row>
    <row r="4531" spans="3:3" x14ac:dyDescent="0.25">
      <c r="C4531" s="26">
        <v>4529</v>
      </c>
    </row>
    <row r="4532" spans="3:3" x14ac:dyDescent="0.25">
      <c r="C4532" s="26">
        <v>4530</v>
      </c>
    </row>
    <row r="4533" spans="3:3" x14ac:dyDescent="0.25">
      <c r="C4533" s="26">
        <v>4531</v>
      </c>
    </row>
    <row r="4534" spans="3:3" x14ac:dyDescent="0.25">
      <c r="C4534" s="26">
        <v>4532</v>
      </c>
    </row>
    <row r="4535" spans="3:3" x14ac:dyDescent="0.25">
      <c r="C4535" s="26">
        <v>4533</v>
      </c>
    </row>
    <row r="4536" spans="3:3" x14ac:dyDescent="0.25">
      <c r="C4536" s="26">
        <v>4534</v>
      </c>
    </row>
    <row r="4537" spans="3:3" x14ac:dyDescent="0.25">
      <c r="C4537" s="26">
        <v>4535</v>
      </c>
    </row>
    <row r="4538" spans="3:3" x14ac:dyDescent="0.25">
      <c r="C4538" s="26">
        <v>4536</v>
      </c>
    </row>
    <row r="4539" spans="3:3" x14ac:dyDescent="0.25">
      <c r="C4539" s="26">
        <v>4537</v>
      </c>
    </row>
    <row r="4540" spans="3:3" x14ac:dyDescent="0.25">
      <c r="C4540" s="26">
        <v>4538</v>
      </c>
    </row>
    <row r="4541" spans="3:3" x14ac:dyDescent="0.25">
      <c r="C4541" s="26">
        <v>4539</v>
      </c>
    </row>
    <row r="4542" spans="3:3" x14ac:dyDescent="0.25">
      <c r="C4542" s="26">
        <v>4540</v>
      </c>
    </row>
    <row r="4543" spans="3:3" x14ac:dyDescent="0.25">
      <c r="C4543" s="26">
        <v>4541</v>
      </c>
    </row>
    <row r="4544" spans="3:3" x14ac:dyDescent="0.25">
      <c r="C4544" s="26">
        <v>4542</v>
      </c>
    </row>
    <row r="4545" spans="3:3" x14ac:dyDescent="0.25">
      <c r="C4545" s="26">
        <v>4543</v>
      </c>
    </row>
    <row r="4546" spans="3:3" x14ac:dyDescent="0.25">
      <c r="C4546" s="26">
        <v>4544</v>
      </c>
    </row>
    <row r="4547" spans="3:3" x14ac:dyDescent="0.25">
      <c r="C4547" s="26">
        <v>4545</v>
      </c>
    </row>
    <row r="4548" spans="3:3" x14ac:dyDescent="0.25">
      <c r="C4548" s="26">
        <v>4546</v>
      </c>
    </row>
    <row r="4549" spans="3:3" x14ac:dyDescent="0.25">
      <c r="C4549" s="26">
        <v>4547</v>
      </c>
    </row>
    <row r="4550" spans="3:3" x14ac:dyDescent="0.25">
      <c r="C4550" s="26">
        <v>4548</v>
      </c>
    </row>
    <row r="4551" spans="3:3" x14ac:dyDescent="0.25">
      <c r="C4551" s="26">
        <v>4549</v>
      </c>
    </row>
    <row r="4552" spans="3:3" x14ac:dyDescent="0.25">
      <c r="C4552" s="26">
        <v>4550</v>
      </c>
    </row>
    <row r="4553" spans="3:3" x14ac:dyDescent="0.25">
      <c r="C4553" s="26">
        <v>4551</v>
      </c>
    </row>
    <row r="4554" spans="3:3" x14ac:dyDescent="0.25">
      <c r="C4554" s="26">
        <v>4552</v>
      </c>
    </row>
    <row r="4555" spans="3:3" x14ac:dyDescent="0.25">
      <c r="C4555" s="26">
        <v>4553</v>
      </c>
    </row>
    <row r="4556" spans="3:3" x14ac:dyDescent="0.25">
      <c r="C4556" s="26">
        <v>4554</v>
      </c>
    </row>
    <row r="4557" spans="3:3" x14ac:dyDescent="0.25">
      <c r="C4557" s="26">
        <v>4555</v>
      </c>
    </row>
    <row r="4558" spans="3:3" x14ac:dyDescent="0.25">
      <c r="C4558" s="26">
        <v>4556</v>
      </c>
    </row>
    <row r="4559" spans="3:3" x14ac:dyDescent="0.25">
      <c r="C4559" s="26">
        <v>4557</v>
      </c>
    </row>
    <row r="4560" spans="3:3" x14ac:dyDescent="0.25">
      <c r="C4560" s="26">
        <v>4558</v>
      </c>
    </row>
    <row r="4561" spans="3:3" x14ac:dyDescent="0.25">
      <c r="C4561" s="26">
        <v>4559</v>
      </c>
    </row>
    <row r="4562" spans="3:3" x14ac:dyDescent="0.25">
      <c r="C4562" s="26">
        <v>4560</v>
      </c>
    </row>
    <row r="4563" spans="3:3" x14ac:dyDescent="0.25">
      <c r="C4563" s="26">
        <v>4561</v>
      </c>
    </row>
    <row r="4564" spans="3:3" x14ac:dyDescent="0.25">
      <c r="C4564" s="26">
        <v>4562</v>
      </c>
    </row>
    <row r="4565" spans="3:3" x14ac:dyDescent="0.25">
      <c r="C4565" s="26">
        <v>4563</v>
      </c>
    </row>
    <row r="4566" spans="3:3" x14ac:dyDescent="0.25">
      <c r="C4566" s="26">
        <v>4564</v>
      </c>
    </row>
    <row r="4567" spans="3:3" x14ac:dyDescent="0.25">
      <c r="C4567" s="26">
        <v>4565</v>
      </c>
    </row>
    <row r="4568" spans="3:3" x14ac:dyDescent="0.25">
      <c r="C4568" s="26">
        <v>4566</v>
      </c>
    </row>
    <row r="4569" spans="3:3" x14ac:dyDescent="0.25">
      <c r="C4569" s="26">
        <v>4567</v>
      </c>
    </row>
    <row r="4570" spans="3:3" x14ac:dyDescent="0.25">
      <c r="C4570" s="26">
        <v>4568</v>
      </c>
    </row>
    <row r="4571" spans="3:3" x14ac:dyDescent="0.25">
      <c r="C4571" s="26">
        <v>4569</v>
      </c>
    </row>
    <row r="4572" spans="3:3" x14ac:dyDescent="0.25">
      <c r="C4572" s="26">
        <v>4570</v>
      </c>
    </row>
    <row r="4573" spans="3:3" x14ac:dyDescent="0.25">
      <c r="C4573" s="26">
        <v>4571</v>
      </c>
    </row>
    <row r="4574" spans="3:3" x14ac:dyDescent="0.25">
      <c r="C4574" s="26">
        <v>4572</v>
      </c>
    </row>
    <row r="4575" spans="3:3" x14ac:dyDescent="0.25">
      <c r="C4575" s="26">
        <v>4573</v>
      </c>
    </row>
    <row r="4576" spans="3:3" x14ac:dyDescent="0.25">
      <c r="C4576" s="26">
        <v>4574</v>
      </c>
    </row>
    <row r="4577" spans="3:3" x14ac:dyDescent="0.25">
      <c r="C4577" s="26">
        <v>4575</v>
      </c>
    </row>
    <row r="4578" spans="3:3" x14ac:dyDescent="0.25">
      <c r="C4578" s="26">
        <v>4576</v>
      </c>
    </row>
    <row r="4579" spans="3:3" x14ac:dyDescent="0.25">
      <c r="C4579" s="26">
        <v>4577</v>
      </c>
    </row>
    <row r="4580" spans="3:3" x14ac:dyDescent="0.25">
      <c r="C4580" s="26">
        <v>4578</v>
      </c>
    </row>
    <row r="4581" spans="3:3" x14ac:dyDescent="0.25">
      <c r="C4581" s="26">
        <v>4579</v>
      </c>
    </row>
    <row r="4582" spans="3:3" x14ac:dyDescent="0.25">
      <c r="C4582" s="26">
        <v>4580</v>
      </c>
    </row>
    <row r="4583" spans="3:3" x14ac:dyDescent="0.25">
      <c r="C4583" s="26">
        <v>4581</v>
      </c>
    </row>
    <row r="4584" spans="3:3" x14ac:dyDescent="0.25">
      <c r="C4584" s="26">
        <v>4582</v>
      </c>
    </row>
    <row r="4585" spans="3:3" x14ac:dyDescent="0.25">
      <c r="C4585" s="26">
        <v>4583</v>
      </c>
    </row>
    <row r="4586" spans="3:3" x14ac:dyDescent="0.25">
      <c r="C4586" s="26">
        <v>4584</v>
      </c>
    </row>
    <row r="4587" spans="3:3" x14ac:dyDescent="0.25">
      <c r="C4587" s="26">
        <v>4585</v>
      </c>
    </row>
    <row r="4588" spans="3:3" x14ac:dyDescent="0.25">
      <c r="C4588" s="26">
        <v>4586</v>
      </c>
    </row>
    <row r="4589" spans="3:3" x14ac:dyDescent="0.25">
      <c r="C4589" s="26">
        <v>4587</v>
      </c>
    </row>
    <row r="4590" spans="3:3" x14ac:dyDescent="0.25">
      <c r="C4590" s="26">
        <v>4588</v>
      </c>
    </row>
    <row r="4591" spans="3:3" x14ac:dyDescent="0.25">
      <c r="C4591" s="26">
        <v>4589</v>
      </c>
    </row>
    <row r="4592" spans="3:3" x14ac:dyDescent="0.25">
      <c r="C4592" s="26">
        <v>4590</v>
      </c>
    </row>
    <row r="4593" spans="3:3" x14ac:dyDescent="0.25">
      <c r="C4593" s="26">
        <v>4591</v>
      </c>
    </row>
    <row r="4594" spans="3:3" x14ac:dyDescent="0.25">
      <c r="C4594" s="26">
        <v>4592</v>
      </c>
    </row>
    <row r="4595" spans="3:3" x14ac:dyDescent="0.25">
      <c r="C4595" s="26">
        <v>4593</v>
      </c>
    </row>
    <row r="4596" spans="3:3" x14ac:dyDescent="0.25">
      <c r="C4596" s="26">
        <v>4594</v>
      </c>
    </row>
    <row r="4597" spans="3:3" x14ac:dyDescent="0.25">
      <c r="C4597" s="26">
        <v>4595</v>
      </c>
    </row>
    <row r="4598" spans="3:3" x14ac:dyDescent="0.25">
      <c r="C4598" s="26">
        <v>4596</v>
      </c>
    </row>
    <row r="4599" spans="3:3" x14ac:dyDescent="0.25">
      <c r="C4599" s="26">
        <v>4597</v>
      </c>
    </row>
    <row r="4600" spans="3:3" x14ac:dyDescent="0.25">
      <c r="C4600" s="26">
        <v>4598</v>
      </c>
    </row>
    <row r="4601" spans="3:3" x14ac:dyDescent="0.25">
      <c r="C4601" s="26">
        <v>4599</v>
      </c>
    </row>
    <row r="4602" spans="3:3" x14ac:dyDescent="0.25">
      <c r="C4602" s="26">
        <v>4600</v>
      </c>
    </row>
    <row r="4603" spans="3:3" x14ac:dyDescent="0.25">
      <c r="C4603" s="26">
        <v>4601</v>
      </c>
    </row>
    <row r="4604" spans="3:3" x14ac:dyDescent="0.25">
      <c r="C4604" s="26">
        <v>4602</v>
      </c>
    </row>
    <row r="4605" spans="3:3" x14ac:dyDescent="0.25">
      <c r="C4605" s="26">
        <v>4603</v>
      </c>
    </row>
    <row r="4606" spans="3:3" x14ac:dyDescent="0.25">
      <c r="C4606" s="26">
        <v>4604</v>
      </c>
    </row>
    <row r="4607" spans="3:3" x14ac:dyDescent="0.25">
      <c r="C4607" s="26">
        <v>4605</v>
      </c>
    </row>
    <row r="4608" spans="3:3" x14ac:dyDescent="0.25">
      <c r="C4608" s="26">
        <v>4606</v>
      </c>
    </row>
    <row r="4609" spans="3:3" x14ac:dyDescent="0.25">
      <c r="C4609" s="26">
        <v>4607</v>
      </c>
    </row>
    <row r="4610" spans="3:3" x14ac:dyDescent="0.25">
      <c r="C4610" s="26">
        <v>4608</v>
      </c>
    </row>
    <row r="4611" spans="3:3" x14ac:dyDescent="0.25">
      <c r="C4611" s="26">
        <v>4609</v>
      </c>
    </row>
    <row r="4612" spans="3:3" x14ac:dyDescent="0.25">
      <c r="C4612" s="26">
        <v>4610</v>
      </c>
    </row>
    <row r="4613" spans="3:3" x14ac:dyDescent="0.25">
      <c r="C4613" s="26">
        <v>4611</v>
      </c>
    </row>
    <row r="4614" spans="3:3" x14ac:dyDescent="0.25">
      <c r="C4614" s="26">
        <v>4612</v>
      </c>
    </row>
    <row r="4615" spans="3:3" x14ac:dyDescent="0.25">
      <c r="C4615" s="26">
        <v>4613</v>
      </c>
    </row>
    <row r="4616" spans="3:3" x14ac:dyDescent="0.25">
      <c r="C4616" s="26">
        <v>4614</v>
      </c>
    </row>
    <row r="4617" spans="3:3" x14ac:dyDescent="0.25">
      <c r="C4617" s="26">
        <v>4615</v>
      </c>
    </row>
    <row r="4618" spans="3:3" x14ac:dyDescent="0.25">
      <c r="C4618" s="26">
        <v>4616</v>
      </c>
    </row>
    <row r="4619" spans="3:3" x14ac:dyDescent="0.25">
      <c r="C4619" s="26">
        <v>4617</v>
      </c>
    </row>
    <row r="4620" spans="3:3" x14ac:dyDescent="0.25">
      <c r="C4620" s="26">
        <v>4618</v>
      </c>
    </row>
    <row r="4621" spans="3:3" x14ac:dyDescent="0.25">
      <c r="C4621" s="26">
        <v>4619</v>
      </c>
    </row>
    <row r="4622" spans="3:3" x14ac:dyDescent="0.25">
      <c r="C4622" s="26">
        <v>4620</v>
      </c>
    </row>
    <row r="4623" spans="3:3" x14ac:dyDescent="0.25">
      <c r="C4623" s="26">
        <v>4621</v>
      </c>
    </row>
    <row r="4624" spans="3:3" x14ac:dyDescent="0.25">
      <c r="C4624" s="26">
        <v>4622</v>
      </c>
    </row>
    <row r="4625" spans="3:3" x14ac:dyDescent="0.25">
      <c r="C4625" s="26">
        <v>4623</v>
      </c>
    </row>
    <row r="4626" spans="3:3" x14ac:dyDescent="0.25">
      <c r="C4626" s="26">
        <v>4624</v>
      </c>
    </row>
    <row r="4627" spans="3:3" x14ac:dyDescent="0.25">
      <c r="C4627" s="26">
        <v>4625</v>
      </c>
    </row>
    <row r="4628" spans="3:3" x14ac:dyDescent="0.25">
      <c r="C4628" s="26">
        <v>4626</v>
      </c>
    </row>
    <row r="4629" spans="3:3" x14ac:dyDescent="0.25">
      <c r="C4629" s="26">
        <v>4627</v>
      </c>
    </row>
    <row r="4630" spans="3:3" x14ac:dyDescent="0.25">
      <c r="C4630" s="26">
        <v>4628</v>
      </c>
    </row>
    <row r="4631" spans="3:3" x14ac:dyDescent="0.25">
      <c r="C4631" s="26">
        <v>4629</v>
      </c>
    </row>
    <row r="4632" spans="3:3" x14ac:dyDescent="0.25">
      <c r="C4632" s="26">
        <v>4630</v>
      </c>
    </row>
    <row r="4633" spans="3:3" x14ac:dyDescent="0.25">
      <c r="C4633" s="26">
        <v>4631</v>
      </c>
    </row>
    <row r="4634" spans="3:3" x14ac:dyDescent="0.25">
      <c r="C4634" s="26">
        <v>4632</v>
      </c>
    </row>
    <row r="4635" spans="3:3" x14ac:dyDescent="0.25">
      <c r="C4635" s="26">
        <v>4633</v>
      </c>
    </row>
    <row r="4636" spans="3:3" x14ac:dyDescent="0.25">
      <c r="C4636" s="26">
        <v>4634</v>
      </c>
    </row>
    <row r="4637" spans="3:3" x14ac:dyDescent="0.25">
      <c r="C4637" s="26">
        <v>4635</v>
      </c>
    </row>
    <row r="4638" spans="3:3" x14ac:dyDescent="0.25">
      <c r="C4638" s="26">
        <v>4636</v>
      </c>
    </row>
    <row r="4639" spans="3:3" x14ac:dyDescent="0.25">
      <c r="C4639" s="26">
        <v>4637</v>
      </c>
    </row>
    <row r="4640" spans="3:3" x14ac:dyDescent="0.25">
      <c r="C4640" s="26">
        <v>4638</v>
      </c>
    </row>
    <row r="4641" spans="3:3" x14ac:dyDescent="0.25">
      <c r="C4641" s="26">
        <v>4639</v>
      </c>
    </row>
    <row r="4642" spans="3:3" x14ac:dyDescent="0.25">
      <c r="C4642" s="26">
        <v>4640</v>
      </c>
    </row>
    <row r="4643" spans="3:3" x14ac:dyDescent="0.25">
      <c r="C4643" s="26">
        <v>4641</v>
      </c>
    </row>
    <row r="4644" spans="3:3" x14ac:dyDescent="0.25">
      <c r="C4644" s="26">
        <v>4642</v>
      </c>
    </row>
    <row r="4645" spans="3:3" x14ac:dyDescent="0.25">
      <c r="C4645" s="26">
        <v>4643</v>
      </c>
    </row>
    <row r="4646" spans="3:3" x14ac:dyDescent="0.25">
      <c r="C4646" s="26">
        <v>4644</v>
      </c>
    </row>
    <row r="4647" spans="3:3" x14ac:dyDescent="0.25">
      <c r="C4647" s="26">
        <v>4645</v>
      </c>
    </row>
    <row r="4648" spans="3:3" x14ac:dyDescent="0.25">
      <c r="C4648" s="26">
        <v>4646</v>
      </c>
    </row>
    <row r="4649" spans="3:3" x14ac:dyDescent="0.25">
      <c r="C4649" s="26">
        <v>4647</v>
      </c>
    </row>
    <row r="4650" spans="3:3" x14ac:dyDescent="0.25">
      <c r="C4650" s="26">
        <v>4648</v>
      </c>
    </row>
    <row r="4651" spans="3:3" x14ac:dyDescent="0.25">
      <c r="C4651" s="26">
        <v>4649</v>
      </c>
    </row>
    <row r="4652" spans="3:3" x14ac:dyDescent="0.25">
      <c r="C4652" s="26">
        <v>4650</v>
      </c>
    </row>
    <row r="4653" spans="3:3" x14ac:dyDescent="0.25">
      <c r="C4653" s="26">
        <v>4651</v>
      </c>
    </row>
    <row r="4654" spans="3:3" x14ac:dyDescent="0.25">
      <c r="C4654" s="26">
        <v>4652</v>
      </c>
    </row>
    <row r="4655" spans="3:3" x14ac:dyDescent="0.25">
      <c r="C4655" s="26">
        <v>4653</v>
      </c>
    </row>
    <row r="4656" spans="3:3" x14ac:dyDescent="0.25">
      <c r="C4656" s="26">
        <v>4654</v>
      </c>
    </row>
    <row r="4657" spans="3:3" x14ac:dyDescent="0.25">
      <c r="C4657" s="26">
        <v>4655</v>
      </c>
    </row>
    <row r="4658" spans="3:3" x14ac:dyDescent="0.25">
      <c r="C4658" s="26">
        <v>4656</v>
      </c>
    </row>
    <row r="4659" spans="3:3" x14ac:dyDescent="0.25">
      <c r="C4659" s="26">
        <v>4657</v>
      </c>
    </row>
    <row r="4660" spans="3:3" x14ac:dyDescent="0.25">
      <c r="C4660" s="26">
        <v>4658</v>
      </c>
    </row>
    <row r="4661" spans="3:3" x14ac:dyDescent="0.25">
      <c r="C4661" s="26">
        <v>4659</v>
      </c>
    </row>
    <row r="4662" spans="3:3" x14ac:dyDescent="0.25">
      <c r="C4662" s="26">
        <v>4660</v>
      </c>
    </row>
    <row r="4663" spans="3:3" x14ac:dyDescent="0.25">
      <c r="C4663" s="26">
        <v>4661</v>
      </c>
    </row>
    <row r="4664" spans="3:3" x14ac:dyDescent="0.25">
      <c r="C4664" s="26">
        <v>4662</v>
      </c>
    </row>
    <row r="4665" spans="3:3" x14ac:dyDescent="0.25">
      <c r="C4665" s="26">
        <v>4663</v>
      </c>
    </row>
    <row r="4666" spans="3:3" x14ac:dyDescent="0.25">
      <c r="C4666" s="26">
        <v>4664</v>
      </c>
    </row>
    <row r="4667" spans="3:3" x14ac:dyDescent="0.25">
      <c r="C4667" s="26">
        <v>4665</v>
      </c>
    </row>
    <row r="4668" spans="3:3" x14ac:dyDescent="0.25">
      <c r="C4668" s="26">
        <v>4666</v>
      </c>
    </row>
    <row r="4669" spans="3:3" x14ac:dyDescent="0.25">
      <c r="C4669" s="26">
        <v>4667</v>
      </c>
    </row>
    <row r="4670" spans="3:3" x14ac:dyDescent="0.25">
      <c r="C4670" s="26">
        <v>4668</v>
      </c>
    </row>
    <row r="4671" spans="3:3" x14ac:dyDescent="0.25">
      <c r="C4671" s="26">
        <v>4669</v>
      </c>
    </row>
    <row r="4672" spans="3:3" x14ac:dyDescent="0.25">
      <c r="C4672" s="26">
        <v>4670</v>
      </c>
    </row>
    <row r="4673" spans="3:3" x14ac:dyDescent="0.25">
      <c r="C4673" s="26">
        <v>4671</v>
      </c>
    </row>
    <row r="4674" spans="3:3" x14ac:dyDescent="0.25">
      <c r="C4674" s="26">
        <v>4672</v>
      </c>
    </row>
    <row r="4675" spans="3:3" x14ac:dyDescent="0.25">
      <c r="C4675" s="26">
        <v>4673</v>
      </c>
    </row>
    <row r="4676" spans="3:3" x14ac:dyDescent="0.25">
      <c r="C4676" s="26">
        <v>4674</v>
      </c>
    </row>
    <row r="4677" spans="3:3" x14ac:dyDescent="0.25">
      <c r="C4677" s="26">
        <v>4675</v>
      </c>
    </row>
    <row r="4678" spans="3:3" x14ac:dyDescent="0.25">
      <c r="C4678" s="26">
        <v>4676</v>
      </c>
    </row>
    <row r="4679" spans="3:3" x14ac:dyDescent="0.25">
      <c r="C4679" s="26">
        <v>4677</v>
      </c>
    </row>
    <row r="4680" spans="3:3" x14ac:dyDescent="0.25">
      <c r="C4680" s="26">
        <v>4678</v>
      </c>
    </row>
    <row r="4681" spans="3:3" x14ac:dyDescent="0.25">
      <c r="C4681" s="26">
        <v>4679</v>
      </c>
    </row>
    <row r="4682" spans="3:3" x14ac:dyDescent="0.25">
      <c r="C4682" s="26">
        <v>4680</v>
      </c>
    </row>
    <row r="4683" spans="3:3" x14ac:dyDescent="0.25">
      <c r="C4683" s="26">
        <v>4681</v>
      </c>
    </row>
    <row r="4684" spans="3:3" x14ac:dyDescent="0.25">
      <c r="C4684" s="26">
        <v>4682</v>
      </c>
    </row>
    <row r="4685" spans="3:3" x14ac:dyDescent="0.25">
      <c r="C4685" s="26">
        <v>4683</v>
      </c>
    </row>
    <row r="4686" spans="3:3" x14ac:dyDescent="0.25">
      <c r="C4686" s="26">
        <v>4684</v>
      </c>
    </row>
    <row r="4687" spans="3:3" x14ac:dyDescent="0.25">
      <c r="C4687" s="26">
        <v>4685</v>
      </c>
    </row>
    <row r="4688" spans="3:3" x14ac:dyDescent="0.25">
      <c r="C4688" s="26">
        <v>4686</v>
      </c>
    </row>
    <row r="4689" spans="3:3" x14ac:dyDescent="0.25">
      <c r="C4689" s="26">
        <v>4687</v>
      </c>
    </row>
    <row r="4690" spans="3:3" x14ac:dyDescent="0.25">
      <c r="C4690" s="26">
        <v>4688</v>
      </c>
    </row>
    <row r="4691" spans="3:3" x14ac:dyDescent="0.25">
      <c r="C4691" s="26">
        <v>4689</v>
      </c>
    </row>
    <row r="4692" spans="3:3" x14ac:dyDescent="0.25">
      <c r="C4692" s="26">
        <v>4690</v>
      </c>
    </row>
    <row r="4693" spans="3:3" x14ac:dyDescent="0.25">
      <c r="C4693" s="26">
        <v>4691</v>
      </c>
    </row>
    <row r="4694" spans="3:3" x14ac:dyDescent="0.25">
      <c r="C4694" s="26">
        <v>4692</v>
      </c>
    </row>
    <row r="4695" spans="3:3" x14ac:dyDescent="0.25">
      <c r="C4695" s="26">
        <v>4693</v>
      </c>
    </row>
    <row r="4696" spans="3:3" x14ac:dyDescent="0.25">
      <c r="C4696" s="26">
        <v>4694</v>
      </c>
    </row>
    <row r="4697" spans="3:3" x14ac:dyDescent="0.25">
      <c r="C4697" s="26">
        <v>4695</v>
      </c>
    </row>
    <row r="4698" spans="3:3" x14ac:dyDescent="0.25">
      <c r="C4698" s="26">
        <v>4696</v>
      </c>
    </row>
    <row r="4699" spans="3:3" x14ac:dyDescent="0.25">
      <c r="C4699" s="26">
        <v>4697</v>
      </c>
    </row>
    <row r="4700" spans="3:3" x14ac:dyDescent="0.25">
      <c r="C4700" s="26">
        <v>4698</v>
      </c>
    </row>
    <row r="4701" spans="3:3" x14ac:dyDescent="0.25">
      <c r="C4701" s="26">
        <v>4699</v>
      </c>
    </row>
    <row r="4702" spans="3:3" x14ac:dyDescent="0.25">
      <c r="C4702" s="26">
        <v>4700</v>
      </c>
    </row>
    <row r="4703" spans="3:3" x14ac:dyDescent="0.25">
      <c r="C4703" s="26">
        <v>4701</v>
      </c>
    </row>
    <row r="4704" spans="3:3" x14ac:dyDescent="0.25">
      <c r="C4704" s="26">
        <v>4702</v>
      </c>
    </row>
    <row r="4705" spans="3:3" x14ac:dyDescent="0.25">
      <c r="C4705" s="26">
        <v>4703</v>
      </c>
    </row>
    <row r="4706" spans="3:3" x14ac:dyDescent="0.25">
      <c r="C4706" s="26">
        <v>4704</v>
      </c>
    </row>
    <row r="4707" spans="3:3" x14ac:dyDescent="0.25">
      <c r="C4707" s="26">
        <v>4705</v>
      </c>
    </row>
    <row r="4708" spans="3:3" x14ac:dyDescent="0.25">
      <c r="C4708" s="26">
        <v>4706</v>
      </c>
    </row>
    <row r="4709" spans="3:3" x14ac:dyDescent="0.25">
      <c r="C4709" s="26">
        <v>4707</v>
      </c>
    </row>
    <row r="4710" spans="3:3" x14ac:dyDescent="0.25">
      <c r="C4710" s="26">
        <v>4708</v>
      </c>
    </row>
    <row r="4711" spans="3:3" x14ac:dyDescent="0.25">
      <c r="C4711" s="26">
        <v>4709</v>
      </c>
    </row>
    <row r="4712" spans="3:3" x14ac:dyDescent="0.25">
      <c r="C4712" s="26">
        <v>4710</v>
      </c>
    </row>
    <row r="4713" spans="3:3" x14ac:dyDescent="0.25">
      <c r="C4713" s="26">
        <v>4711</v>
      </c>
    </row>
    <row r="4714" spans="3:3" x14ac:dyDescent="0.25">
      <c r="C4714" s="26">
        <v>4712</v>
      </c>
    </row>
    <row r="4715" spans="3:3" x14ac:dyDescent="0.25">
      <c r="C4715" s="26">
        <v>4713</v>
      </c>
    </row>
    <row r="4716" spans="3:3" x14ac:dyDescent="0.25">
      <c r="C4716" s="26">
        <v>4714</v>
      </c>
    </row>
    <row r="4717" spans="3:3" x14ac:dyDescent="0.25">
      <c r="C4717" s="26">
        <v>4715</v>
      </c>
    </row>
    <row r="4718" spans="3:3" x14ac:dyDescent="0.25">
      <c r="C4718" s="26">
        <v>4716</v>
      </c>
    </row>
    <row r="4719" spans="3:3" x14ac:dyDescent="0.25">
      <c r="C4719" s="26">
        <v>4717</v>
      </c>
    </row>
    <row r="4720" spans="3:3" x14ac:dyDescent="0.25">
      <c r="C4720" s="26">
        <v>4718</v>
      </c>
    </row>
    <row r="4721" spans="3:3" x14ac:dyDescent="0.25">
      <c r="C4721" s="26">
        <v>4719</v>
      </c>
    </row>
    <row r="4722" spans="3:3" x14ac:dyDescent="0.25">
      <c r="C4722" s="26">
        <v>4720</v>
      </c>
    </row>
    <row r="4723" spans="3:3" x14ac:dyDescent="0.25">
      <c r="C4723" s="26">
        <v>4721</v>
      </c>
    </row>
    <row r="4724" spans="3:3" x14ac:dyDescent="0.25">
      <c r="C4724" s="26">
        <v>4722</v>
      </c>
    </row>
    <row r="4725" spans="3:3" x14ac:dyDescent="0.25">
      <c r="C4725" s="26">
        <v>4723</v>
      </c>
    </row>
    <row r="4726" spans="3:3" x14ac:dyDescent="0.25">
      <c r="C4726" s="26">
        <v>4724</v>
      </c>
    </row>
    <row r="4727" spans="3:3" x14ac:dyDescent="0.25">
      <c r="C4727" s="26">
        <v>4725</v>
      </c>
    </row>
    <row r="4728" spans="3:3" x14ac:dyDescent="0.25">
      <c r="C4728" s="26">
        <v>4726</v>
      </c>
    </row>
    <row r="4729" spans="3:3" x14ac:dyDescent="0.25">
      <c r="C4729" s="26">
        <v>4727</v>
      </c>
    </row>
    <row r="4730" spans="3:3" x14ac:dyDescent="0.25">
      <c r="C4730" s="26">
        <v>4728</v>
      </c>
    </row>
    <row r="4731" spans="3:3" x14ac:dyDescent="0.25">
      <c r="C4731" s="26">
        <v>4729</v>
      </c>
    </row>
    <row r="4732" spans="3:3" x14ac:dyDescent="0.25">
      <c r="C4732" s="26">
        <v>4730</v>
      </c>
    </row>
    <row r="4733" spans="3:3" x14ac:dyDescent="0.25">
      <c r="C4733" s="26">
        <v>4731</v>
      </c>
    </row>
    <row r="4734" spans="3:3" x14ac:dyDescent="0.25">
      <c r="C4734" s="26">
        <v>4732</v>
      </c>
    </row>
    <row r="4735" spans="3:3" x14ac:dyDescent="0.25">
      <c r="C4735" s="26">
        <v>4733</v>
      </c>
    </row>
    <row r="4736" spans="3:3" x14ac:dyDescent="0.25">
      <c r="C4736" s="26">
        <v>4734</v>
      </c>
    </row>
    <row r="4737" spans="3:3" x14ac:dyDescent="0.25">
      <c r="C4737" s="26">
        <v>4735</v>
      </c>
    </row>
    <row r="4738" spans="3:3" x14ac:dyDescent="0.25">
      <c r="C4738" s="26">
        <v>4736</v>
      </c>
    </row>
    <row r="4739" spans="3:3" x14ac:dyDescent="0.25">
      <c r="C4739" s="26">
        <v>4737</v>
      </c>
    </row>
    <row r="4740" spans="3:3" x14ac:dyDescent="0.25">
      <c r="C4740" s="26">
        <v>4738</v>
      </c>
    </row>
    <row r="4741" spans="3:3" x14ac:dyDescent="0.25">
      <c r="C4741" s="26">
        <v>4739</v>
      </c>
    </row>
    <row r="4742" spans="3:3" x14ac:dyDescent="0.25">
      <c r="C4742" s="26">
        <v>4740</v>
      </c>
    </row>
    <row r="4743" spans="3:3" x14ac:dyDescent="0.25">
      <c r="C4743" s="26">
        <v>4741</v>
      </c>
    </row>
    <row r="4744" spans="3:3" x14ac:dyDescent="0.25">
      <c r="C4744" s="26">
        <v>4742</v>
      </c>
    </row>
    <row r="4745" spans="3:3" x14ac:dyDescent="0.25">
      <c r="C4745" s="26">
        <v>4743</v>
      </c>
    </row>
    <row r="4746" spans="3:3" x14ac:dyDescent="0.25">
      <c r="C4746" s="26">
        <v>4744</v>
      </c>
    </row>
    <row r="4747" spans="3:3" x14ac:dyDescent="0.25">
      <c r="C4747" s="26">
        <v>4745</v>
      </c>
    </row>
    <row r="4748" spans="3:3" x14ac:dyDescent="0.25">
      <c r="C4748" s="26">
        <v>4746</v>
      </c>
    </row>
    <row r="4749" spans="3:3" x14ac:dyDescent="0.25">
      <c r="C4749" s="26">
        <v>4747</v>
      </c>
    </row>
    <row r="4750" spans="3:3" x14ac:dyDescent="0.25">
      <c r="C4750" s="26">
        <v>4748</v>
      </c>
    </row>
    <row r="4751" spans="3:3" x14ac:dyDescent="0.25">
      <c r="C4751" s="26">
        <v>4749</v>
      </c>
    </row>
    <row r="4752" spans="3:3" x14ac:dyDescent="0.25">
      <c r="C4752" s="26">
        <v>4750</v>
      </c>
    </row>
    <row r="4753" spans="3:3" x14ac:dyDescent="0.25">
      <c r="C4753" s="26">
        <v>4751</v>
      </c>
    </row>
    <row r="4754" spans="3:3" x14ac:dyDescent="0.25">
      <c r="C4754" s="26">
        <v>4752</v>
      </c>
    </row>
    <row r="4755" spans="3:3" x14ac:dyDescent="0.25">
      <c r="C4755" s="26">
        <v>4753</v>
      </c>
    </row>
    <row r="4756" spans="3:3" x14ac:dyDescent="0.25">
      <c r="C4756" s="26">
        <v>4754</v>
      </c>
    </row>
    <row r="4757" spans="3:3" x14ac:dyDescent="0.25">
      <c r="C4757" s="26">
        <v>4755</v>
      </c>
    </row>
    <row r="4758" spans="3:3" x14ac:dyDescent="0.25">
      <c r="C4758" s="26">
        <v>4756</v>
      </c>
    </row>
    <row r="4759" spans="3:3" x14ac:dyDescent="0.25">
      <c r="C4759" s="26">
        <v>4757</v>
      </c>
    </row>
    <row r="4760" spans="3:3" x14ac:dyDescent="0.25">
      <c r="C4760" s="26">
        <v>4758</v>
      </c>
    </row>
    <row r="4761" spans="3:3" x14ac:dyDescent="0.25">
      <c r="C4761" s="26">
        <v>4759</v>
      </c>
    </row>
    <row r="4762" spans="3:3" x14ac:dyDescent="0.25">
      <c r="C4762" s="26">
        <v>4760</v>
      </c>
    </row>
    <row r="4763" spans="3:3" x14ac:dyDescent="0.25">
      <c r="C4763" s="26">
        <v>4761</v>
      </c>
    </row>
    <row r="4764" spans="3:3" x14ac:dyDescent="0.25">
      <c r="C4764" s="26">
        <v>4762</v>
      </c>
    </row>
    <row r="4765" spans="3:3" x14ac:dyDescent="0.25">
      <c r="C4765" s="26">
        <v>4763</v>
      </c>
    </row>
    <row r="4766" spans="3:3" x14ac:dyDescent="0.25">
      <c r="C4766" s="26">
        <v>4764</v>
      </c>
    </row>
    <row r="4767" spans="3:3" x14ac:dyDescent="0.25">
      <c r="C4767" s="26">
        <v>4765</v>
      </c>
    </row>
    <row r="4768" spans="3:3" x14ac:dyDescent="0.25">
      <c r="C4768" s="26">
        <v>4766</v>
      </c>
    </row>
    <row r="4769" spans="3:3" x14ac:dyDescent="0.25">
      <c r="C4769" s="26">
        <v>4767</v>
      </c>
    </row>
    <row r="4770" spans="3:3" x14ac:dyDescent="0.25">
      <c r="C4770" s="26">
        <v>4768</v>
      </c>
    </row>
    <row r="4771" spans="3:3" x14ac:dyDescent="0.25">
      <c r="C4771" s="26">
        <v>4769</v>
      </c>
    </row>
    <row r="4772" spans="3:3" x14ac:dyDescent="0.25">
      <c r="C4772" s="26">
        <v>4770</v>
      </c>
    </row>
    <row r="4773" spans="3:3" x14ac:dyDescent="0.25">
      <c r="C4773" s="26">
        <v>4771</v>
      </c>
    </row>
    <row r="4774" spans="3:3" x14ac:dyDescent="0.25">
      <c r="C4774" s="26">
        <v>4772</v>
      </c>
    </row>
    <row r="4775" spans="3:3" x14ac:dyDescent="0.25">
      <c r="C4775" s="26">
        <v>4773</v>
      </c>
    </row>
    <row r="4776" spans="3:3" x14ac:dyDescent="0.25">
      <c r="C4776" s="26">
        <v>4774</v>
      </c>
    </row>
    <row r="4777" spans="3:3" x14ac:dyDescent="0.25">
      <c r="C4777" s="26">
        <v>4775</v>
      </c>
    </row>
    <row r="4778" spans="3:3" x14ac:dyDescent="0.25">
      <c r="C4778" s="26">
        <v>4776</v>
      </c>
    </row>
    <row r="4779" spans="3:3" x14ac:dyDescent="0.25">
      <c r="C4779" s="26">
        <v>4777</v>
      </c>
    </row>
    <row r="4780" spans="3:3" x14ac:dyDescent="0.25">
      <c r="C4780" s="26">
        <v>4778</v>
      </c>
    </row>
    <row r="4781" spans="3:3" x14ac:dyDescent="0.25">
      <c r="C4781" s="26">
        <v>4779</v>
      </c>
    </row>
    <row r="4782" spans="3:3" x14ac:dyDescent="0.25">
      <c r="C4782" s="26">
        <v>4780</v>
      </c>
    </row>
    <row r="4783" spans="3:3" x14ac:dyDescent="0.25">
      <c r="C4783" s="26">
        <v>4781</v>
      </c>
    </row>
    <row r="4784" spans="3:3" x14ac:dyDescent="0.25">
      <c r="C4784" s="26">
        <v>4782</v>
      </c>
    </row>
    <row r="4785" spans="3:3" x14ac:dyDescent="0.25">
      <c r="C4785" s="26">
        <v>4783</v>
      </c>
    </row>
    <row r="4786" spans="3:3" x14ac:dyDescent="0.25">
      <c r="C4786" s="26">
        <v>4784</v>
      </c>
    </row>
    <row r="4787" spans="3:3" x14ac:dyDescent="0.25">
      <c r="C4787" s="26">
        <v>4785</v>
      </c>
    </row>
    <row r="4788" spans="3:3" x14ac:dyDescent="0.25">
      <c r="C4788" s="26">
        <v>4786</v>
      </c>
    </row>
    <row r="4789" spans="3:3" x14ac:dyDescent="0.25">
      <c r="C4789" s="26">
        <v>4787</v>
      </c>
    </row>
    <row r="4790" spans="3:3" x14ac:dyDescent="0.25">
      <c r="C4790" s="26">
        <v>4788</v>
      </c>
    </row>
    <row r="4791" spans="3:3" x14ac:dyDescent="0.25">
      <c r="C4791" s="26">
        <v>4789</v>
      </c>
    </row>
    <row r="4792" spans="3:3" x14ac:dyDescent="0.25">
      <c r="C4792" s="26">
        <v>4790</v>
      </c>
    </row>
    <row r="4793" spans="3:3" x14ac:dyDescent="0.25">
      <c r="C4793" s="26">
        <v>4791</v>
      </c>
    </row>
    <row r="4794" spans="3:3" x14ac:dyDescent="0.25">
      <c r="C4794" s="26">
        <v>4792</v>
      </c>
    </row>
    <row r="4795" spans="3:3" x14ac:dyDescent="0.25">
      <c r="C4795" s="26">
        <v>4793</v>
      </c>
    </row>
    <row r="4796" spans="3:3" x14ac:dyDescent="0.25">
      <c r="C4796" s="26">
        <v>4794</v>
      </c>
    </row>
    <row r="4797" spans="3:3" x14ac:dyDescent="0.25">
      <c r="C4797" s="26">
        <v>4795</v>
      </c>
    </row>
    <row r="4798" spans="3:3" x14ac:dyDescent="0.25">
      <c r="C4798" s="26">
        <v>4796</v>
      </c>
    </row>
    <row r="4799" spans="3:3" x14ac:dyDescent="0.25">
      <c r="C4799" s="26">
        <v>4797</v>
      </c>
    </row>
    <row r="4800" spans="3:3" x14ac:dyDescent="0.25">
      <c r="C4800" s="26">
        <v>4798</v>
      </c>
    </row>
    <row r="4801" spans="3:3" x14ac:dyDescent="0.25">
      <c r="C4801" s="26">
        <v>4799</v>
      </c>
    </row>
    <row r="4802" spans="3:3" x14ac:dyDescent="0.25">
      <c r="C4802" s="26">
        <v>4800</v>
      </c>
    </row>
    <row r="4803" spans="3:3" x14ac:dyDescent="0.25">
      <c r="C4803" s="26">
        <v>4801</v>
      </c>
    </row>
    <row r="4804" spans="3:3" x14ac:dyDescent="0.25">
      <c r="C4804" s="26">
        <v>4802</v>
      </c>
    </row>
    <row r="4805" spans="3:3" x14ac:dyDescent="0.25">
      <c r="C4805" s="26">
        <v>4803</v>
      </c>
    </row>
    <row r="4806" spans="3:3" x14ac:dyDescent="0.25">
      <c r="C4806" s="26">
        <v>4804</v>
      </c>
    </row>
    <row r="4807" spans="3:3" x14ac:dyDescent="0.25">
      <c r="C4807" s="26">
        <v>4805</v>
      </c>
    </row>
    <row r="4808" spans="3:3" x14ac:dyDescent="0.25">
      <c r="C4808" s="26">
        <v>4806</v>
      </c>
    </row>
    <row r="4809" spans="3:3" x14ac:dyDescent="0.25">
      <c r="C4809" s="26">
        <v>4807</v>
      </c>
    </row>
    <row r="4810" spans="3:3" x14ac:dyDescent="0.25">
      <c r="C4810" s="26">
        <v>4808</v>
      </c>
    </row>
    <row r="4811" spans="3:3" x14ac:dyDescent="0.25">
      <c r="C4811" s="26">
        <v>4809</v>
      </c>
    </row>
    <row r="4812" spans="3:3" x14ac:dyDescent="0.25">
      <c r="C4812" s="26">
        <v>4810</v>
      </c>
    </row>
    <row r="4813" spans="3:3" x14ac:dyDescent="0.25">
      <c r="C4813" s="26">
        <v>4811</v>
      </c>
    </row>
    <row r="4814" spans="3:3" x14ac:dyDescent="0.25">
      <c r="C4814" s="26">
        <v>4812</v>
      </c>
    </row>
    <row r="4815" spans="3:3" x14ac:dyDescent="0.25">
      <c r="C4815" s="26">
        <v>4813</v>
      </c>
    </row>
    <row r="4816" spans="3:3" x14ac:dyDescent="0.25">
      <c r="C4816" s="26">
        <v>4814</v>
      </c>
    </row>
    <row r="4817" spans="3:3" x14ac:dyDescent="0.25">
      <c r="C4817" s="26">
        <v>4815</v>
      </c>
    </row>
    <row r="4818" spans="3:3" x14ac:dyDescent="0.25">
      <c r="C4818" s="26">
        <v>4816</v>
      </c>
    </row>
    <row r="4819" spans="3:3" x14ac:dyDescent="0.25">
      <c r="C4819" s="26">
        <v>4817</v>
      </c>
    </row>
    <row r="4820" spans="3:3" x14ac:dyDescent="0.25">
      <c r="C4820" s="26">
        <v>4818</v>
      </c>
    </row>
    <row r="4821" spans="3:3" x14ac:dyDescent="0.25">
      <c r="C4821" s="26">
        <v>4819</v>
      </c>
    </row>
    <row r="4822" spans="3:3" x14ac:dyDescent="0.25">
      <c r="C4822" s="26">
        <v>4820</v>
      </c>
    </row>
    <row r="4823" spans="3:3" x14ac:dyDescent="0.25">
      <c r="C4823" s="26">
        <v>4821</v>
      </c>
    </row>
    <row r="4824" spans="3:3" x14ac:dyDescent="0.25">
      <c r="C4824" s="26">
        <v>4822</v>
      </c>
    </row>
    <row r="4825" spans="3:3" x14ac:dyDescent="0.25">
      <c r="C4825" s="26">
        <v>4823</v>
      </c>
    </row>
    <row r="4826" spans="3:3" x14ac:dyDescent="0.25">
      <c r="C4826" s="26">
        <v>4824</v>
      </c>
    </row>
    <row r="4827" spans="3:3" x14ac:dyDescent="0.25">
      <c r="C4827" s="26">
        <v>4825</v>
      </c>
    </row>
    <row r="4828" spans="3:3" x14ac:dyDescent="0.25">
      <c r="C4828" s="26">
        <v>4826</v>
      </c>
    </row>
    <row r="4829" spans="3:3" x14ac:dyDescent="0.25">
      <c r="C4829" s="26">
        <v>4827</v>
      </c>
    </row>
    <row r="4830" spans="3:3" x14ac:dyDescent="0.25">
      <c r="C4830" s="26">
        <v>4828</v>
      </c>
    </row>
    <row r="4831" spans="3:3" x14ac:dyDescent="0.25">
      <c r="C4831" s="26">
        <v>4829</v>
      </c>
    </row>
    <row r="4832" spans="3:3" x14ac:dyDescent="0.25">
      <c r="C4832" s="26">
        <v>4830</v>
      </c>
    </row>
    <row r="4833" spans="3:3" x14ac:dyDescent="0.25">
      <c r="C4833" s="26">
        <v>4831</v>
      </c>
    </row>
    <row r="4834" spans="3:3" x14ac:dyDescent="0.25">
      <c r="C4834" s="26">
        <v>4832</v>
      </c>
    </row>
    <row r="4835" spans="3:3" x14ac:dyDescent="0.25">
      <c r="C4835" s="26">
        <v>4833</v>
      </c>
    </row>
    <row r="4836" spans="3:3" x14ac:dyDescent="0.25">
      <c r="C4836" s="26">
        <v>4834</v>
      </c>
    </row>
    <row r="4837" spans="3:3" x14ac:dyDescent="0.25">
      <c r="C4837" s="26">
        <v>4835</v>
      </c>
    </row>
    <row r="4838" spans="3:3" x14ac:dyDescent="0.25">
      <c r="C4838" s="26">
        <v>4836</v>
      </c>
    </row>
    <row r="4839" spans="3:3" x14ac:dyDescent="0.25">
      <c r="C4839" s="26">
        <v>4837</v>
      </c>
    </row>
    <row r="4840" spans="3:3" x14ac:dyDescent="0.25">
      <c r="C4840" s="26">
        <v>4838</v>
      </c>
    </row>
    <row r="4841" spans="3:3" x14ac:dyDescent="0.25">
      <c r="C4841" s="26">
        <v>4839</v>
      </c>
    </row>
    <row r="4842" spans="3:3" x14ac:dyDescent="0.25">
      <c r="C4842" s="26">
        <v>4840</v>
      </c>
    </row>
    <row r="4843" spans="3:3" x14ac:dyDescent="0.25">
      <c r="C4843" s="26">
        <v>4841</v>
      </c>
    </row>
    <row r="4844" spans="3:3" x14ac:dyDescent="0.25">
      <c r="C4844" s="26">
        <v>4842</v>
      </c>
    </row>
    <row r="4845" spans="3:3" x14ac:dyDescent="0.25">
      <c r="C4845" s="26">
        <v>4843</v>
      </c>
    </row>
    <row r="4846" spans="3:3" x14ac:dyDescent="0.25">
      <c r="C4846" s="26">
        <v>4844</v>
      </c>
    </row>
    <row r="4847" spans="3:3" x14ac:dyDescent="0.25">
      <c r="C4847" s="26">
        <v>4845</v>
      </c>
    </row>
    <row r="4848" spans="3:3" x14ac:dyDescent="0.25">
      <c r="C4848" s="26">
        <v>4846</v>
      </c>
    </row>
    <row r="4849" spans="3:3" x14ac:dyDescent="0.25">
      <c r="C4849" s="26">
        <v>4847</v>
      </c>
    </row>
    <row r="4850" spans="3:3" x14ac:dyDescent="0.25">
      <c r="C4850" s="26">
        <v>4848</v>
      </c>
    </row>
    <row r="4851" spans="3:3" x14ac:dyDescent="0.25">
      <c r="C4851" s="26">
        <v>4849</v>
      </c>
    </row>
    <row r="4852" spans="3:3" x14ac:dyDescent="0.25">
      <c r="C4852" s="26">
        <v>4850</v>
      </c>
    </row>
    <row r="4853" spans="3:3" x14ac:dyDescent="0.25">
      <c r="C4853" s="26">
        <v>4851</v>
      </c>
    </row>
    <row r="4854" spans="3:3" x14ac:dyDescent="0.25">
      <c r="C4854" s="26">
        <v>4852</v>
      </c>
    </row>
    <row r="4855" spans="3:3" x14ac:dyDescent="0.25">
      <c r="C4855" s="26">
        <v>4853</v>
      </c>
    </row>
    <row r="4856" spans="3:3" x14ac:dyDescent="0.25">
      <c r="C4856" s="26">
        <v>4854</v>
      </c>
    </row>
    <row r="4857" spans="3:3" x14ac:dyDescent="0.25">
      <c r="C4857" s="26">
        <v>4855</v>
      </c>
    </row>
    <row r="4858" spans="3:3" x14ac:dyDescent="0.25">
      <c r="C4858" s="26">
        <v>4856</v>
      </c>
    </row>
    <row r="4859" spans="3:3" x14ac:dyDescent="0.25">
      <c r="C4859" s="26">
        <v>4857</v>
      </c>
    </row>
    <row r="4860" spans="3:3" x14ac:dyDescent="0.25">
      <c r="C4860" s="26">
        <v>4858</v>
      </c>
    </row>
    <row r="4861" spans="3:3" x14ac:dyDescent="0.25">
      <c r="C4861" s="26">
        <v>4859</v>
      </c>
    </row>
    <row r="4862" spans="3:3" x14ac:dyDescent="0.25">
      <c r="C4862" s="26">
        <v>4860</v>
      </c>
    </row>
    <row r="4863" spans="3:3" x14ac:dyDescent="0.25">
      <c r="C4863" s="26">
        <v>4861</v>
      </c>
    </row>
    <row r="4864" spans="3:3" x14ac:dyDescent="0.25">
      <c r="C4864" s="26">
        <v>4862</v>
      </c>
    </row>
    <row r="4865" spans="3:3" x14ac:dyDescent="0.25">
      <c r="C4865" s="26">
        <v>4863</v>
      </c>
    </row>
    <row r="4866" spans="3:3" x14ac:dyDescent="0.25">
      <c r="C4866" s="26">
        <v>4864</v>
      </c>
    </row>
    <row r="4867" spans="3:3" x14ac:dyDescent="0.25">
      <c r="C4867" s="26">
        <v>4865</v>
      </c>
    </row>
    <row r="4868" spans="3:3" x14ac:dyDescent="0.25">
      <c r="C4868" s="26">
        <v>4866</v>
      </c>
    </row>
    <row r="4869" spans="3:3" x14ac:dyDescent="0.25">
      <c r="C4869" s="26">
        <v>4867</v>
      </c>
    </row>
    <row r="4870" spans="3:3" x14ac:dyDescent="0.25">
      <c r="C4870" s="26">
        <v>4868</v>
      </c>
    </row>
    <row r="4871" spans="3:3" x14ac:dyDescent="0.25">
      <c r="C4871" s="26">
        <v>4869</v>
      </c>
    </row>
    <row r="4872" spans="3:3" x14ac:dyDescent="0.25">
      <c r="C4872" s="26">
        <v>4870</v>
      </c>
    </row>
    <row r="4873" spans="3:3" x14ac:dyDescent="0.25">
      <c r="C4873" s="26">
        <v>4871</v>
      </c>
    </row>
    <row r="4874" spans="3:3" x14ac:dyDescent="0.25">
      <c r="C4874" s="26">
        <v>4872</v>
      </c>
    </row>
    <row r="4875" spans="3:3" x14ac:dyDescent="0.25">
      <c r="C4875" s="26">
        <v>4873</v>
      </c>
    </row>
    <row r="4876" spans="3:3" x14ac:dyDescent="0.25">
      <c r="C4876" s="26">
        <v>4874</v>
      </c>
    </row>
    <row r="4877" spans="3:3" x14ac:dyDescent="0.25">
      <c r="C4877" s="26">
        <v>4875</v>
      </c>
    </row>
    <row r="4878" spans="3:3" x14ac:dyDescent="0.25">
      <c r="C4878" s="26">
        <v>4876</v>
      </c>
    </row>
    <row r="4879" spans="3:3" x14ac:dyDescent="0.25">
      <c r="C4879" s="26">
        <v>4877</v>
      </c>
    </row>
    <row r="4880" spans="3:3" x14ac:dyDescent="0.25">
      <c r="C4880" s="26">
        <v>4878</v>
      </c>
    </row>
    <row r="4881" spans="3:3" x14ac:dyDescent="0.25">
      <c r="C4881" s="26">
        <v>4879</v>
      </c>
    </row>
    <row r="4882" spans="3:3" x14ac:dyDescent="0.25">
      <c r="C4882" s="26">
        <v>4880</v>
      </c>
    </row>
    <row r="4883" spans="3:3" x14ac:dyDescent="0.25">
      <c r="C4883" s="26">
        <v>4881</v>
      </c>
    </row>
    <row r="4884" spans="3:3" x14ac:dyDescent="0.25">
      <c r="C4884" s="26">
        <v>4882</v>
      </c>
    </row>
    <row r="4885" spans="3:3" x14ac:dyDescent="0.25">
      <c r="C4885" s="26">
        <v>4883</v>
      </c>
    </row>
    <row r="4886" spans="3:3" x14ac:dyDescent="0.25">
      <c r="C4886" s="26">
        <v>4884</v>
      </c>
    </row>
    <row r="4887" spans="3:3" x14ac:dyDescent="0.25">
      <c r="C4887" s="26">
        <v>4885</v>
      </c>
    </row>
    <row r="4888" spans="3:3" x14ac:dyDescent="0.25">
      <c r="C4888" s="26">
        <v>4886</v>
      </c>
    </row>
    <row r="4889" spans="3:3" x14ac:dyDescent="0.25">
      <c r="C4889" s="26">
        <v>4887</v>
      </c>
    </row>
    <row r="4890" spans="3:3" x14ac:dyDescent="0.25">
      <c r="C4890" s="26">
        <v>4888</v>
      </c>
    </row>
    <row r="4891" spans="3:3" x14ac:dyDescent="0.25">
      <c r="C4891" s="26">
        <v>4889</v>
      </c>
    </row>
    <row r="4892" spans="3:3" x14ac:dyDescent="0.25">
      <c r="C4892" s="26">
        <v>4890</v>
      </c>
    </row>
    <row r="4893" spans="3:3" x14ac:dyDescent="0.25">
      <c r="C4893" s="26">
        <v>4891</v>
      </c>
    </row>
    <row r="4894" spans="3:3" x14ac:dyDescent="0.25">
      <c r="C4894" s="26">
        <v>4892</v>
      </c>
    </row>
    <row r="4895" spans="3:3" x14ac:dyDescent="0.25">
      <c r="C4895" s="26">
        <v>4893</v>
      </c>
    </row>
    <row r="4896" spans="3:3" x14ac:dyDescent="0.25">
      <c r="C4896" s="26">
        <v>4894</v>
      </c>
    </row>
    <row r="4897" spans="3:3" x14ac:dyDescent="0.25">
      <c r="C4897" s="26">
        <v>4895</v>
      </c>
    </row>
    <row r="4898" spans="3:3" x14ac:dyDescent="0.25">
      <c r="C4898" s="26">
        <v>4896</v>
      </c>
    </row>
    <row r="4899" spans="3:3" x14ac:dyDescent="0.25">
      <c r="C4899" s="26">
        <v>4897</v>
      </c>
    </row>
    <row r="4900" spans="3:3" x14ac:dyDescent="0.25">
      <c r="C4900" s="26">
        <v>4898</v>
      </c>
    </row>
    <row r="4901" spans="3:3" x14ac:dyDescent="0.25">
      <c r="C4901" s="26">
        <v>4899</v>
      </c>
    </row>
    <row r="4902" spans="3:3" x14ac:dyDescent="0.25">
      <c r="C4902" s="26">
        <v>4900</v>
      </c>
    </row>
    <row r="4903" spans="3:3" x14ac:dyDescent="0.25">
      <c r="C4903" s="26">
        <v>4901</v>
      </c>
    </row>
    <row r="4904" spans="3:3" x14ac:dyDescent="0.25">
      <c r="C4904" s="26">
        <v>4902</v>
      </c>
    </row>
    <row r="4905" spans="3:3" x14ac:dyDescent="0.25">
      <c r="C4905" s="26">
        <v>4903</v>
      </c>
    </row>
    <row r="4906" spans="3:3" x14ac:dyDescent="0.25">
      <c r="C4906" s="26">
        <v>4904</v>
      </c>
    </row>
    <row r="4907" spans="3:3" x14ac:dyDescent="0.25">
      <c r="C4907" s="26">
        <v>4905</v>
      </c>
    </row>
    <row r="4908" spans="3:3" x14ac:dyDescent="0.25">
      <c r="C4908" s="26">
        <v>4906</v>
      </c>
    </row>
    <row r="4909" spans="3:3" x14ac:dyDescent="0.25">
      <c r="C4909" s="26">
        <v>4907</v>
      </c>
    </row>
    <row r="4910" spans="3:3" x14ac:dyDescent="0.25">
      <c r="C4910" s="26">
        <v>4908</v>
      </c>
    </row>
    <row r="4911" spans="3:3" x14ac:dyDescent="0.25">
      <c r="C4911" s="26">
        <v>4909</v>
      </c>
    </row>
    <row r="4912" spans="3:3" x14ac:dyDescent="0.25">
      <c r="C4912" s="26">
        <v>4910</v>
      </c>
    </row>
    <row r="4913" spans="3:3" x14ac:dyDescent="0.25">
      <c r="C4913" s="26">
        <v>4911</v>
      </c>
    </row>
    <row r="4914" spans="3:3" x14ac:dyDescent="0.25">
      <c r="C4914" s="26">
        <v>4912</v>
      </c>
    </row>
    <row r="4915" spans="3:3" x14ac:dyDescent="0.25">
      <c r="C4915" s="26">
        <v>4913</v>
      </c>
    </row>
    <row r="4916" spans="3:3" x14ac:dyDescent="0.25">
      <c r="C4916" s="26">
        <v>4914</v>
      </c>
    </row>
    <row r="4917" spans="3:3" x14ac:dyDescent="0.25">
      <c r="C4917" s="26">
        <v>4915</v>
      </c>
    </row>
    <row r="4918" spans="3:3" x14ac:dyDescent="0.25">
      <c r="C4918" s="26">
        <v>4916</v>
      </c>
    </row>
    <row r="4919" spans="3:3" x14ac:dyDescent="0.25">
      <c r="C4919" s="26">
        <v>4917</v>
      </c>
    </row>
    <row r="4920" spans="3:3" x14ac:dyDescent="0.25">
      <c r="C4920" s="26">
        <v>4918</v>
      </c>
    </row>
    <row r="4921" spans="3:3" x14ac:dyDescent="0.25">
      <c r="C4921" s="26">
        <v>4919</v>
      </c>
    </row>
    <row r="4922" spans="3:3" x14ac:dyDescent="0.25">
      <c r="C4922" s="26">
        <v>4920</v>
      </c>
    </row>
    <row r="4923" spans="3:3" x14ac:dyDescent="0.25">
      <c r="C4923" s="26">
        <v>4921</v>
      </c>
    </row>
    <row r="4924" spans="3:3" x14ac:dyDescent="0.25">
      <c r="C4924" s="26">
        <v>4922</v>
      </c>
    </row>
    <row r="4925" spans="3:3" x14ac:dyDescent="0.25">
      <c r="C4925" s="26">
        <v>4923</v>
      </c>
    </row>
    <row r="4926" spans="3:3" x14ac:dyDescent="0.25">
      <c r="C4926" s="26">
        <v>4924</v>
      </c>
    </row>
    <row r="4927" spans="3:3" x14ac:dyDescent="0.25">
      <c r="C4927" s="26">
        <v>4925</v>
      </c>
    </row>
    <row r="4928" spans="3:3" x14ac:dyDescent="0.25">
      <c r="C4928" s="26">
        <v>4926</v>
      </c>
    </row>
    <row r="4929" spans="3:3" x14ac:dyDescent="0.25">
      <c r="C4929" s="26">
        <v>4927</v>
      </c>
    </row>
    <row r="4930" spans="3:3" x14ac:dyDescent="0.25">
      <c r="C4930" s="26">
        <v>4928</v>
      </c>
    </row>
    <row r="4931" spans="3:3" x14ac:dyDescent="0.25">
      <c r="C4931" s="26">
        <v>4929</v>
      </c>
    </row>
    <row r="4932" spans="3:3" x14ac:dyDescent="0.25">
      <c r="C4932" s="26">
        <v>4930</v>
      </c>
    </row>
    <row r="4933" spans="3:3" x14ac:dyDescent="0.25">
      <c r="C4933" s="26">
        <v>4931</v>
      </c>
    </row>
    <row r="4934" spans="3:3" x14ac:dyDescent="0.25">
      <c r="C4934" s="26">
        <v>4932</v>
      </c>
    </row>
    <row r="4935" spans="3:3" x14ac:dyDescent="0.25">
      <c r="C4935" s="26">
        <v>4933</v>
      </c>
    </row>
    <row r="4936" spans="3:3" x14ac:dyDescent="0.25">
      <c r="C4936" s="26">
        <v>4934</v>
      </c>
    </row>
    <row r="4937" spans="3:3" x14ac:dyDescent="0.25">
      <c r="C4937" s="26">
        <v>4935</v>
      </c>
    </row>
    <row r="4938" spans="3:3" x14ac:dyDescent="0.25">
      <c r="C4938" s="26">
        <v>4936</v>
      </c>
    </row>
    <row r="4939" spans="3:3" x14ac:dyDescent="0.25">
      <c r="C4939" s="26">
        <v>4937</v>
      </c>
    </row>
    <row r="4940" spans="3:3" x14ac:dyDescent="0.25">
      <c r="C4940" s="26">
        <v>4938</v>
      </c>
    </row>
    <row r="4941" spans="3:3" x14ac:dyDescent="0.25">
      <c r="C4941" s="26">
        <v>4939</v>
      </c>
    </row>
    <row r="4942" spans="3:3" x14ac:dyDescent="0.25">
      <c r="C4942" s="26">
        <v>4940</v>
      </c>
    </row>
    <row r="4943" spans="3:3" x14ac:dyDescent="0.25">
      <c r="C4943" s="26">
        <v>4941</v>
      </c>
    </row>
    <row r="4944" spans="3:3" x14ac:dyDescent="0.25">
      <c r="C4944" s="26">
        <v>4942</v>
      </c>
    </row>
    <row r="4945" spans="3:3" x14ac:dyDescent="0.25">
      <c r="C4945" s="26">
        <v>4943</v>
      </c>
    </row>
    <row r="4946" spans="3:3" x14ac:dyDescent="0.25">
      <c r="C4946" s="26">
        <v>4944</v>
      </c>
    </row>
    <row r="4947" spans="3:3" x14ac:dyDescent="0.25">
      <c r="C4947" s="26">
        <v>4945</v>
      </c>
    </row>
    <row r="4948" spans="3:3" x14ac:dyDescent="0.25">
      <c r="C4948" s="26">
        <v>4946</v>
      </c>
    </row>
    <row r="4949" spans="3:3" x14ac:dyDescent="0.25">
      <c r="C4949" s="26">
        <v>4947</v>
      </c>
    </row>
    <row r="4950" spans="3:3" x14ac:dyDescent="0.25">
      <c r="C4950" s="26">
        <v>4948</v>
      </c>
    </row>
    <row r="4951" spans="3:3" x14ac:dyDescent="0.25">
      <c r="C4951" s="26">
        <v>4949</v>
      </c>
    </row>
    <row r="4952" spans="3:3" x14ac:dyDescent="0.25">
      <c r="C4952" s="26">
        <v>4950</v>
      </c>
    </row>
    <row r="4953" spans="3:3" x14ac:dyDescent="0.25">
      <c r="C4953" s="26">
        <v>4951</v>
      </c>
    </row>
    <row r="4954" spans="3:3" x14ac:dyDescent="0.25">
      <c r="C4954" s="26">
        <v>4952</v>
      </c>
    </row>
    <row r="4955" spans="3:3" x14ac:dyDescent="0.25">
      <c r="C4955" s="26">
        <v>4953</v>
      </c>
    </row>
    <row r="4956" spans="3:3" x14ac:dyDescent="0.25">
      <c r="C4956" s="26">
        <v>4954</v>
      </c>
    </row>
    <row r="4957" spans="3:3" x14ac:dyDescent="0.25">
      <c r="C4957" s="26">
        <v>4955</v>
      </c>
    </row>
    <row r="4958" spans="3:3" x14ac:dyDescent="0.25">
      <c r="C4958" s="26">
        <v>4956</v>
      </c>
    </row>
    <row r="4959" spans="3:3" x14ac:dyDescent="0.25">
      <c r="C4959" s="26">
        <v>4957</v>
      </c>
    </row>
    <row r="4960" spans="3:3" x14ac:dyDescent="0.25">
      <c r="C4960" s="26">
        <v>4958</v>
      </c>
    </row>
    <row r="4961" spans="3:3" x14ac:dyDescent="0.25">
      <c r="C4961" s="26">
        <v>4959</v>
      </c>
    </row>
    <row r="4962" spans="3:3" x14ac:dyDescent="0.25">
      <c r="C4962" s="26">
        <v>4960</v>
      </c>
    </row>
    <row r="4963" spans="3:3" x14ac:dyDescent="0.25">
      <c r="C4963" s="26">
        <v>4961</v>
      </c>
    </row>
    <row r="4964" spans="3:3" x14ac:dyDescent="0.25">
      <c r="C4964" s="26">
        <v>4962</v>
      </c>
    </row>
    <row r="4965" spans="3:3" x14ac:dyDescent="0.25">
      <c r="C4965" s="26">
        <v>4963</v>
      </c>
    </row>
    <row r="4966" spans="3:3" x14ac:dyDescent="0.25">
      <c r="C4966" s="26">
        <v>4964</v>
      </c>
    </row>
    <row r="4967" spans="3:3" x14ac:dyDescent="0.25">
      <c r="C4967" s="26">
        <v>4965</v>
      </c>
    </row>
    <row r="4968" spans="3:3" x14ac:dyDescent="0.25">
      <c r="C4968" s="26">
        <v>4966</v>
      </c>
    </row>
    <row r="4969" spans="3:3" x14ac:dyDescent="0.25">
      <c r="C4969" s="26">
        <v>4967</v>
      </c>
    </row>
    <row r="4970" spans="3:3" x14ac:dyDescent="0.25">
      <c r="C4970" s="26">
        <v>4968</v>
      </c>
    </row>
    <row r="4971" spans="3:3" x14ac:dyDescent="0.25">
      <c r="C4971" s="26">
        <v>4969</v>
      </c>
    </row>
    <row r="4972" spans="3:3" x14ac:dyDescent="0.25">
      <c r="C4972" s="26">
        <v>4970</v>
      </c>
    </row>
    <row r="4973" spans="3:3" x14ac:dyDescent="0.25">
      <c r="C4973" s="26">
        <v>4971</v>
      </c>
    </row>
    <row r="4974" spans="3:3" x14ac:dyDescent="0.25">
      <c r="C4974" s="26">
        <v>4972</v>
      </c>
    </row>
    <row r="4975" spans="3:3" x14ac:dyDescent="0.25">
      <c r="C4975" s="26">
        <v>4973</v>
      </c>
    </row>
    <row r="4976" spans="3:3" x14ac:dyDescent="0.25">
      <c r="C4976" s="26">
        <v>4974</v>
      </c>
    </row>
    <row r="4977" spans="3:3" x14ac:dyDescent="0.25">
      <c r="C4977" s="26">
        <v>4975</v>
      </c>
    </row>
    <row r="4978" spans="3:3" x14ac:dyDescent="0.25">
      <c r="C4978" s="26">
        <v>4976</v>
      </c>
    </row>
    <row r="4979" spans="3:3" x14ac:dyDescent="0.25">
      <c r="C4979" s="26">
        <v>4977</v>
      </c>
    </row>
    <row r="4980" spans="3:3" x14ac:dyDescent="0.25">
      <c r="C4980" s="26">
        <v>4978</v>
      </c>
    </row>
    <row r="4981" spans="3:3" x14ac:dyDescent="0.25">
      <c r="C4981" s="26">
        <v>4979</v>
      </c>
    </row>
    <row r="4982" spans="3:3" x14ac:dyDescent="0.25">
      <c r="C4982" s="26">
        <v>4980</v>
      </c>
    </row>
    <row r="4983" spans="3:3" x14ac:dyDescent="0.25">
      <c r="C4983" s="26">
        <v>4981</v>
      </c>
    </row>
    <row r="4984" spans="3:3" x14ac:dyDescent="0.25">
      <c r="C4984" s="26">
        <v>4982</v>
      </c>
    </row>
    <row r="4985" spans="3:3" x14ac:dyDescent="0.25">
      <c r="C4985" s="26">
        <v>4983</v>
      </c>
    </row>
    <row r="4986" spans="3:3" x14ac:dyDescent="0.25">
      <c r="C4986" s="26">
        <v>4984</v>
      </c>
    </row>
    <row r="4987" spans="3:3" x14ac:dyDescent="0.25">
      <c r="C4987" s="26">
        <v>4985</v>
      </c>
    </row>
    <row r="4988" spans="3:3" x14ac:dyDescent="0.25">
      <c r="C4988" s="26">
        <v>4986</v>
      </c>
    </row>
    <row r="4989" spans="3:3" x14ac:dyDescent="0.25">
      <c r="C4989" s="26">
        <v>4987</v>
      </c>
    </row>
    <row r="4990" spans="3:3" x14ac:dyDescent="0.25">
      <c r="C4990" s="26">
        <v>4988</v>
      </c>
    </row>
    <row r="4991" spans="3:3" x14ac:dyDescent="0.25">
      <c r="C4991" s="26">
        <v>4989</v>
      </c>
    </row>
    <row r="4992" spans="3:3" x14ac:dyDescent="0.25">
      <c r="C4992" s="26">
        <v>4990</v>
      </c>
    </row>
    <row r="4993" spans="3:3" x14ac:dyDescent="0.25">
      <c r="C4993" s="26">
        <v>4991</v>
      </c>
    </row>
    <row r="4994" spans="3:3" x14ac:dyDescent="0.25">
      <c r="C4994" s="26">
        <v>4992</v>
      </c>
    </row>
    <row r="4995" spans="3:3" x14ac:dyDescent="0.25">
      <c r="C4995" s="26">
        <v>4993</v>
      </c>
    </row>
    <row r="4996" spans="3:3" x14ac:dyDescent="0.25">
      <c r="C4996" s="26">
        <v>4994</v>
      </c>
    </row>
    <row r="4997" spans="3:3" x14ac:dyDescent="0.25">
      <c r="C4997" s="26">
        <v>4995</v>
      </c>
    </row>
    <row r="4998" spans="3:3" x14ac:dyDescent="0.25">
      <c r="C4998" s="26">
        <v>4996</v>
      </c>
    </row>
    <row r="4999" spans="3:3" x14ac:dyDescent="0.25">
      <c r="C4999" s="26">
        <v>4997</v>
      </c>
    </row>
    <row r="5000" spans="3:3" x14ac:dyDescent="0.25">
      <c r="C5000" s="26">
        <v>4998</v>
      </c>
    </row>
    <row r="5001" spans="3:3" x14ac:dyDescent="0.25">
      <c r="C5001" s="26">
        <v>4999</v>
      </c>
    </row>
    <row r="5002" spans="3:3" x14ac:dyDescent="0.25">
      <c r="C5002" s="26">
        <v>5000</v>
      </c>
    </row>
    <row r="5003" spans="3:3" x14ac:dyDescent="0.25">
      <c r="C5003" s="26">
        <v>5001</v>
      </c>
    </row>
    <row r="5004" spans="3:3" x14ac:dyDescent="0.25">
      <c r="C5004" s="26">
        <v>5002</v>
      </c>
    </row>
    <row r="5005" spans="3:3" x14ac:dyDescent="0.25">
      <c r="C5005" s="26">
        <v>5003</v>
      </c>
    </row>
    <row r="5006" spans="3:3" x14ac:dyDescent="0.25">
      <c r="C5006" s="26">
        <v>5004</v>
      </c>
    </row>
    <row r="5007" spans="3:3" x14ac:dyDescent="0.25">
      <c r="C5007" s="26">
        <v>5005</v>
      </c>
    </row>
    <row r="5008" spans="3:3" x14ac:dyDescent="0.25">
      <c r="C5008" s="26">
        <v>5006</v>
      </c>
    </row>
    <row r="5009" spans="3:3" x14ac:dyDescent="0.25">
      <c r="C5009" s="26">
        <v>5007</v>
      </c>
    </row>
    <row r="5010" spans="3:3" x14ac:dyDescent="0.25">
      <c r="C5010" s="26">
        <v>5008</v>
      </c>
    </row>
    <row r="5011" spans="3:3" x14ac:dyDescent="0.25">
      <c r="C5011" s="26">
        <v>5009</v>
      </c>
    </row>
    <row r="5012" spans="3:3" x14ac:dyDescent="0.25">
      <c r="C5012" s="26">
        <v>5010</v>
      </c>
    </row>
    <row r="5013" spans="3:3" x14ac:dyDescent="0.25">
      <c r="C5013" s="26">
        <v>5011</v>
      </c>
    </row>
    <row r="5014" spans="3:3" x14ac:dyDescent="0.25">
      <c r="C5014" s="26">
        <v>5012</v>
      </c>
    </row>
    <row r="5015" spans="3:3" x14ac:dyDescent="0.25">
      <c r="C5015" s="26">
        <v>5013</v>
      </c>
    </row>
    <row r="5016" spans="3:3" x14ac:dyDescent="0.25">
      <c r="C5016" s="26">
        <v>5014</v>
      </c>
    </row>
    <row r="5017" spans="3:3" x14ac:dyDescent="0.25">
      <c r="C5017" s="26">
        <v>5015</v>
      </c>
    </row>
    <row r="5018" spans="3:3" x14ac:dyDescent="0.25">
      <c r="C5018" s="26">
        <v>5016</v>
      </c>
    </row>
    <row r="5019" spans="3:3" x14ac:dyDescent="0.25">
      <c r="C5019" s="26">
        <v>5017</v>
      </c>
    </row>
    <row r="5020" spans="3:3" x14ac:dyDescent="0.25">
      <c r="C5020" s="26">
        <v>5018</v>
      </c>
    </row>
    <row r="5021" spans="3:3" x14ac:dyDescent="0.25">
      <c r="C5021" s="26">
        <v>5019</v>
      </c>
    </row>
    <row r="5022" spans="3:3" x14ac:dyDescent="0.25">
      <c r="C5022" s="26">
        <v>5020</v>
      </c>
    </row>
    <row r="5023" spans="3:3" x14ac:dyDescent="0.25">
      <c r="C5023" s="26">
        <v>5021</v>
      </c>
    </row>
    <row r="5024" spans="3:3" x14ac:dyDescent="0.25">
      <c r="C5024" s="26">
        <v>5022</v>
      </c>
    </row>
    <row r="5025" spans="3:3" x14ac:dyDescent="0.25">
      <c r="C5025" s="26">
        <v>5023</v>
      </c>
    </row>
    <row r="5026" spans="3:3" x14ac:dyDescent="0.25">
      <c r="C5026" s="26">
        <v>5024</v>
      </c>
    </row>
    <row r="5027" spans="3:3" x14ac:dyDescent="0.25">
      <c r="C5027" s="26">
        <v>5025</v>
      </c>
    </row>
    <row r="5028" spans="3:3" x14ac:dyDescent="0.25">
      <c r="C5028" s="26">
        <v>5026</v>
      </c>
    </row>
    <row r="5029" spans="3:3" x14ac:dyDescent="0.25">
      <c r="C5029" s="26">
        <v>5027</v>
      </c>
    </row>
    <row r="5030" spans="3:3" x14ac:dyDescent="0.25">
      <c r="C5030" s="26">
        <v>5028</v>
      </c>
    </row>
    <row r="5031" spans="3:3" x14ac:dyDescent="0.25">
      <c r="C5031" s="26">
        <v>5029</v>
      </c>
    </row>
    <row r="5032" spans="3:3" x14ac:dyDescent="0.25">
      <c r="C5032" s="26">
        <v>5030</v>
      </c>
    </row>
    <row r="5033" spans="3:3" x14ac:dyDescent="0.25">
      <c r="C5033" s="26">
        <v>5031</v>
      </c>
    </row>
    <row r="5034" spans="3:3" x14ac:dyDescent="0.25">
      <c r="C5034" s="26">
        <v>5032</v>
      </c>
    </row>
    <row r="5035" spans="3:3" x14ac:dyDescent="0.25">
      <c r="C5035" s="26">
        <v>5033</v>
      </c>
    </row>
    <row r="5036" spans="3:3" x14ac:dyDescent="0.25">
      <c r="C5036" s="26">
        <v>5034</v>
      </c>
    </row>
    <row r="5037" spans="3:3" x14ac:dyDescent="0.25">
      <c r="C5037" s="26">
        <v>5035</v>
      </c>
    </row>
    <row r="5038" spans="3:3" x14ac:dyDescent="0.25">
      <c r="C5038" s="26">
        <v>5036</v>
      </c>
    </row>
    <row r="5039" spans="3:3" x14ac:dyDescent="0.25">
      <c r="C5039" s="26">
        <v>5037</v>
      </c>
    </row>
    <row r="5040" spans="3:3" x14ac:dyDescent="0.25">
      <c r="C5040" s="26">
        <v>5038</v>
      </c>
    </row>
    <row r="5041" spans="3:3" x14ac:dyDescent="0.25">
      <c r="C5041" s="26">
        <v>5039</v>
      </c>
    </row>
    <row r="5042" spans="3:3" x14ac:dyDescent="0.25">
      <c r="C5042" s="26">
        <v>5040</v>
      </c>
    </row>
    <row r="5043" spans="3:3" x14ac:dyDescent="0.25">
      <c r="C5043" s="26">
        <v>5041</v>
      </c>
    </row>
    <row r="5044" spans="3:3" x14ac:dyDescent="0.25">
      <c r="C5044" s="26">
        <v>5042</v>
      </c>
    </row>
    <row r="5045" spans="3:3" x14ac:dyDescent="0.25">
      <c r="C5045" s="26">
        <v>5043</v>
      </c>
    </row>
    <row r="5046" spans="3:3" x14ac:dyDescent="0.25">
      <c r="C5046" s="26">
        <v>5044</v>
      </c>
    </row>
    <row r="5047" spans="3:3" x14ac:dyDescent="0.25">
      <c r="C5047" s="26">
        <v>5045</v>
      </c>
    </row>
    <row r="5048" spans="3:3" x14ac:dyDescent="0.25">
      <c r="C5048" s="26">
        <v>5046</v>
      </c>
    </row>
    <row r="5049" spans="3:3" x14ac:dyDescent="0.25">
      <c r="C5049" s="26">
        <v>5047</v>
      </c>
    </row>
    <row r="5050" spans="3:3" x14ac:dyDescent="0.25">
      <c r="C5050" s="26">
        <v>5048</v>
      </c>
    </row>
    <row r="5051" spans="3:3" x14ac:dyDescent="0.25">
      <c r="C5051" s="26">
        <v>5049</v>
      </c>
    </row>
    <row r="5052" spans="3:3" x14ac:dyDescent="0.25">
      <c r="C5052" s="26">
        <v>5050</v>
      </c>
    </row>
    <row r="5053" spans="3:3" x14ac:dyDescent="0.25">
      <c r="C5053" s="26">
        <v>5051</v>
      </c>
    </row>
    <row r="5054" spans="3:3" x14ac:dyDescent="0.25">
      <c r="C5054" s="26">
        <v>5052</v>
      </c>
    </row>
    <row r="5055" spans="3:3" x14ac:dyDescent="0.25">
      <c r="C5055" s="26">
        <v>5053</v>
      </c>
    </row>
    <row r="5056" spans="3:3" x14ac:dyDescent="0.25">
      <c r="C5056" s="26">
        <v>5054</v>
      </c>
    </row>
    <row r="5057" spans="3:3" x14ac:dyDescent="0.25">
      <c r="C5057" s="26">
        <v>5055</v>
      </c>
    </row>
    <row r="5058" spans="3:3" x14ac:dyDescent="0.25">
      <c r="C5058" s="26">
        <v>5056</v>
      </c>
    </row>
    <row r="5059" spans="3:3" x14ac:dyDescent="0.25">
      <c r="C5059" s="26">
        <v>5057</v>
      </c>
    </row>
    <row r="5060" spans="3:3" x14ac:dyDescent="0.25">
      <c r="C5060" s="26">
        <v>5058</v>
      </c>
    </row>
    <row r="5061" spans="3:3" x14ac:dyDescent="0.25">
      <c r="C5061" s="26">
        <v>5059</v>
      </c>
    </row>
    <row r="5062" spans="3:3" x14ac:dyDescent="0.25">
      <c r="C5062" s="26">
        <v>5060</v>
      </c>
    </row>
    <row r="5063" spans="3:3" x14ac:dyDescent="0.25">
      <c r="C5063" s="26">
        <v>5061</v>
      </c>
    </row>
    <row r="5064" spans="3:3" x14ac:dyDescent="0.25">
      <c r="C5064" s="26">
        <v>5062</v>
      </c>
    </row>
    <row r="5065" spans="3:3" x14ac:dyDescent="0.25">
      <c r="C5065" s="26">
        <v>5063</v>
      </c>
    </row>
    <row r="5066" spans="3:3" x14ac:dyDescent="0.25">
      <c r="C5066" s="26">
        <v>5064</v>
      </c>
    </row>
    <row r="5067" spans="3:3" x14ac:dyDescent="0.25">
      <c r="C5067" s="26">
        <v>5065</v>
      </c>
    </row>
    <row r="5068" spans="3:3" x14ac:dyDescent="0.25">
      <c r="C5068" s="26">
        <v>5066</v>
      </c>
    </row>
    <row r="5069" spans="3:3" x14ac:dyDescent="0.25">
      <c r="C5069" s="26">
        <v>5067</v>
      </c>
    </row>
    <row r="5070" spans="3:3" x14ac:dyDescent="0.25">
      <c r="C5070" s="26">
        <v>5068</v>
      </c>
    </row>
    <row r="5071" spans="3:3" x14ac:dyDescent="0.25">
      <c r="C5071" s="26">
        <v>5069</v>
      </c>
    </row>
    <row r="5072" spans="3:3" x14ac:dyDescent="0.25">
      <c r="C5072" s="26">
        <v>5070</v>
      </c>
    </row>
    <row r="5073" spans="3:3" x14ac:dyDescent="0.25">
      <c r="C5073" s="26">
        <v>5071</v>
      </c>
    </row>
    <row r="5074" spans="3:3" x14ac:dyDescent="0.25">
      <c r="C5074" s="26">
        <v>5072</v>
      </c>
    </row>
    <row r="5075" spans="3:3" x14ac:dyDescent="0.25">
      <c r="C5075" s="26">
        <v>5073</v>
      </c>
    </row>
    <row r="5076" spans="3:3" x14ac:dyDescent="0.25">
      <c r="C5076" s="26">
        <v>5074</v>
      </c>
    </row>
    <row r="5077" spans="3:3" x14ac:dyDescent="0.25">
      <c r="C5077" s="26">
        <v>5075</v>
      </c>
    </row>
    <row r="5078" spans="3:3" x14ac:dyDescent="0.25">
      <c r="C5078" s="26">
        <v>5076</v>
      </c>
    </row>
    <row r="5079" spans="3:3" x14ac:dyDescent="0.25">
      <c r="C5079" s="26">
        <v>5077</v>
      </c>
    </row>
    <row r="5080" spans="3:3" x14ac:dyDescent="0.25">
      <c r="C5080" s="26">
        <v>5078</v>
      </c>
    </row>
    <row r="5081" spans="3:3" x14ac:dyDescent="0.25">
      <c r="C5081" s="26">
        <v>5079</v>
      </c>
    </row>
    <row r="5082" spans="3:3" x14ac:dyDescent="0.25">
      <c r="C5082" s="26">
        <v>5080</v>
      </c>
    </row>
    <row r="5083" spans="3:3" x14ac:dyDescent="0.25">
      <c r="C5083" s="26">
        <v>5081</v>
      </c>
    </row>
    <row r="5084" spans="3:3" x14ac:dyDescent="0.25">
      <c r="C5084" s="26">
        <v>5082</v>
      </c>
    </row>
    <row r="5085" spans="3:3" x14ac:dyDescent="0.25">
      <c r="C5085" s="26">
        <v>5083</v>
      </c>
    </row>
    <row r="5086" spans="3:3" x14ac:dyDescent="0.25">
      <c r="C5086" s="26">
        <v>5084</v>
      </c>
    </row>
    <row r="5087" spans="3:3" x14ac:dyDescent="0.25">
      <c r="C5087" s="26">
        <v>5085</v>
      </c>
    </row>
    <row r="5088" spans="3:3" x14ac:dyDescent="0.25">
      <c r="C5088" s="26">
        <v>5086</v>
      </c>
    </row>
    <row r="5089" spans="3:3" x14ac:dyDescent="0.25">
      <c r="C5089" s="26">
        <v>5087</v>
      </c>
    </row>
    <row r="5090" spans="3:3" x14ac:dyDescent="0.25">
      <c r="C5090" s="26">
        <v>5088</v>
      </c>
    </row>
    <row r="5091" spans="3:3" x14ac:dyDescent="0.25">
      <c r="C5091" s="26">
        <v>5089</v>
      </c>
    </row>
    <row r="5092" spans="3:3" x14ac:dyDescent="0.25">
      <c r="C5092" s="26">
        <v>5090</v>
      </c>
    </row>
    <row r="5093" spans="3:3" x14ac:dyDescent="0.25">
      <c r="C5093" s="26">
        <v>5091</v>
      </c>
    </row>
    <row r="5094" spans="3:3" x14ac:dyDescent="0.25">
      <c r="C5094" s="26">
        <v>5092</v>
      </c>
    </row>
    <row r="5095" spans="3:3" x14ac:dyDescent="0.25">
      <c r="C5095" s="26">
        <v>5093</v>
      </c>
    </row>
    <row r="5096" spans="3:3" x14ac:dyDescent="0.25">
      <c r="C5096" s="26">
        <v>5094</v>
      </c>
    </row>
    <row r="5097" spans="3:3" x14ac:dyDescent="0.25">
      <c r="C5097" s="26">
        <v>5095</v>
      </c>
    </row>
    <row r="5098" spans="3:3" x14ac:dyDescent="0.25">
      <c r="C5098" s="26">
        <v>5096</v>
      </c>
    </row>
    <row r="5099" spans="3:3" x14ac:dyDescent="0.25">
      <c r="C5099" s="26">
        <v>5097</v>
      </c>
    </row>
    <row r="5100" spans="3:3" x14ac:dyDescent="0.25">
      <c r="C5100" s="26">
        <v>5098</v>
      </c>
    </row>
    <row r="5101" spans="3:3" x14ac:dyDescent="0.25">
      <c r="C5101" s="26">
        <v>5099</v>
      </c>
    </row>
    <row r="5102" spans="3:3" x14ac:dyDescent="0.25">
      <c r="C5102" s="26">
        <v>5100</v>
      </c>
    </row>
    <row r="5103" spans="3:3" x14ac:dyDescent="0.25">
      <c r="C5103" s="26">
        <v>5101</v>
      </c>
    </row>
    <row r="5104" spans="3:3" x14ac:dyDescent="0.25">
      <c r="C5104" s="26">
        <v>5102</v>
      </c>
    </row>
    <row r="5105" spans="3:3" x14ac:dyDescent="0.25">
      <c r="C5105" s="26">
        <v>5103</v>
      </c>
    </row>
    <row r="5106" spans="3:3" x14ac:dyDescent="0.25">
      <c r="C5106" s="26">
        <v>5104</v>
      </c>
    </row>
    <row r="5107" spans="3:3" x14ac:dyDescent="0.25">
      <c r="C5107" s="26">
        <v>5105</v>
      </c>
    </row>
    <row r="5108" spans="3:3" x14ac:dyDescent="0.25">
      <c r="C5108" s="26">
        <v>5106</v>
      </c>
    </row>
    <row r="5109" spans="3:3" x14ac:dyDescent="0.25">
      <c r="C5109" s="26">
        <v>5107</v>
      </c>
    </row>
    <row r="5110" spans="3:3" x14ac:dyDescent="0.25">
      <c r="C5110" s="26">
        <v>5108</v>
      </c>
    </row>
    <row r="5111" spans="3:3" x14ac:dyDescent="0.25">
      <c r="C5111" s="26">
        <v>5109</v>
      </c>
    </row>
    <row r="5112" spans="3:3" x14ac:dyDescent="0.25">
      <c r="C5112" s="26">
        <v>5110</v>
      </c>
    </row>
    <row r="5113" spans="3:3" x14ac:dyDescent="0.25">
      <c r="C5113" s="26">
        <v>5111</v>
      </c>
    </row>
    <row r="5114" spans="3:3" x14ac:dyDescent="0.25">
      <c r="C5114" s="26">
        <v>5112</v>
      </c>
    </row>
    <row r="5115" spans="3:3" x14ac:dyDescent="0.25">
      <c r="C5115" s="26">
        <v>5113</v>
      </c>
    </row>
    <row r="5116" spans="3:3" x14ac:dyDescent="0.25">
      <c r="C5116" s="26">
        <v>5114</v>
      </c>
    </row>
    <row r="5117" spans="3:3" x14ac:dyDescent="0.25">
      <c r="C5117" s="26">
        <v>5115</v>
      </c>
    </row>
    <row r="5118" spans="3:3" x14ac:dyDescent="0.25">
      <c r="C5118" s="26">
        <v>5116</v>
      </c>
    </row>
    <row r="5119" spans="3:3" x14ac:dyDescent="0.25">
      <c r="C5119" s="26">
        <v>5117</v>
      </c>
    </row>
    <row r="5120" spans="3:3" x14ac:dyDescent="0.25">
      <c r="C5120" s="26">
        <v>5118</v>
      </c>
    </row>
    <row r="5121" spans="3:3" x14ac:dyDescent="0.25">
      <c r="C5121" s="26">
        <v>5119</v>
      </c>
    </row>
    <row r="5122" spans="3:3" x14ac:dyDescent="0.25">
      <c r="C5122" s="26">
        <v>5120</v>
      </c>
    </row>
    <row r="5123" spans="3:3" x14ac:dyDescent="0.25">
      <c r="C5123" s="26">
        <v>5121</v>
      </c>
    </row>
    <row r="5124" spans="3:3" x14ac:dyDescent="0.25">
      <c r="C5124" s="26">
        <v>5122</v>
      </c>
    </row>
    <row r="5125" spans="3:3" x14ac:dyDescent="0.25">
      <c r="C5125" s="26">
        <v>5123</v>
      </c>
    </row>
    <row r="5126" spans="3:3" x14ac:dyDescent="0.25">
      <c r="C5126" s="26">
        <v>5124</v>
      </c>
    </row>
    <row r="5127" spans="3:3" x14ac:dyDescent="0.25">
      <c r="C5127" s="26">
        <v>5125</v>
      </c>
    </row>
    <row r="5128" spans="3:3" x14ac:dyDescent="0.25">
      <c r="C5128" s="26">
        <v>5126</v>
      </c>
    </row>
    <row r="5129" spans="3:3" x14ac:dyDescent="0.25">
      <c r="C5129" s="26">
        <v>5127</v>
      </c>
    </row>
    <row r="5130" spans="3:3" x14ac:dyDescent="0.25">
      <c r="C5130" s="26">
        <v>5128</v>
      </c>
    </row>
    <row r="5131" spans="3:3" x14ac:dyDescent="0.25">
      <c r="C5131" s="26">
        <v>5129</v>
      </c>
    </row>
    <row r="5132" spans="3:3" x14ac:dyDescent="0.25">
      <c r="C5132" s="26">
        <v>5130</v>
      </c>
    </row>
    <row r="5133" spans="3:3" x14ac:dyDescent="0.25">
      <c r="C5133" s="26">
        <v>5131</v>
      </c>
    </row>
    <row r="5134" spans="3:3" x14ac:dyDescent="0.25">
      <c r="C5134" s="26">
        <v>5132</v>
      </c>
    </row>
    <row r="5135" spans="3:3" x14ac:dyDescent="0.25">
      <c r="C5135" s="26">
        <v>5133</v>
      </c>
    </row>
    <row r="5136" spans="3:3" x14ac:dyDescent="0.25">
      <c r="C5136" s="26">
        <v>5134</v>
      </c>
    </row>
    <row r="5137" spans="3:3" x14ac:dyDescent="0.25">
      <c r="C5137" s="26">
        <v>5135</v>
      </c>
    </row>
    <row r="5138" spans="3:3" x14ac:dyDescent="0.25">
      <c r="C5138" s="26">
        <v>5136</v>
      </c>
    </row>
    <row r="5139" spans="3:3" x14ac:dyDescent="0.25">
      <c r="C5139" s="26">
        <v>5137</v>
      </c>
    </row>
    <row r="5140" spans="3:3" x14ac:dyDescent="0.25">
      <c r="C5140" s="26">
        <v>5138</v>
      </c>
    </row>
    <row r="5141" spans="3:3" x14ac:dyDescent="0.25">
      <c r="C5141" s="26">
        <v>5139</v>
      </c>
    </row>
    <row r="5142" spans="3:3" x14ac:dyDescent="0.25">
      <c r="C5142" s="26">
        <v>5140</v>
      </c>
    </row>
    <row r="5143" spans="3:3" x14ac:dyDescent="0.25">
      <c r="C5143" s="26">
        <v>5141</v>
      </c>
    </row>
    <row r="5144" spans="3:3" x14ac:dyDescent="0.25">
      <c r="C5144" s="26">
        <v>5142</v>
      </c>
    </row>
    <row r="5145" spans="3:3" x14ac:dyDescent="0.25">
      <c r="C5145" s="26">
        <v>5143</v>
      </c>
    </row>
    <row r="5146" spans="3:3" x14ac:dyDescent="0.25">
      <c r="C5146" s="26">
        <v>5144</v>
      </c>
    </row>
    <row r="5147" spans="3:3" x14ac:dyDescent="0.25">
      <c r="C5147" s="26">
        <v>5145</v>
      </c>
    </row>
    <row r="5148" spans="3:3" x14ac:dyDescent="0.25">
      <c r="C5148" s="26">
        <v>5146</v>
      </c>
    </row>
    <row r="5149" spans="3:3" x14ac:dyDescent="0.25">
      <c r="C5149" s="26">
        <v>5147</v>
      </c>
    </row>
    <row r="5150" spans="3:3" x14ac:dyDescent="0.25">
      <c r="C5150" s="26">
        <v>5148</v>
      </c>
    </row>
    <row r="5151" spans="3:3" x14ac:dyDescent="0.25">
      <c r="C5151" s="26">
        <v>5149</v>
      </c>
    </row>
    <row r="5152" spans="3:3" x14ac:dyDescent="0.25">
      <c r="C5152" s="26">
        <v>5150</v>
      </c>
    </row>
    <row r="5153" spans="3:3" x14ac:dyDescent="0.25">
      <c r="C5153" s="26">
        <v>5151</v>
      </c>
    </row>
    <row r="5154" spans="3:3" x14ac:dyDescent="0.25">
      <c r="C5154" s="26">
        <v>5152</v>
      </c>
    </row>
    <row r="5155" spans="3:3" x14ac:dyDescent="0.25">
      <c r="C5155" s="26">
        <v>5153</v>
      </c>
    </row>
    <row r="5156" spans="3:3" x14ac:dyDescent="0.25">
      <c r="C5156" s="26">
        <v>5154</v>
      </c>
    </row>
    <row r="5157" spans="3:3" x14ac:dyDescent="0.25">
      <c r="C5157" s="26">
        <v>5155</v>
      </c>
    </row>
    <row r="5158" spans="3:3" x14ac:dyDescent="0.25">
      <c r="C5158" s="26">
        <v>5156</v>
      </c>
    </row>
    <row r="5159" spans="3:3" x14ac:dyDescent="0.25">
      <c r="C5159" s="26">
        <v>5157</v>
      </c>
    </row>
    <row r="5160" spans="3:3" x14ac:dyDescent="0.25">
      <c r="C5160" s="26">
        <v>5158</v>
      </c>
    </row>
    <row r="5161" spans="3:3" x14ac:dyDescent="0.25">
      <c r="C5161" s="26">
        <v>5159</v>
      </c>
    </row>
    <row r="5162" spans="3:3" x14ac:dyDescent="0.25">
      <c r="C5162" s="26">
        <v>5160</v>
      </c>
    </row>
    <row r="5163" spans="3:3" x14ac:dyDescent="0.25">
      <c r="C5163" s="26">
        <v>5161</v>
      </c>
    </row>
    <row r="5164" spans="3:3" x14ac:dyDescent="0.25">
      <c r="C5164" s="26">
        <v>5162</v>
      </c>
    </row>
    <row r="5165" spans="3:3" x14ac:dyDescent="0.25">
      <c r="C5165" s="26">
        <v>5163</v>
      </c>
    </row>
    <row r="5166" spans="3:3" x14ac:dyDescent="0.25">
      <c r="C5166" s="26">
        <v>5164</v>
      </c>
    </row>
    <row r="5167" spans="3:3" x14ac:dyDescent="0.25">
      <c r="C5167" s="26">
        <v>5165</v>
      </c>
    </row>
    <row r="5168" spans="3:3" x14ac:dyDescent="0.25">
      <c r="C5168" s="26">
        <v>5166</v>
      </c>
    </row>
    <row r="5169" spans="3:3" x14ac:dyDescent="0.25">
      <c r="C5169" s="26">
        <v>5167</v>
      </c>
    </row>
    <row r="5170" spans="3:3" x14ac:dyDescent="0.25">
      <c r="C5170" s="26">
        <v>5168</v>
      </c>
    </row>
    <row r="5171" spans="3:3" x14ac:dyDescent="0.25">
      <c r="C5171" s="26">
        <v>5169</v>
      </c>
    </row>
    <row r="5172" spans="3:3" x14ac:dyDescent="0.25">
      <c r="C5172" s="26">
        <v>5170</v>
      </c>
    </row>
    <row r="5173" spans="3:3" x14ac:dyDescent="0.25">
      <c r="C5173" s="26">
        <v>5171</v>
      </c>
    </row>
    <row r="5174" spans="3:3" x14ac:dyDescent="0.25">
      <c r="C5174" s="26">
        <v>5172</v>
      </c>
    </row>
    <row r="5175" spans="3:3" x14ac:dyDescent="0.25">
      <c r="C5175" s="26">
        <v>5173</v>
      </c>
    </row>
    <row r="5176" spans="3:3" x14ac:dyDescent="0.25">
      <c r="C5176" s="26">
        <v>5174</v>
      </c>
    </row>
    <row r="5177" spans="3:3" x14ac:dyDescent="0.25">
      <c r="C5177" s="26">
        <v>5175</v>
      </c>
    </row>
    <row r="5178" spans="3:3" x14ac:dyDescent="0.25">
      <c r="C5178" s="26">
        <v>5176</v>
      </c>
    </row>
    <row r="5179" spans="3:3" x14ac:dyDescent="0.25">
      <c r="C5179" s="26">
        <v>5177</v>
      </c>
    </row>
    <row r="5180" spans="3:3" x14ac:dyDescent="0.25">
      <c r="C5180" s="26">
        <v>5178</v>
      </c>
    </row>
    <row r="5181" spans="3:3" x14ac:dyDescent="0.25">
      <c r="C5181" s="26">
        <v>5179</v>
      </c>
    </row>
    <row r="5182" spans="3:3" x14ac:dyDescent="0.25">
      <c r="C5182" s="26">
        <v>5180</v>
      </c>
    </row>
    <row r="5183" spans="3:3" x14ac:dyDescent="0.25">
      <c r="C5183" s="26">
        <v>5181</v>
      </c>
    </row>
    <row r="5184" spans="3:3" x14ac:dyDescent="0.25">
      <c r="C5184" s="26">
        <v>5182</v>
      </c>
    </row>
    <row r="5185" spans="3:3" x14ac:dyDescent="0.25">
      <c r="C5185" s="26">
        <v>5183</v>
      </c>
    </row>
    <row r="5186" spans="3:3" x14ac:dyDescent="0.25">
      <c r="C5186" s="26">
        <v>5184</v>
      </c>
    </row>
    <row r="5187" spans="3:3" x14ac:dyDescent="0.25">
      <c r="C5187" s="26">
        <v>5185</v>
      </c>
    </row>
    <row r="5188" spans="3:3" x14ac:dyDescent="0.25">
      <c r="C5188" s="26">
        <v>5186</v>
      </c>
    </row>
    <row r="5189" spans="3:3" x14ac:dyDescent="0.25">
      <c r="C5189" s="26">
        <v>5187</v>
      </c>
    </row>
    <row r="5190" spans="3:3" x14ac:dyDescent="0.25">
      <c r="C5190" s="26">
        <v>5188</v>
      </c>
    </row>
    <row r="5191" spans="3:3" x14ac:dyDescent="0.25">
      <c r="C5191" s="26">
        <v>5189</v>
      </c>
    </row>
    <row r="5192" spans="3:3" x14ac:dyDescent="0.25">
      <c r="C5192" s="26">
        <v>5190</v>
      </c>
    </row>
    <row r="5193" spans="3:3" x14ac:dyDescent="0.25">
      <c r="C5193" s="26">
        <v>5191</v>
      </c>
    </row>
    <row r="5194" spans="3:3" x14ac:dyDescent="0.25">
      <c r="C5194" s="26">
        <v>5192</v>
      </c>
    </row>
    <row r="5195" spans="3:3" x14ac:dyDescent="0.25">
      <c r="C5195" s="26">
        <v>5193</v>
      </c>
    </row>
    <row r="5196" spans="3:3" x14ac:dyDescent="0.25">
      <c r="C5196" s="26">
        <v>5194</v>
      </c>
    </row>
    <row r="5197" spans="3:3" x14ac:dyDescent="0.25">
      <c r="C5197" s="26">
        <v>5195</v>
      </c>
    </row>
    <row r="5198" spans="3:3" x14ac:dyDescent="0.25">
      <c r="C5198" s="26">
        <v>5196</v>
      </c>
    </row>
    <row r="5199" spans="3:3" x14ac:dyDescent="0.25">
      <c r="C5199" s="26">
        <v>5197</v>
      </c>
    </row>
    <row r="5200" spans="3:3" x14ac:dyDescent="0.25">
      <c r="C5200" s="26">
        <v>5198</v>
      </c>
    </row>
    <row r="5201" spans="3:3" x14ac:dyDescent="0.25">
      <c r="C5201" s="26">
        <v>5199</v>
      </c>
    </row>
    <row r="5202" spans="3:3" x14ac:dyDescent="0.25">
      <c r="C5202" s="26">
        <v>5200</v>
      </c>
    </row>
    <row r="5203" spans="3:3" x14ac:dyDescent="0.25">
      <c r="C5203" s="26">
        <v>5201</v>
      </c>
    </row>
    <row r="5204" spans="3:3" x14ac:dyDescent="0.25">
      <c r="C5204" s="26">
        <v>5202</v>
      </c>
    </row>
    <row r="5205" spans="3:3" x14ac:dyDescent="0.25">
      <c r="C5205" s="26">
        <v>5203</v>
      </c>
    </row>
    <row r="5206" spans="3:3" x14ac:dyDescent="0.25">
      <c r="C5206" s="26">
        <v>5204</v>
      </c>
    </row>
    <row r="5207" spans="3:3" x14ac:dyDescent="0.25">
      <c r="C5207" s="26">
        <v>5205</v>
      </c>
    </row>
    <row r="5208" spans="3:3" x14ac:dyDescent="0.25">
      <c r="C5208" s="26">
        <v>5206</v>
      </c>
    </row>
    <row r="5209" spans="3:3" x14ac:dyDescent="0.25">
      <c r="C5209" s="26">
        <v>5207</v>
      </c>
    </row>
    <row r="5210" spans="3:3" x14ac:dyDescent="0.25">
      <c r="C5210" s="26">
        <v>5208</v>
      </c>
    </row>
    <row r="5211" spans="3:3" x14ac:dyDescent="0.25">
      <c r="C5211" s="26">
        <v>5209</v>
      </c>
    </row>
    <row r="5212" spans="3:3" x14ac:dyDescent="0.25">
      <c r="C5212" s="26">
        <v>5210</v>
      </c>
    </row>
    <row r="5213" spans="3:3" x14ac:dyDescent="0.25">
      <c r="C5213" s="26">
        <v>5211</v>
      </c>
    </row>
    <row r="5214" spans="3:3" x14ac:dyDescent="0.25">
      <c r="C5214" s="26">
        <v>5212</v>
      </c>
    </row>
    <row r="5215" spans="3:3" x14ac:dyDescent="0.25">
      <c r="C5215" s="26">
        <v>5213</v>
      </c>
    </row>
    <row r="5216" spans="3:3" x14ac:dyDescent="0.25">
      <c r="C5216" s="26">
        <v>5214</v>
      </c>
    </row>
    <row r="5217" spans="3:3" x14ac:dyDescent="0.25">
      <c r="C5217" s="26">
        <v>5215</v>
      </c>
    </row>
    <row r="5218" spans="3:3" x14ac:dyDescent="0.25">
      <c r="C5218" s="26">
        <v>5216</v>
      </c>
    </row>
    <row r="5219" spans="3:3" x14ac:dyDescent="0.25">
      <c r="C5219" s="26">
        <v>5217</v>
      </c>
    </row>
    <row r="5220" spans="3:3" x14ac:dyDescent="0.25">
      <c r="C5220" s="26">
        <v>5218</v>
      </c>
    </row>
    <row r="5221" spans="3:3" x14ac:dyDescent="0.25">
      <c r="C5221" s="26">
        <v>5219</v>
      </c>
    </row>
    <row r="5222" spans="3:3" x14ac:dyDescent="0.25">
      <c r="C5222" s="26">
        <v>5220</v>
      </c>
    </row>
    <row r="5223" spans="3:3" x14ac:dyDescent="0.25">
      <c r="C5223" s="26">
        <v>5221</v>
      </c>
    </row>
    <row r="5224" spans="3:3" x14ac:dyDescent="0.25">
      <c r="C5224" s="26">
        <v>5222</v>
      </c>
    </row>
    <row r="5225" spans="3:3" x14ac:dyDescent="0.25">
      <c r="C5225" s="26">
        <v>5223</v>
      </c>
    </row>
    <row r="5226" spans="3:3" x14ac:dyDescent="0.25">
      <c r="C5226" s="26">
        <v>5224</v>
      </c>
    </row>
    <row r="5227" spans="3:3" x14ac:dyDescent="0.25">
      <c r="C5227" s="26">
        <v>5225</v>
      </c>
    </row>
    <row r="5228" spans="3:3" x14ac:dyDescent="0.25">
      <c r="C5228" s="26">
        <v>5226</v>
      </c>
    </row>
    <row r="5229" spans="3:3" x14ac:dyDescent="0.25">
      <c r="C5229" s="26">
        <v>5227</v>
      </c>
    </row>
    <row r="5230" spans="3:3" x14ac:dyDescent="0.25">
      <c r="C5230" s="26">
        <v>5228</v>
      </c>
    </row>
    <row r="5231" spans="3:3" x14ac:dyDescent="0.25">
      <c r="C5231" s="26">
        <v>5229</v>
      </c>
    </row>
    <row r="5232" spans="3:3" x14ac:dyDescent="0.25">
      <c r="C5232" s="26">
        <v>5230</v>
      </c>
    </row>
    <row r="5233" spans="3:3" x14ac:dyDescent="0.25">
      <c r="C5233" s="26">
        <v>5231</v>
      </c>
    </row>
    <row r="5234" spans="3:3" x14ac:dyDescent="0.25">
      <c r="C5234" s="26">
        <v>5232</v>
      </c>
    </row>
    <row r="5235" spans="3:3" x14ac:dyDescent="0.25">
      <c r="C5235" s="26">
        <v>5233</v>
      </c>
    </row>
    <row r="5236" spans="3:3" x14ac:dyDescent="0.25">
      <c r="C5236" s="26">
        <v>5234</v>
      </c>
    </row>
    <row r="5237" spans="3:3" x14ac:dyDescent="0.25">
      <c r="C5237" s="26">
        <v>5235</v>
      </c>
    </row>
    <row r="5238" spans="3:3" x14ac:dyDescent="0.25">
      <c r="C5238" s="26">
        <v>5236</v>
      </c>
    </row>
    <row r="5239" spans="3:3" x14ac:dyDescent="0.25">
      <c r="C5239" s="26">
        <v>5237</v>
      </c>
    </row>
    <row r="5240" spans="3:3" x14ac:dyDescent="0.25">
      <c r="C5240" s="26">
        <v>5238</v>
      </c>
    </row>
    <row r="5241" spans="3:3" x14ac:dyDescent="0.25">
      <c r="C5241" s="26">
        <v>5239</v>
      </c>
    </row>
    <row r="5242" spans="3:3" x14ac:dyDescent="0.25">
      <c r="C5242" s="26">
        <v>5240</v>
      </c>
    </row>
    <row r="5243" spans="3:3" x14ac:dyDescent="0.25">
      <c r="C5243" s="26">
        <v>5241</v>
      </c>
    </row>
    <row r="5244" spans="3:3" x14ac:dyDescent="0.25">
      <c r="C5244" s="26">
        <v>5242</v>
      </c>
    </row>
    <row r="5245" spans="3:3" x14ac:dyDescent="0.25">
      <c r="C5245" s="26">
        <v>5243</v>
      </c>
    </row>
    <row r="5246" spans="3:3" x14ac:dyDescent="0.25">
      <c r="C5246" s="26">
        <v>5244</v>
      </c>
    </row>
    <row r="5247" spans="3:3" x14ac:dyDescent="0.25">
      <c r="C5247" s="26">
        <v>5245</v>
      </c>
    </row>
    <row r="5248" spans="3:3" x14ac:dyDescent="0.25">
      <c r="C5248" s="26">
        <v>5246</v>
      </c>
    </row>
    <row r="5249" spans="3:3" x14ac:dyDescent="0.25">
      <c r="C5249" s="26">
        <v>5247</v>
      </c>
    </row>
    <row r="5250" spans="3:3" x14ac:dyDescent="0.25">
      <c r="C5250" s="26">
        <v>5248</v>
      </c>
    </row>
    <row r="5251" spans="3:3" x14ac:dyDescent="0.25">
      <c r="C5251" s="26">
        <v>5249</v>
      </c>
    </row>
    <row r="5252" spans="3:3" x14ac:dyDescent="0.25">
      <c r="C5252" s="26">
        <v>5250</v>
      </c>
    </row>
    <row r="5253" spans="3:3" x14ac:dyDescent="0.25">
      <c r="C5253" s="26">
        <v>5251</v>
      </c>
    </row>
    <row r="5254" spans="3:3" x14ac:dyDescent="0.25">
      <c r="C5254" s="26">
        <v>5252</v>
      </c>
    </row>
    <row r="5255" spans="3:3" x14ac:dyDescent="0.25">
      <c r="C5255" s="26">
        <v>5253</v>
      </c>
    </row>
    <row r="5256" spans="3:3" x14ac:dyDescent="0.25">
      <c r="C5256" s="26">
        <v>5254</v>
      </c>
    </row>
    <row r="5257" spans="3:3" x14ac:dyDescent="0.25">
      <c r="C5257" s="26">
        <v>5255</v>
      </c>
    </row>
    <row r="5258" spans="3:3" x14ac:dyDescent="0.25">
      <c r="C5258" s="26">
        <v>5256</v>
      </c>
    </row>
    <row r="5259" spans="3:3" x14ac:dyDescent="0.25">
      <c r="C5259" s="26">
        <v>5257</v>
      </c>
    </row>
    <row r="5260" spans="3:3" x14ac:dyDescent="0.25">
      <c r="C5260" s="26">
        <v>5258</v>
      </c>
    </row>
    <row r="5261" spans="3:3" x14ac:dyDescent="0.25">
      <c r="C5261" s="26">
        <v>5259</v>
      </c>
    </row>
    <row r="5262" spans="3:3" x14ac:dyDescent="0.25">
      <c r="C5262" s="26">
        <v>5260</v>
      </c>
    </row>
    <row r="5263" spans="3:3" x14ac:dyDescent="0.25">
      <c r="C5263" s="26">
        <v>5261</v>
      </c>
    </row>
    <row r="5264" spans="3:3" x14ac:dyDescent="0.25">
      <c r="C5264" s="26">
        <v>5262</v>
      </c>
    </row>
    <row r="5265" spans="3:3" x14ac:dyDescent="0.25">
      <c r="C5265" s="26">
        <v>5263</v>
      </c>
    </row>
    <row r="5266" spans="3:3" x14ac:dyDescent="0.25">
      <c r="C5266" s="26">
        <v>5264</v>
      </c>
    </row>
    <row r="5267" spans="3:3" x14ac:dyDescent="0.25">
      <c r="C5267" s="26">
        <v>5265</v>
      </c>
    </row>
    <row r="5268" spans="3:3" x14ac:dyDescent="0.25">
      <c r="C5268" s="26">
        <v>5266</v>
      </c>
    </row>
    <row r="5269" spans="3:3" x14ac:dyDescent="0.25">
      <c r="C5269" s="26">
        <v>5267</v>
      </c>
    </row>
    <row r="5270" spans="3:3" x14ac:dyDescent="0.25">
      <c r="C5270" s="26">
        <v>5268</v>
      </c>
    </row>
    <row r="5271" spans="3:3" x14ac:dyDescent="0.25">
      <c r="C5271" s="26">
        <v>5269</v>
      </c>
    </row>
    <row r="5272" spans="3:3" x14ac:dyDescent="0.25">
      <c r="C5272" s="26">
        <v>5270</v>
      </c>
    </row>
    <row r="5273" spans="3:3" x14ac:dyDescent="0.25">
      <c r="C5273" s="26">
        <v>5271</v>
      </c>
    </row>
    <row r="5274" spans="3:3" x14ac:dyDescent="0.25">
      <c r="C5274" s="26">
        <v>5272</v>
      </c>
    </row>
    <row r="5275" spans="3:3" x14ac:dyDescent="0.25">
      <c r="C5275" s="26">
        <v>5273</v>
      </c>
    </row>
    <row r="5276" spans="3:3" x14ac:dyDescent="0.25">
      <c r="C5276" s="26">
        <v>5274</v>
      </c>
    </row>
    <row r="5277" spans="3:3" x14ac:dyDescent="0.25">
      <c r="C5277" s="26">
        <v>5275</v>
      </c>
    </row>
    <row r="5278" spans="3:3" x14ac:dyDescent="0.25">
      <c r="C5278" s="26">
        <v>5276</v>
      </c>
    </row>
    <row r="5279" spans="3:3" x14ac:dyDescent="0.25">
      <c r="C5279" s="26">
        <v>5277</v>
      </c>
    </row>
    <row r="5280" spans="3:3" x14ac:dyDescent="0.25">
      <c r="C5280" s="26">
        <v>5278</v>
      </c>
    </row>
    <row r="5281" spans="3:3" x14ac:dyDescent="0.25">
      <c r="C5281" s="26">
        <v>5279</v>
      </c>
    </row>
    <row r="5282" spans="3:3" x14ac:dyDescent="0.25">
      <c r="C5282" s="26">
        <v>5280</v>
      </c>
    </row>
    <row r="5283" spans="3:3" x14ac:dyDescent="0.25">
      <c r="C5283" s="26">
        <v>5281</v>
      </c>
    </row>
    <row r="5284" spans="3:3" x14ac:dyDescent="0.25">
      <c r="C5284" s="26">
        <v>5282</v>
      </c>
    </row>
    <row r="5285" spans="3:3" x14ac:dyDescent="0.25">
      <c r="C5285" s="26">
        <v>5283</v>
      </c>
    </row>
    <row r="5286" spans="3:3" x14ac:dyDescent="0.25">
      <c r="C5286" s="26">
        <v>5284</v>
      </c>
    </row>
    <row r="5287" spans="3:3" x14ac:dyDescent="0.25">
      <c r="C5287" s="26">
        <v>5285</v>
      </c>
    </row>
    <row r="5288" spans="3:3" x14ac:dyDescent="0.25">
      <c r="C5288" s="26">
        <v>5286</v>
      </c>
    </row>
    <row r="5289" spans="3:3" x14ac:dyDescent="0.25">
      <c r="C5289" s="26">
        <v>5287</v>
      </c>
    </row>
    <row r="5290" spans="3:3" x14ac:dyDescent="0.25">
      <c r="C5290" s="26">
        <v>5288</v>
      </c>
    </row>
    <row r="5291" spans="3:3" x14ac:dyDescent="0.25">
      <c r="C5291" s="26">
        <v>5289</v>
      </c>
    </row>
    <row r="5292" spans="3:3" x14ac:dyDescent="0.25">
      <c r="C5292" s="26">
        <v>5290</v>
      </c>
    </row>
    <row r="5293" spans="3:3" x14ac:dyDescent="0.25">
      <c r="C5293" s="26">
        <v>5291</v>
      </c>
    </row>
    <row r="5294" spans="3:3" x14ac:dyDescent="0.25">
      <c r="C5294" s="26">
        <v>5292</v>
      </c>
    </row>
    <row r="5295" spans="3:3" x14ac:dyDescent="0.25">
      <c r="C5295" s="26">
        <v>5293</v>
      </c>
    </row>
    <row r="5296" spans="3:3" x14ac:dyDescent="0.25">
      <c r="C5296" s="26">
        <v>5294</v>
      </c>
    </row>
    <row r="5297" spans="3:3" x14ac:dyDescent="0.25">
      <c r="C5297" s="26">
        <v>5295</v>
      </c>
    </row>
    <row r="5298" spans="3:3" x14ac:dyDescent="0.25">
      <c r="C5298" s="26">
        <v>5296</v>
      </c>
    </row>
    <row r="5299" spans="3:3" x14ac:dyDescent="0.25">
      <c r="C5299" s="26">
        <v>5297</v>
      </c>
    </row>
    <row r="5300" spans="3:3" x14ac:dyDescent="0.25">
      <c r="C5300" s="26">
        <v>5298</v>
      </c>
    </row>
    <row r="5301" spans="3:3" x14ac:dyDescent="0.25">
      <c r="C5301" s="26">
        <v>5299</v>
      </c>
    </row>
    <row r="5302" spans="3:3" x14ac:dyDescent="0.25">
      <c r="C5302" s="26">
        <v>5300</v>
      </c>
    </row>
    <row r="5303" spans="3:3" x14ac:dyDescent="0.25">
      <c r="C5303" s="26">
        <v>5301</v>
      </c>
    </row>
    <row r="5304" spans="3:3" x14ac:dyDescent="0.25">
      <c r="C5304" s="26">
        <v>5302</v>
      </c>
    </row>
    <row r="5305" spans="3:3" x14ac:dyDescent="0.25">
      <c r="C5305" s="26">
        <v>5303</v>
      </c>
    </row>
    <row r="5306" spans="3:3" x14ac:dyDescent="0.25">
      <c r="C5306" s="26">
        <v>5304</v>
      </c>
    </row>
    <row r="5307" spans="3:3" x14ac:dyDescent="0.25">
      <c r="C5307" s="26">
        <v>5305</v>
      </c>
    </row>
    <row r="5308" spans="3:3" x14ac:dyDescent="0.25">
      <c r="C5308" s="26">
        <v>5306</v>
      </c>
    </row>
    <row r="5309" spans="3:3" x14ac:dyDescent="0.25">
      <c r="C5309" s="26">
        <v>5307</v>
      </c>
    </row>
    <row r="5310" spans="3:3" x14ac:dyDescent="0.25">
      <c r="C5310" s="26">
        <v>5308</v>
      </c>
    </row>
    <row r="5311" spans="3:3" x14ac:dyDescent="0.25">
      <c r="C5311" s="26">
        <v>5309</v>
      </c>
    </row>
    <row r="5312" spans="3:3" x14ac:dyDescent="0.25">
      <c r="C5312" s="26">
        <v>5310</v>
      </c>
    </row>
    <row r="5313" spans="3:3" x14ac:dyDescent="0.25">
      <c r="C5313" s="26">
        <v>5311</v>
      </c>
    </row>
    <row r="5314" spans="3:3" x14ac:dyDescent="0.25">
      <c r="C5314" s="26">
        <v>5312</v>
      </c>
    </row>
    <row r="5315" spans="3:3" x14ac:dyDescent="0.25">
      <c r="C5315" s="26">
        <v>5313</v>
      </c>
    </row>
    <row r="5316" spans="3:3" x14ac:dyDescent="0.25">
      <c r="C5316" s="26">
        <v>5314</v>
      </c>
    </row>
    <row r="5317" spans="3:3" x14ac:dyDescent="0.25">
      <c r="C5317" s="26">
        <v>5315</v>
      </c>
    </row>
    <row r="5318" spans="3:3" x14ac:dyDescent="0.25">
      <c r="C5318" s="26">
        <v>5316</v>
      </c>
    </row>
    <row r="5319" spans="3:3" x14ac:dyDescent="0.25">
      <c r="C5319" s="26">
        <v>5317</v>
      </c>
    </row>
    <row r="5320" spans="3:3" x14ac:dyDescent="0.25">
      <c r="C5320" s="26">
        <v>5318</v>
      </c>
    </row>
    <row r="5321" spans="3:3" x14ac:dyDescent="0.25">
      <c r="C5321" s="26">
        <v>5319</v>
      </c>
    </row>
    <row r="5322" spans="3:3" x14ac:dyDescent="0.25">
      <c r="C5322" s="26">
        <v>5320</v>
      </c>
    </row>
    <row r="5323" spans="3:3" x14ac:dyDescent="0.25">
      <c r="C5323" s="26">
        <v>5321</v>
      </c>
    </row>
    <row r="5324" spans="3:3" x14ac:dyDescent="0.25">
      <c r="C5324" s="26">
        <v>5322</v>
      </c>
    </row>
    <row r="5325" spans="3:3" x14ac:dyDescent="0.25">
      <c r="C5325" s="26">
        <v>5323</v>
      </c>
    </row>
    <row r="5326" spans="3:3" x14ac:dyDescent="0.25">
      <c r="C5326" s="26">
        <v>5324</v>
      </c>
    </row>
    <row r="5327" spans="3:3" x14ac:dyDescent="0.25">
      <c r="C5327" s="26">
        <v>5325</v>
      </c>
    </row>
    <row r="5328" spans="3:3" x14ac:dyDescent="0.25">
      <c r="C5328" s="26">
        <v>5326</v>
      </c>
    </row>
    <row r="5329" spans="3:3" x14ac:dyDescent="0.25">
      <c r="C5329" s="26">
        <v>5327</v>
      </c>
    </row>
    <row r="5330" spans="3:3" x14ac:dyDescent="0.25">
      <c r="C5330" s="26">
        <v>5328</v>
      </c>
    </row>
    <row r="5331" spans="3:3" x14ac:dyDescent="0.25">
      <c r="C5331" s="26">
        <v>5329</v>
      </c>
    </row>
    <row r="5332" spans="3:3" x14ac:dyDescent="0.25">
      <c r="C5332" s="26">
        <v>5330</v>
      </c>
    </row>
    <row r="5333" spans="3:3" x14ac:dyDescent="0.25">
      <c r="C5333" s="26">
        <v>5331</v>
      </c>
    </row>
    <row r="5334" spans="3:3" x14ac:dyDescent="0.25">
      <c r="C5334" s="26">
        <v>5332</v>
      </c>
    </row>
    <row r="5335" spans="3:3" x14ac:dyDescent="0.25">
      <c r="C5335" s="26">
        <v>5333</v>
      </c>
    </row>
    <row r="5336" spans="3:3" x14ac:dyDescent="0.25">
      <c r="C5336" s="26">
        <v>5334</v>
      </c>
    </row>
    <row r="5337" spans="3:3" x14ac:dyDescent="0.25">
      <c r="C5337" s="26">
        <v>5335</v>
      </c>
    </row>
    <row r="5338" spans="3:3" x14ac:dyDescent="0.25">
      <c r="C5338" s="26">
        <v>5336</v>
      </c>
    </row>
    <row r="5339" spans="3:3" x14ac:dyDescent="0.25">
      <c r="C5339" s="26">
        <v>5337</v>
      </c>
    </row>
    <row r="5340" spans="3:3" x14ac:dyDescent="0.25">
      <c r="C5340" s="26">
        <v>5338</v>
      </c>
    </row>
    <row r="5341" spans="3:3" x14ac:dyDescent="0.25">
      <c r="C5341" s="26">
        <v>5339</v>
      </c>
    </row>
    <row r="5342" spans="3:3" x14ac:dyDescent="0.25">
      <c r="C5342" s="26">
        <v>5340</v>
      </c>
    </row>
    <row r="5343" spans="3:3" x14ac:dyDescent="0.25">
      <c r="C5343" s="26">
        <v>5341</v>
      </c>
    </row>
    <row r="5344" spans="3:3" x14ac:dyDescent="0.25">
      <c r="C5344" s="26">
        <v>5342</v>
      </c>
    </row>
    <row r="5345" spans="3:3" x14ac:dyDescent="0.25">
      <c r="C5345" s="26">
        <v>5343</v>
      </c>
    </row>
    <row r="5346" spans="3:3" x14ac:dyDescent="0.25">
      <c r="C5346" s="26">
        <v>5344</v>
      </c>
    </row>
    <row r="5347" spans="3:3" x14ac:dyDescent="0.25">
      <c r="C5347" s="26">
        <v>5345</v>
      </c>
    </row>
    <row r="5348" spans="3:3" x14ac:dyDescent="0.25">
      <c r="C5348" s="26">
        <v>5346</v>
      </c>
    </row>
    <row r="5349" spans="3:3" x14ac:dyDescent="0.25">
      <c r="C5349" s="26">
        <v>5347</v>
      </c>
    </row>
    <row r="5350" spans="3:3" x14ac:dyDescent="0.25">
      <c r="C5350" s="26">
        <v>5348</v>
      </c>
    </row>
    <row r="5351" spans="3:3" x14ac:dyDescent="0.25">
      <c r="C5351" s="26">
        <v>5349</v>
      </c>
    </row>
    <row r="5352" spans="3:3" x14ac:dyDescent="0.25">
      <c r="C5352" s="26">
        <v>5350</v>
      </c>
    </row>
    <row r="5353" spans="3:3" x14ac:dyDescent="0.25">
      <c r="C5353" s="26">
        <v>5351</v>
      </c>
    </row>
    <row r="5354" spans="3:3" x14ac:dyDescent="0.25">
      <c r="C5354" s="26">
        <v>5352</v>
      </c>
    </row>
    <row r="5355" spans="3:3" x14ac:dyDescent="0.25">
      <c r="C5355" s="26">
        <v>5353</v>
      </c>
    </row>
    <row r="5356" spans="3:3" x14ac:dyDescent="0.25">
      <c r="C5356" s="26">
        <v>5354</v>
      </c>
    </row>
    <row r="5357" spans="3:3" x14ac:dyDescent="0.25">
      <c r="C5357" s="26">
        <v>5355</v>
      </c>
    </row>
    <row r="5358" spans="3:3" x14ac:dyDescent="0.25">
      <c r="C5358" s="26">
        <v>5356</v>
      </c>
    </row>
    <row r="5359" spans="3:3" x14ac:dyDescent="0.25">
      <c r="C5359" s="26">
        <v>5357</v>
      </c>
    </row>
    <row r="5360" spans="3:3" x14ac:dyDescent="0.25">
      <c r="C5360" s="26">
        <v>5358</v>
      </c>
    </row>
    <row r="5361" spans="3:3" x14ac:dyDescent="0.25">
      <c r="C5361" s="26">
        <v>5359</v>
      </c>
    </row>
    <row r="5362" spans="3:3" x14ac:dyDescent="0.25">
      <c r="C5362" s="26">
        <v>5360</v>
      </c>
    </row>
    <row r="5363" spans="3:3" x14ac:dyDescent="0.25">
      <c r="C5363" s="26">
        <v>5361</v>
      </c>
    </row>
    <row r="5364" spans="3:3" x14ac:dyDescent="0.25">
      <c r="C5364" s="26">
        <v>5362</v>
      </c>
    </row>
    <row r="5365" spans="3:3" x14ac:dyDescent="0.25">
      <c r="C5365" s="26">
        <v>5363</v>
      </c>
    </row>
    <row r="5366" spans="3:3" x14ac:dyDescent="0.25">
      <c r="C5366" s="26">
        <v>5364</v>
      </c>
    </row>
    <row r="5367" spans="3:3" x14ac:dyDescent="0.25">
      <c r="C5367" s="26">
        <v>5365</v>
      </c>
    </row>
    <row r="5368" spans="3:3" x14ac:dyDescent="0.25">
      <c r="C5368" s="26">
        <v>5366</v>
      </c>
    </row>
    <row r="5369" spans="3:3" x14ac:dyDescent="0.25">
      <c r="C5369" s="26">
        <v>5367</v>
      </c>
    </row>
    <row r="5370" spans="3:3" x14ac:dyDescent="0.25">
      <c r="C5370" s="26">
        <v>5368</v>
      </c>
    </row>
    <row r="5371" spans="3:3" x14ac:dyDescent="0.25">
      <c r="C5371" s="26">
        <v>5369</v>
      </c>
    </row>
    <row r="5372" spans="3:3" x14ac:dyDescent="0.25">
      <c r="C5372" s="26">
        <v>5370</v>
      </c>
    </row>
    <row r="5373" spans="3:3" x14ac:dyDescent="0.25">
      <c r="C5373" s="26">
        <v>5371</v>
      </c>
    </row>
    <row r="5374" spans="3:3" x14ac:dyDescent="0.25">
      <c r="C5374" s="26">
        <v>5372</v>
      </c>
    </row>
    <row r="5375" spans="3:3" x14ac:dyDescent="0.25">
      <c r="C5375" s="26">
        <v>5373</v>
      </c>
    </row>
    <row r="5376" spans="3:3" x14ac:dyDescent="0.25">
      <c r="C5376" s="26">
        <v>5374</v>
      </c>
    </row>
    <row r="5377" spans="3:3" x14ac:dyDescent="0.25">
      <c r="C5377" s="26">
        <v>5375</v>
      </c>
    </row>
    <row r="5378" spans="3:3" x14ac:dyDescent="0.25">
      <c r="C5378" s="26">
        <v>5376</v>
      </c>
    </row>
    <row r="5379" spans="3:3" x14ac:dyDescent="0.25">
      <c r="C5379" s="26">
        <v>5377</v>
      </c>
    </row>
    <row r="5380" spans="3:3" x14ac:dyDescent="0.25">
      <c r="C5380" s="26">
        <v>5378</v>
      </c>
    </row>
    <row r="5381" spans="3:3" x14ac:dyDescent="0.25">
      <c r="C5381" s="26">
        <v>5379</v>
      </c>
    </row>
    <row r="5382" spans="3:3" x14ac:dyDescent="0.25">
      <c r="C5382" s="26">
        <v>5380</v>
      </c>
    </row>
    <row r="5383" spans="3:3" x14ac:dyDescent="0.25">
      <c r="C5383" s="26">
        <v>5381</v>
      </c>
    </row>
    <row r="5384" spans="3:3" x14ac:dyDescent="0.25">
      <c r="C5384" s="26">
        <v>5382</v>
      </c>
    </row>
    <row r="5385" spans="3:3" x14ac:dyDescent="0.25">
      <c r="C5385" s="26">
        <v>5383</v>
      </c>
    </row>
    <row r="5386" spans="3:3" x14ac:dyDescent="0.25">
      <c r="C5386" s="26">
        <v>5384</v>
      </c>
    </row>
    <row r="5387" spans="3:3" x14ac:dyDescent="0.25">
      <c r="C5387" s="26">
        <v>5385</v>
      </c>
    </row>
    <row r="5388" spans="3:3" x14ac:dyDescent="0.25">
      <c r="C5388" s="26">
        <v>5386</v>
      </c>
    </row>
    <row r="5389" spans="3:3" x14ac:dyDescent="0.25">
      <c r="C5389" s="26">
        <v>5387</v>
      </c>
    </row>
    <row r="5390" spans="3:3" x14ac:dyDescent="0.25">
      <c r="C5390" s="26">
        <v>5388</v>
      </c>
    </row>
    <row r="5391" spans="3:3" x14ac:dyDescent="0.25">
      <c r="C5391" s="26">
        <v>5389</v>
      </c>
    </row>
    <row r="5392" spans="3:3" x14ac:dyDescent="0.25">
      <c r="C5392" s="26">
        <v>5390</v>
      </c>
    </row>
    <row r="5393" spans="3:3" x14ac:dyDescent="0.25">
      <c r="C5393" s="26">
        <v>5391</v>
      </c>
    </row>
    <row r="5394" spans="3:3" x14ac:dyDescent="0.25">
      <c r="C5394" s="26">
        <v>5392</v>
      </c>
    </row>
    <row r="5395" spans="3:3" x14ac:dyDescent="0.25">
      <c r="C5395" s="26">
        <v>5393</v>
      </c>
    </row>
    <row r="5396" spans="3:3" x14ac:dyDescent="0.25">
      <c r="C5396" s="26">
        <v>5394</v>
      </c>
    </row>
    <row r="5397" spans="3:3" x14ac:dyDescent="0.25">
      <c r="C5397" s="26">
        <v>5395</v>
      </c>
    </row>
    <row r="5398" spans="3:3" x14ac:dyDescent="0.25">
      <c r="C5398" s="26">
        <v>5396</v>
      </c>
    </row>
    <row r="5399" spans="3:3" x14ac:dyDescent="0.25">
      <c r="C5399" s="26">
        <v>5397</v>
      </c>
    </row>
    <row r="5400" spans="3:3" x14ac:dyDescent="0.25">
      <c r="C5400" s="26">
        <v>5398</v>
      </c>
    </row>
    <row r="5401" spans="3:3" x14ac:dyDescent="0.25">
      <c r="C5401" s="26">
        <v>5399</v>
      </c>
    </row>
    <row r="5402" spans="3:3" x14ac:dyDescent="0.25">
      <c r="C5402" s="26">
        <v>5400</v>
      </c>
    </row>
    <row r="5403" spans="3:3" x14ac:dyDescent="0.25">
      <c r="C5403" s="26">
        <v>5401</v>
      </c>
    </row>
    <row r="5404" spans="3:3" x14ac:dyDescent="0.25">
      <c r="C5404" s="26">
        <v>5402</v>
      </c>
    </row>
    <row r="5405" spans="3:3" x14ac:dyDescent="0.25">
      <c r="C5405" s="26">
        <v>5403</v>
      </c>
    </row>
    <row r="5406" spans="3:3" x14ac:dyDescent="0.25">
      <c r="C5406" s="26">
        <v>5404</v>
      </c>
    </row>
    <row r="5407" spans="3:3" x14ac:dyDescent="0.25">
      <c r="C5407" s="26">
        <v>5405</v>
      </c>
    </row>
    <row r="5408" spans="3:3" x14ac:dyDescent="0.25">
      <c r="C5408" s="26">
        <v>5406</v>
      </c>
    </row>
    <row r="5409" spans="3:3" x14ac:dyDescent="0.25">
      <c r="C5409" s="26">
        <v>5407</v>
      </c>
    </row>
    <row r="5410" spans="3:3" x14ac:dyDescent="0.25">
      <c r="C5410" s="26">
        <v>5408</v>
      </c>
    </row>
    <row r="5411" spans="3:3" x14ac:dyDescent="0.25">
      <c r="C5411" s="26">
        <v>5409</v>
      </c>
    </row>
    <row r="5412" spans="3:3" x14ac:dyDescent="0.25">
      <c r="C5412" s="26">
        <v>5410</v>
      </c>
    </row>
    <row r="5413" spans="3:3" x14ac:dyDescent="0.25">
      <c r="C5413" s="26">
        <v>5411</v>
      </c>
    </row>
    <row r="5414" spans="3:3" x14ac:dyDescent="0.25">
      <c r="C5414" s="26">
        <v>5412</v>
      </c>
    </row>
    <row r="5415" spans="3:3" x14ac:dyDescent="0.25">
      <c r="C5415" s="26">
        <v>5413</v>
      </c>
    </row>
    <row r="5416" spans="3:3" x14ac:dyDescent="0.25">
      <c r="C5416" s="26">
        <v>5414</v>
      </c>
    </row>
    <row r="5417" spans="3:3" x14ac:dyDescent="0.25">
      <c r="C5417" s="26">
        <v>5415</v>
      </c>
    </row>
    <row r="5418" spans="3:3" x14ac:dyDescent="0.25">
      <c r="C5418" s="26">
        <v>5416</v>
      </c>
    </row>
    <row r="5419" spans="3:3" x14ac:dyDescent="0.25">
      <c r="C5419" s="26">
        <v>5417</v>
      </c>
    </row>
    <row r="5420" spans="3:3" x14ac:dyDescent="0.25">
      <c r="C5420" s="26">
        <v>5418</v>
      </c>
    </row>
    <row r="5421" spans="3:3" x14ac:dyDescent="0.25">
      <c r="C5421" s="26">
        <v>5419</v>
      </c>
    </row>
    <row r="5422" spans="3:3" x14ac:dyDescent="0.25">
      <c r="C5422" s="26">
        <v>5420</v>
      </c>
    </row>
    <row r="5423" spans="3:3" x14ac:dyDescent="0.25">
      <c r="C5423" s="26">
        <v>5421</v>
      </c>
    </row>
    <row r="5424" spans="3:3" x14ac:dyDescent="0.25">
      <c r="C5424" s="26">
        <v>5422</v>
      </c>
    </row>
    <row r="5425" spans="3:3" x14ac:dyDescent="0.25">
      <c r="C5425" s="26">
        <v>5423</v>
      </c>
    </row>
    <row r="5426" spans="3:3" x14ac:dyDescent="0.25">
      <c r="C5426" s="26">
        <v>5424</v>
      </c>
    </row>
    <row r="5427" spans="3:3" x14ac:dyDescent="0.25">
      <c r="C5427" s="26">
        <v>5425</v>
      </c>
    </row>
    <row r="5428" spans="3:3" x14ac:dyDescent="0.25">
      <c r="C5428" s="26">
        <v>5426</v>
      </c>
    </row>
    <row r="5429" spans="3:3" x14ac:dyDescent="0.25">
      <c r="C5429" s="26">
        <v>5427</v>
      </c>
    </row>
    <row r="5430" spans="3:3" x14ac:dyDescent="0.25">
      <c r="C5430" s="26">
        <v>5428</v>
      </c>
    </row>
    <row r="5431" spans="3:3" x14ac:dyDescent="0.25">
      <c r="C5431" s="26">
        <v>5429</v>
      </c>
    </row>
    <row r="5432" spans="3:3" x14ac:dyDescent="0.25">
      <c r="C5432" s="26">
        <v>5430</v>
      </c>
    </row>
    <row r="5433" spans="3:3" x14ac:dyDescent="0.25">
      <c r="C5433" s="26">
        <v>5431</v>
      </c>
    </row>
    <row r="5434" spans="3:3" x14ac:dyDescent="0.25">
      <c r="C5434" s="26">
        <v>5432</v>
      </c>
    </row>
    <row r="5435" spans="3:3" x14ac:dyDescent="0.25">
      <c r="C5435" s="26">
        <v>5433</v>
      </c>
    </row>
    <row r="5436" spans="3:3" x14ac:dyDescent="0.25">
      <c r="C5436" s="26">
        <v>5434</v>
      </c>
    </row>
    <row r="5437" spans="3:3" x14ac:dyDescent="0.25">
      <c r="C5437" s="26">
        <v>5435</v>
      </c>
    </row>
    <row r="5438" spans="3:3" x14ac:dyDescent="0.25">
      <c r="C5438" s="26">
        <v>5436</v>
      </c>
    </row>
    <row r="5439" spans="3:3" x14ac:dyDescent="0.25">
      <c r="C5439" s="26">
        <v>5437</v>
      </c>
    </row>
    <row r="5440" spans="3:3" x14ac:dyDescent="0.25">
      <c r="C5440" s="26">
        <v>5438</v>
      </c>
    </row>
    <row r="5441" spans="3:3" x14ac:dyDescent="0.25">
      <c r="C5441" s="26">
        <v>5439</v>
      </c>
    </row>
    <row r="5442" spans="3:3" x14ac:dyDescent="0.25">
      <c r="C5442" s="26">
        <v>5440</v>
      </c>
    </row>
    <row r="5443" spans="3:3" x14ac:dyDescent="0.25">
      <c r="C5443" s="26">
        <v>5441</v>
      </c>
    </row>
    <row r="5444" spans="3:3" x14ac:dyDescent="0.25">
      <c r="C5444" s="26">
        <v>5442</v>
      </c>
    </row>
    <row r="5445" spans="3:3" x14ac:dyDescent="0.25">
      <c r="C5445" s="26">
        <v>5443</v>
      </c>
    </row>
    <row r="5446" spans="3:3" x14ac:dyDescent="0.25">
      <c r="C5446" s="26">
        <v>5444</v>
      </c>
    </row>
    <row r="5447" spans="3:3" x14ac:dyDescent="0.25">
      <c r="C5447" s="26">
        <v>5445</v>
      </c>
    </row>
    <row r="5448" spans="3:3" x14ac:dyDescent="0.25">
      <c r="C5448" s="26">
        <v>5446</v>
      </c>
    </row>
    <row r="5449" spans="3:3" x14ac:dyDescent="0.25">
      <c r="C5449" s="26">
        <v>5447</v>
      </c>
    </row>
    <row r="5450" spans="3:3" x14ac:dyDescent="0.25">
      <c r="C5450" s="26">
        <v>5448</v>
      </c>
    </row>
    <row r="5451" spans="3:3" x14ac:dyDescent="0.25">
      <c r="C5451" s="26">
        <v>5449</v>
      </c>
    </row>
    <row r="5452" spans="3:3" x14ac:dyDescent="0.25">
      <c r="C5452" s="26">
        <v>5450</v>
      </c>
    </row>
    <row r="5453" spans="3:3" x14ac:dyDescent="0.25">
      <c r="C5453" s="26">
        <v>5451</v>
      </c>
    </row>
    <row r="5454" spans="3:3" x14ac:dyDescent="0.25">
      <c r="C5454" s="26">
        <v>5452</v>
      </c>
    </row>
    <row r="5455" spans="3:3" x14ac:dyDescent="0.25">
      <c r="C5455" s="26">
        <v>5453</v>
      </c>
    </row>
    <row r="5456" spans="3:3" x14ac:dyDescent="0.25">
      <c r="C5456" s="26">
        <v>5454</v>
      </c>
    </row>
    <row r="5457" spans="3:3" x14ac:dyDescent="0.25">
      <c r="C5457" s="26">
        <v>5455</v>
      </c>
    </row>
    <row r="5458" spans="3:3" x14ac:dyDescent="0.25">
      <c r="C5458" s="26">
        <v>5456</v>
      </c>
    </row>
    <row r="5459" spans="3:3" x14ac:dyDescent="0.25">
      <c r="C5459" s="26">
        <v>5457</v>
      </c>
    </row>
    <row r="5460" spans="3:3" x14ac:dyDescent="0.25">
      <c r="C5460" s="26">
        <v>5458</v>
      </c>
    </row>
    <row r="5461" spans="3:3" x14ac:dyDescent="0.25">
      <c r="C5461" s="26">
        <v>5459</v>
      </c>
    </row>
    <row r="5462" spans="3:3" x14ac:dyDescent="0.25">
      <c r="C5462" s="26">
        <v>5460</v>
      </c>
    </row>
    <row r="5463" spans="3:3" x14ac:dyDescent="0.25">
      <c r="C5463" s="26">
        <v>5461</v>
      </c>
    </row>
    <row r="5464" spans="3:3" x14ac:dyDescent="0.25">
      <c r="C5464" s="26">
        <v>5462</v>
      </c>
    </row>
    <row r="5465" spans="3:3" x14ac:dyDescent="0.25">
      <c r="C5465" s="26">
        <v>5463</v>
      </c>
    </row>
    <row r="5466" spans="3:3" x14ac:dyDescent="0.25">
      <c r="C5466" s="26">
        <v>5464</v>
      </c>
    </row>
    <row r="5467" spans="3:3" x14ac:dyDescent="0.25">
      <c r="C5467" s="26">
        <v>5465</v>
      </c>
    </row>
    <row r="5468" spans="3:3" x14ac:dyDescent="0.25">
      <c r="C5468" s="26">
        <v>5466</v>
      </c>
    </row>
    <row r="5469" spans="3:3" x14ac:dyDescent="0.25">
      <c r="C5469" s="26">
        <v>5467</v>
      </c>
    </row>
    <row r="5470" spans="3:3" x14ac:dyDescent="0.25">
      <c r="C5470" s="26">
        <v>5468</v>
      </c>
    </row>
    <row r="5471" spans="3:3" x14ac:dyDescent="0.25">
      <c r="C5471" s="26">
        <v>5469</v>
      </c>
    </row>
    <row r="5472" spans="3:3" x14ac:dyDescent="0.25">
      <c r="C5472" s="26">
        <v>5470</v>
      </c>
    </row>
    <row r="5473" spans="3:3" x14ac:dyDescent="0.25">
      <c r="C5473" s="26">
        <v>5471</v>
      </c>
    </row>
    <row r="5474" spans="3:3" x14ac:dyDescent="0.25">
      <c r="C5474" s="26">
        <v>5472</v>
      </c>
    </row>
    <row r="5475" spans="3:3" x14ac:dyDescent="0.25">
      <c r="C5475" s="26">
        <v>5473</v>
      </c>
    </row>
    <row r="5476" spans="3:3" x14ac:dyDescent="0.25">
      <c r="C5476" s="26">
        <v>5474</v>
      </c>
    </row>
    <row r="5477" spans="3:3" x14ac:dyDescent="0.25">
      <c r="C5477" s="26">
        <v>5475</v>
      </c>
    </row>
    <row r="5478" spans="3:3" x14ac:dyDescent="0.25">
      <c r="C5478" s="26">
        <v>5476</v>
      </c>
    </row>
    <row r="5479" spans="3:3" x14ac:dyDescent="0.25">
      <c r="C5479" s="26">
        <v>5477</v>
      </c>
    </row>
    <row r="5480" spans="3:3" x14ac:dyDescent="0.25">
      <c r="C5480" s="26">
        <v>5478</v>
      </c>
    </row>
    <row r="5481" spans="3:3" x14ac:dyDescent="0.25">
      <c r="C5481" s="26">
        <v>5479</v>
      </c>
    </row>
    <row r="5482" spans="3:3" x14ac:dyDescent="0.25">
      <c r="C5482" s="26">
        <v>5480</v>
      </c>
    </row>
    <row r="5483" spans="3:3" x14ac:dyDescent="0.25">
      <c r="C5483" s="26">
        <v>5481</v>
      </c>
    </row>
    <row r="5484" spans="3:3" x14ac:dyDescent="0.25">
      <c r="C5484" s="26">
        <v>5482</v>
      </c>
    </row>
    <row r="5485" spans="3:3" x14ac:dyDescent="0.25">
      <c r="C5485" s="26">
        <v>5483</v>
      </c>
    </row>
    <row r="5486" spans="3:3" x14ac:dyDescent="0.25">
      <c r="C5486" s="26">
        <v>5484</v>
      </c>
    </row>
    <row r="5487" spans="3:3" x14ac:dyDescent="0.25">
      <c r="C5487" s="26">
        <v>5485</v>
      </c>
    </row>
    <row r="5488" spans="3:3" x14ac:dyDescent="0.25">
      <c r="C5488" s="26">
        <v>5486</v>
      </c>
    </row>
    <row r="5489" spans="3:3" x14ac:dyDescent="0.25">
      <c r="C5489" s="26">
        <v>5487</v>
      </c>
    </row>
    <row r="5490" spans="3:3" x14ac:dyDescent="0.25">
      <c r="C5490" s="26">
        <v>5488</v>
      </c>
    </row>
    <row r="5491" spans="3:3" x14ac:dyDescent="0.25">
      <c r="C5491" s="26">
        <v>5489</v>
      </c>
    </row>
    <row r="5492" spans="3:3" x14ac:dyDescent="0.25">
      <c r="C5492" s="26">
        <v>5490</v>
      </c>
    </row>
    <row r="5493" spans="3:3" x14ac:dyDescent="0.25">
      <c r="C5493" s="26">
        <v>5491</v>
      </c>
    </row>
    <row r="5494" spans="3:3" x14ac:dyDescent="0.25">
      <c r="C5494" s="26">
        <v>5492</v>
      </c>
    </row>
    <row r="5495" spans="3:3" x14ac:dyDescent="0.25">
      <c r="C5495" s="26">
        <v>5493</v>
      </c>
    </row>
    <row r="5496" spans="3:3" x14ac:dyDescent="0.25">
      <c r="C5496" s="26">
        <v>5494</v>
      </c>
    </row>
    <row r="5497" spans="3:3" x14ac:dyDescent="0.25">
      <c r="C5497" s="26">
        <v>5495</v>
      </c>
    </row>
    <row r="5498" spans="3:3" x14ac:dyDescent="0.25">
      <c r="C5498" s="26">
        <v>5496</v>
      </c>
    </row>
    <row r="5499" spans="3:3" x14ac:dyDescent="0.25">
      <c r="C5499" s="26">
        <v>5497</v>
      </c>
    </row>
    <row r="5500" spans="3:3" x14ac:dyDescent="0.25">
      <c r="C5500" s="26">
        <v>5498</v>
      </c>
    </row>
    <row r="5501" spans="3:3" x14ac:dyDescent="0.25">
      <c r="C5501" s="26">
        <v>5499</v>
      </c>
    </row>
    <row r="5502" spans="3:3" x14ac:dyDescent="0.25">
      <c r="C5502" s="26">
        <v>5500</v>
      </c>
    </row>
    <row r="5503" spans="3:3" x14ac:dyDescent="0.25">
      <c r="C5503" s="26">
        <v>5501</v>
      </c>
    </row>
    <row r="5504" spans="3:3" x14ac:dyDescent="0.25">
      <c r="C5504" s="26">
        <v>5502</v>
      </c>
    </row>
    <row r="5505" spans="3:3" x14ac:dyDescent="0.25">
      <c r="C5505" s="26">
        <v>5503</v>
      </c>
    </row>
    <row r="5506" spans="3:3" x14ac:dyDescent="0.25">
      <c r="C5506" s="26">
        <v>5504</v>
      </c>
    </row>
    <row r="5507" spans="3:3" x14ac:dyDescent="0.25">
      <c r="C5507" s="26">
        <v>5505</v>
      </c>
    </row>
    <row r="5508" spans="3:3" x14ac:dyDescent="0.25">
      <c r="C5508" s="26">
        <v>5506</v>
      </c>
    </row>
    <row r="5509" spans="3:3" x14ac:dyDescent="0.25">
      <c r="C5509" s="26">
        <v>5507</v>
      </c>
    </row>
    <row r="5510" spans="3:3" x14ac:dyDescent="0.25">
      <c r="C5510" s="26">
        <v>5508</v>
      </c>
    </row>
    <row r="5511" spans="3:3" x14ac:dyDescent="0.25">
      <c r="C5511" s="26">
        <v>5509</v>
      </c>
    </row>
    <row r="5512" spans="3:3" x14ac:dyDescent="0.25">
      <c r="C5512" s="26">
        <v>5510</v>
      </c>
    </row>
    <row r="5513" spans="3:3" x14ac:dyDescent="0.25">
      <c r="C5513" s="26">
        <v>5511</v>
      </c>
    </row>
    <row r="5514" spans="3:3" x14ac:dyDescent="0.25">
      <c r="C5514" s="26">
        <v>5512</v>
      </c>
    </row>
    <row r="5515" spans="3:3" x14ac:dyDescent="0.25">
      <c r="C5515" s="26">
        <v>5513</v>
      </c>
    </row>
    <row r="5516" spans="3:3" x14ac:dyDescent="0.25">
      <c r="C5516" s="26">
        <v>5514</v>
      </c>
    </row>
    <row r="5517" spans="3:3" x14ac:dyDescent="0.25">
      <c r="C5517" s="26">
        <v>5515</v>
      </c>
    </row>
    <row r="5518" spans="3:3" x14ac:dyDescent="0.25">
      <c r="C5518" s="26">
        <v>5516</v>
      </c>
    </row>
    <row r="5519" spans="3:3" x14ac:dyDescent="0.25">
      <c r="C5519" s="26">
        <v>5517</v>
      </c>
    </row>
    <row r="5520" spans="3:3" x14ac:dyDescent="0.25">
      <c r="C5520" s="26">
        <v>5518</v>
      </c>
    </row>
    <row r="5521" spans="3:3" x14ac:dyDescent="0.25">
      <c r="C5521" s="26">
        <v>5519</v>
      </c>
    </row>
    <row r="5522" spans="3:3" x14ac:dyDescent="0.25">
      <c r="C5522" s="26">
        <v>5520</v>
      </c>
    </row>
    <row r="5523" spans="3:3" x14ac:dyDescent="0.25">
      <c r="C5523" s="26">
        <v>5521</v>
      </c>
    </row>
    <row r="5524" spans="3:3" x14ac:dyDescent="0.25">
      <c r="C5524" s="26">
        <v>5522</v>
      </c>
    </row>
    <row r="5525" spans="3:3" x14ac:dyDescent="0.25">
      <c r="C5525" s="26">
        <v>5523</v>
      </c>
    </row>
    <row r="5526" spans="3:3" x14ac:dyDescent="0.25">
      <c r="C5526" s="26">
        <v>5524</v>
      </c>
    </row>
    <row r="5527" spans="3:3" x14ac:dyDescent="0.25">
      <c r="C5527" s="26">
        <v>5525</v>
      </c>
    </row>
    <row r="5528" spans="3:3" x14ac:dyDescent="0.25">
      <c r="C5528" s="26">
        <v>5526</v>
      </c>
    </row>
    <row r="5529" spans="3:3" x14ac:dyDescent="0.25">
      <c r="C5529" s="26">
        <v>5527</v>
      </c>
    </row>
    <row r="5530" spans="3:3" x14ac:dyDescent="0.25">
      <c r="C5530" s="26">
        <v>5528</v>
      </c>
    </row>
    <row r="5531" spans="3:3" x14ac:dyDescent="0.25">
      <c r="C5531" s="26">
        <v>5529</v>
      </c>
    </row>
    <row r="5532" spans="3:3" x14ac:dyDescent="0.25">
      <c r="C5532" s="26">
        <v>5530</v>
      </c>
    </row>
    <row r="5533" spans="3:3" x14ac:dyDescent="0.25">
      <c r="C5533" s="26">
        <v>5531</v>
      </c>
    </row>
    <row r="5534" spans="3:3" x14ac:dyDescent="0.25">
      <c r="C5534" s="26">
        <v>5532</v>
      </c>
    </row>
    <row r="5535" spans="3:3" x14ac:dyDescent="0.25">
      <c r="C5535" s="26">
        <v>5533</v>
      </c>
    </row>
    <row r="5536" spans="3:3" x14ac:dyDescent="0.25">
      <c r="C5536" s="26">
        <v>5534</v>
      </c>
    </row>
    <row r="5537" spans="3:3" x14ac:dyDescent="0.25">
      <c r="C5537" s="26">
        <v>5535</v>
      </c>
    </row>
    <row r="5538" spans="3:3" x14ac:dyDescent="0.25">
      <c r="C5538" s="26">
        <v>5536</v>
      </c>
    </row>
    <row r="5539" spans="3:3" x14ac:dyDescent="0.25">
      <c r="C5539" s="26">
        <v>5537</v>
      </c>
    </row>
    <row r="5540" spans="3:3" x14ac:dyDescent="0.25">
      <c r="C5540" s="26">
        <v>5538</v>
      </c>
    </row>
    <row r="5541" spans="3:3" x14ac:dyDescent="0.25">
      <c r="C5541" s="26">
        <v>5539</v>
      </c>
    </row>
    <row r="5542" spans="3:3" x14ac:dyDescent="0.25">
      <c r="C5542" s="26">
        <v>5540</v>
      </c>
    </row>
    <row r="5543" spans="3:3" x14ac:dyDescent="0.25">
      <c r="C5543" s="26">
        <v>5541</v>
      </c>
    </row>
    <row r="5544" spans="3:3" x14ac:dyDescent="0.25">
      <c r="C5544" s="26">
        <v>5542</v>
      </c>
    </row>
    <row r="5545" spans="3:3" x14ac:dyDescent="0.25">
      <c r="C5545" s="26">
        <v>5543</v>
      </c>
    </row>
    <row r="5546" spans="3:3" x14ac:dyDescent="0.25">
      <c r="C5546" s="26">
        <v>5544</v>
      </c>
    </row>
    <row r="5547" spans="3:3" x14ac:dyDescent="0.25">
      <c r="C5547" s="26">
        <v>5545</v>
      </c>
    </row>
    <row r="5548" spans="3:3" x14ac:dyDescent="0.25">
      <c r="C5548" s="26">
        <v>5546</v>
      </c>
    </row>
    <row r="5549" spans="3:3" x14ac:dyDescent="0.25">
      <c r="C5549" s="26">
        <v>5547</v>
      </c>
    </row>
    <row r="5550" spans="3:3" x14ac:dyDescent="0.25">
      <c r="C5550" s="26">
        <v>5548</v>
      </c>
    </row>
    <row r="5551" spans="3:3" x14ac:dyDescent="0.25">
      <c r="C5551" s="26">
        <v>5549</v>
      </c>
    </row>
    <row r="5552" spans="3:3" x14ac:dyDescent="0.25">
      <c r="C5552" s="26">
        <v>5550</v>
      </c>
    </row>
    <row r="5553" spans="3:3" x14ac:dyDescent="0.25">
      <c r="C5553" s="26">
        <v>5551</v>
      </c>
    </row>
    <row r="5554" spans="3:3" x14ac:dyDescent="0.25">
      <c r="C5554" s="26">
        <v>5552</v>
      </c>
    </row>
    <row r="5555" spans="3:3" x14ac:dyDescent="0.25">
      <c r="C5555" s="26">
        <v>5553</v>
      </c>
    </row>
    <row r="5556" spans="3:3" x14ac:dyDescent="0.25">
      <c r="C5556" s="26">
        <v>5554</v>
      </c>
    </row>
    <row r="5557" spans="3:3" x14ac:dyDescent="0.25">
      <c r="C5557" s="26">
        <v>5555</v>
      </c>
    </row>
    <row r="5558" spans="3:3" x14ac:dyDescent="0.25">
      <c r="C5558" s="26">
        <v>5556</v>
      </c>
    </row>
    <row r="5559" spans="3:3" x14ac:dyDescent="0.25">
      <c r="C5559" s="26">
        <v>5557</v>
      </c>
    </row>
    <row r="5560" spans="3:3" x14ac:dyDescent="0.25">
      <c r="C5560" s="26">
        <v>5558</v>
      </c>
    </row>
    <row r="5561" spans="3:3" x14ac:dyDescent="0.25">
      <c r="C5561" s="26">
        <v>5559</v>
      </c>
    </row>
    <row r="5562" spans="3:3" x14ac:dyDescent="0.25">
      <c r="C5562" s="26">
        <v>5560</v>
      </c>
    </row>
    <row r="5563" spans="3:3" x14ac:dyDescent="0.25">
      <c r="C5563" s="26">
        <v>5561</v>
      </c>
    </row>
    <row r="5564" spans="3:3" x14ac:dyDescent="0.25">
      <c r="C5564" s="26">
        <v>5562</v>
      </c>
    </row>
    <row r="5565" spans="3:3" x14ac:dyDescent="0.25">
      <c r="C5565" s="26">
        <v>5563</v>
      </c>
    </row>
    <row r="5566" spans="3:3" x14ac:dyDescent="0.25">
      <c r="C5566" s="26">
        <v>5564</v>
      </c>
    </row>
    <row r="5567" spans="3:3" x14ac:dyDescent="0.25">
      <c r="C5567" s="26">
        <v>5565</v>
      </c>
    </row>
    <row r="5568" spans="3:3" x14ac:dyDescent="0.25">
      <c r="C5568" s="26">
        <v>5566</v>
      </c>
    </row>
    <row r="5569" spans="3:3" x14ac:dyDescent="0.25">
      <c r="C5569" s="26">
        <v>5567</v>
      </c>
    </row>
    <row r="5570" spans="3:3" x14ac:dyDescent="0.25">
      <c r="C5570" s="26">
        <v>5568</v>
      </c>
    </row>
    <row r="5571" spans="3:3" x14ac:dyDescent="0.25">
      <c r="C5571" s="26">
        <v>5569</v>
      </c>
    </row>
    <row r="5572" spans="3:3" x14ac:dyDescent="0.25">
      <c r="C5572" s="26">
        <v>5570</v>
      </c>
    </row>
    <row r="5573" spans="3:3" x14ac:dyDescent="0.25">
      <c r="C5573" s="26">
        <v>5571</v>
      </c>
    </row>
    <row r="5574" spans="3:3" x14ac:dyDescent="0.25">
      <c r="C5574" s="26">
        <v>5572</v>
      </c>
    </row>
    <row r="5575" spans="3:3" x14ac:dyDescent="0.25">
      <c r="C5575" s="26">
        <v>5573</v>
      </c>
    </row>
    <row r="5576" spans="3:3" x14ac:dyDescent="0.25">
      <c r="C5576" s="26">
        <v>5574</v>
      </c>
    </row>
    <row r="5577" spans="3:3" x14ac:dyDescent="0.25">
      <c r="C5577" s="26">
        <v>5575</v>
      </c>
    </row>
    <row r="5578" spans="3:3" x14ac:dyDescent="0.25">
      <c r="C5578" s="26">
        <v>5576</v>
      </c>
    </row>
    <row r="5579" spans="3:3" x14ac:dyDescent="0.25">
      <c r="C5579" s="26">
        <v>5577</v>
      </c>
    </row>
    <row r="5580" spans="3:3" x14ac:dyDescent="0.25">
      <c r="C5580" s="26">
        <v>5578</v>
      </c>
    </row>
    <row r="5581" spans="3:3" x14ac:dyDescent="0.25">
      <c r="C5581" s="26">
        <v>5579</v>
      </c>
    </row>
    <row r="5582" spans="3:3" x14ac:dyDescent="0.25">
      <c r="C5582" s="26">
        <v>5580</v>
      </c>
    </row>
    <row r="5583" spans="3:3" x14ac:dyDescent="0.25">
      <c r="C5583" s="26">
        <v>5581</v>
      </c>
    </row>
    <row r="5584" spans="3:3" x14ac:dyDescent="0.25">
      <c r="C5584" s="26">
        <v>5582</v>
      </c>
    </row>
    <row r="5585" spans="3:3" x14ac:dyDescent="0.25">
      <c r="C5585" s="26">
        <v>5583</v>
      </c>
    </row>
    <row r="5586" spans="3:3" x14ac:dyDescent="0.25">
      <c r="C5586" s="26">
        <v>5584</v>
      </c>
    </row>
    <row r="5587" spans="3:3" x14ac:dyDescent="0.25">
      <c r="C5587" s="26">
        <v>5585</v>
      </c>
    </row>
    <row r="5588" spans="3:3" x14ac:dyDescent="0.25">
      <c r="C5588" s="26">
        <v>5586</v>
      </c>
    </row>
    <row r="5589" spans="3:3" x14ac:dyDescent="0.25">
      <c r="C5589" s="26">
        <v>5587</v>
      </c>
    </row>
    <row r="5590" spans="3:3" x14ac:dyDescent="0.25">
      <c r="C5590" s="26">
        <v>5588</v>
      </c>
    </row>
    <row r="5591" spans="3:3" x14ac:dyDescent="0.25">
      <c r="C5591" s="26">
        <v>5589</v>
      </c>
    </row>
    <row r="5592" spans="3:3" x14ac:dyDescent="0.25">
      <c r="C5592" s="26">
        <v>5590</v>
      </c>
    </row>
    <row r="5593" spans="3:3" x14ac:dyDescent="0.25">
      <c r="C5593" s="26">
        <v>5591</v>
      </c>
    </row>
    <row r="5594" spans="3:3" x14ac:dyDescent="0.25">
      <c r="C5594" s="26">
        <v>5592</v>
      </c>
    </row>
    <row r="5595" spans="3:3" x14ac:dyDescent="0.25">
      <c r="C5595" s="26">
        <v>5593</v>
      </c>
    </row>
    <row r="5596" spans="3:3" x14ac:dyDescent="0.25">
      <c r="C5596" s="26">
        <v>5594</v>
      </c>
    </row>
    <row r="5597" spans="3:3" x14ac:dyDescent="0.25">
      <c r="C5597" s="26">
        <v>5595</v>
      </c>
    </row>
    <row r="5598" spans="3:3" x14ac:dyDescent="0.25">
      <c r="C5598" s="26">
        <v>5596</v>
      </c>
    </row>
    <row r="5599" spans="3:3" x14ac:dyDescent="0.25">
      <c r="C5599" s="26">
        <v>5597</v>
      </c>
    </row>
    <row r="5600" spans="3:3" x14ac:dyDescent="0.25">
      <c r="C5600" s="26">
        <v>5598</v>
      </c>
    </row>
    <row r="5601" spans="3:3" x14ac:dyDescent="0.25">
      <c r="C5601" s="26">
        <v>5599</v>
      </c>
    </row>
    <row r="5602" spans="3:3" x14ac:dyDescent="0.25">
      <c r="C5602" s="26">
        <v>5600</v>
      </c>
    </row>
    <row r="5603" spans="3:3" x14ac:dyDescent="0.25">
      <c r="C5603" s="26">
        <v>5601</v>
      </c>
    </row>
    <row r="5604" spans="3:3" x14ac:dyDescent="0.25">
      <c r="C5604" s="26">
        <v>5602</v>
      </c>
    </row>
    <row r="5605" spans="3:3" x14ac:dyDescent="0.25">
      <c r="C5605" s="26">
        <v>5603</v>
      </c>
    </row>
    <row r="5606" spans="3:3" x14ac:dyDescent="0.25">
      <c r="C5606" s="26">
        <v>5604</v>
      </c>
    </row>
    <row r="5607" spans="3:3" x14ac:dyDescent="0.25">
      <c r="C5607" s="26">
        <v>5605</v>
      </c>
    </row>
    <row r="5608" spans="3:3" x14ac:dyDescent="0.25">
      <c r="C5608" s="26">
        <v>5606</v>
      </c>
    </row>
    <row r="5609" spans="3:3" x14ac:dyDescent="0.25">
      <c r="C5609" s="26">
        <v>5607</v>
      </c>
    </row>
    <row r="5610" spans="3:3" x14ac:dyDescent="0.25">
      <c r="C5610" s="26">
        <v>5608</v>
      </c>
    </row>
    <row r="5611" spans="3:3" x14ac:dyDescent="0.25">
      <c r="C5611" s="26">
        <v>5609</v>
      </c>
    </row>
    <row r="5612" spans="3:3" x14ac:dyDescent="0.25">
      <c r="C5612" s="26">
        <v>5610</v>
      </c>
    </row>
    <row r="5613" spans="3:3" x14ac:dyDescent="0.25">
      <c r="C5613" s="26">
        <v>5611</v>
      </c>
    </row>
    <row r="5614" spans="3:3" x14ac:dyDescent="0.25">
      <c r="C5614" s="26">
        <v>5612</v>
      </c>
    </row>
    <row r="5615" spans="3:3" x14ac:dyDescent="0.25">
      <c r="C5615" s="26">
        <v>5613</v>
      </c>
    </row>
    <row r="5616" spans="3:3" x14ac:dyDescent="0.25">
      <c r="C5616" s="26">
        <v>5614</v>
      </c>
    </row>
    <row r="5617" spans="3:3" x14ac:dyDescent="0.25">
      <c r="C5617" s="26">
        <v>5615</v>
      </c>
    </row>
    <row r="5618" spans="3:3" x14ac:dyDescent="0.25">
      <c r="C5618" s="26">
        <v>5616</v>
      </c>
    </row>
    <row r="5619" spans="3:3" x14ac:dyDescent="0.25">
      <c r="C5619" s="26">
        <v>5617</v>
      </c>
    </row>
    <row r="5620" spans="3:3" x14ac:dyDescent="0.25">
      <c r="C5620" s="26">
        <v>5618</v>
      </c>
    </row>
    <row r="5621" spans="3:3" x14ac:dyDescent="0.25">
      <c r="C5621" s="26">
        <v>5619</v>
      </c>
    </row>
    <row r="5622" spans="3:3" x14ac:dyDescent="0.25">
      <c r="C5622" s="26">
        <v>5620</v>
      </c>
    </row>
    <row r="5623" spans="3:3" x14ac:dyDescent="0.25">
      <c r="C5623" s="26">
        <v>5621</v>
      </c>
    </row>
    <row r="5624" spans="3:3" x14ac:dyDescent="0.25">
      <c r="C5624" s="26">
        <v>5622</v>
      </c>
    </row>
    <row r="5625" spans="3:3" x14ac:dyDescent="0.25">
      <c r="C5625" s="26">
        <v>5623</v>
      </c>
    </row>
    <row r="5626" spans="3:3" x14ac:dyDescent="0.25">
      <c r="C5626" s="26">
        <v>5624</v>
      </c>
    </row>
    <row r="5627" spans="3:3" x14ac:dyDescent="0.25">
      <c r="C5627" s="26">
        <v>5625</v>
      </c>
    </row>
    <row r="5628" spans="3:3" x14ac:dyDescent="0.25">
      <c r="C5628" s="26">
        <v>5626</v>
      </c>
    </row>
    <row r="5629" spans="3:3" x14ac:dyDescent="0.25">
      <c r="C5629" s="26">
        <v>5627</v>
      </c>
    </row>
    <row r="5630" spans="3:3" x14ac:dyDescent="0.25">
      <c r="C5630" s="26">
        <v>5628</v>
      </c>
    </row>
    <row r="5631" spans="3:3" x14ac:dyDescent="0.25">
      <c r="C5631" s="26">
        <v>5629</v>
      </c>
    </row>
    <row r="5632" spans="3:3" x14ac:dyDescent="0.25">
      <c r="C5632" s="26">
        <v>5630</v>
      </c>
    </row>
    <row r="5633" spans="3:3" x14ac:dyDescent="0.25">
      <c r="C5633" s="26">
        <v>5631</v>
      </c>
    </row>
    <row r="5634" spans="3:3" x14ac:dyDescent="0.25">
      <c r="C5634" s="26">
        <v>5632</v>
      </c>
    </row>
    <row r="5635" spans="3:3" x14ac:dyDescent="0.25">
      <c r="C5635" s="26">
        <v>5633</v>
      </c>
    </row>
    <row r="5636" spans="3:3" x14ac:dyDescent="0.25">
      <c r="C5636" s="26">
        <v>5634</v>
      </c>
    </row>
    <row r="5637" spans="3:3" x14ac:dyDescent="0.25">
      <c r="C5637" s="26">
        <v>5635</v>
      </c>
    </row>
    <row r="5638" spans="3:3" x14ac:dyDescent="0.25">
      <c r="C5638" s="26">
        <v>5636</v>
      </c>
    </row>
    <row r="5639" spans="3:3" x14ac:dyDescent="0.25">
      <c r="C5639" s="26">
        <v>5637</v>
      </c>
    </row>
    <row r="5640" spans="3:3" x14ac:dyDescent="0.25">
      <c r="C5640" s="26">
        <v>5638</v>
      </c>
    </row>
    <row r="5641" spans="3:3" x14ac:dyDescent="0.25">
      <c r="C5641" s="26">
        <v>5639</v>
      </c>
    </row>
    <row r="5642" spans="3:3" x14ac:dyDescent="0.25">
      <c r="C5642" s="26">
        <v>5640</v>
      </c>
    </row>
    <row r="5643" spans="3:3" x14ac:dyDescent="0.25">
      <c r="C5643" s="26">
        <v>5641</v>
      </c>
    </row>
    <row r="5644" spans="3:3" x14ac:dyDescent="0.25">
      <c r="C5644" s="26">
        <v>5642</v>
      </c>
    </row>
    <row r="5645" spans="3:3" x14ac:dyDescent="0.25">
      <c r="C5645" s="26">
        <v>5643</v>
      </c>
    </row>
    <row r="5646" spans="3:3" x14ac:dyDescent="0.25">
      <c r="C5646" s="26">
        <v>5644</v>
      </c>
    </row>
    <row r="5647" spans="3:3" x14ac:dyDescent="0.25">
      <c r="C5647" s="26">
        <v>5645</v>
      </c>
    </row>
    <row r="5648" spans="3:3" x14ac:dyDescent="0.25">
      <c r="C5648" s="26">
        <v>5646</v>
      </c>
    </row>
    <row r="5649" spans="3:3" x14ac:dyDescent="0.25">
      <c r="C5649" s="26">
        <v>5647</v>
      </c>
    </row>
    <row r="5650" spans="3:3" x14ac:dyDescent="0.25">
      <c r="C5650" s="26">
        <v>5648</v>
      </c>
    </row>
    <row r="5651" spans="3:3" x14ac:dyDescent="0.25">
      <c r="C5651" s="26">
        <v>5649</v>
      </c>
    </row>
    <row r="5652" spans="3:3" x14ac:dyDescent="0.25">
      <c r="C5652" s="26">
        <v>5650</v>
      </c>
    </row>
    <row r="5653" spans="3:3" x14ac:dyDescent="0.25">
      <c r="C5653" s="26">
        <v>5651</v>
      </c>
    </row>
    <row r="5654" spans="3:3" x14ac:dyDescent="0.25">
      <c r="C5654" s="26">
        <v>5652</v>
      </c>
    </row>
    <row r="5655" spans="3:3" x14ac:dyDescent="0.25">
      <c r="C5655" s="26">
        <v>5653</v>
      </c>
    </row>
    <row r="5656" spans="3:3" x14ac:dyDescent="0.25">
      <c r="C5656" s="26">
        <v>5654</v>
      </c>
    </row>
    <row r="5657" spans="3:3" x14ac:dyDescent="0.25">
      <c r="C5657" s="26">
        <v>5655</v>
      </c>
    </row>
    <row r="5658" spans="3:3" x14ac:dyDescent="0.25">
      <c r="C5658" s="26">
        <v>5656</v>
      </c>
    </row>
    <row r="5659" spans="3:3" x14ac:dyDescent="0.25">
      <c r="C5659" s="26">
        <v>5657</v>
      </c>
    </row>
    <row r="5660" spans="3:3" x14ac:dyDescent="0.25">
      <c r="C5660" s="26">
        <v>5658</v>
      </c>
    </row>
    <row r="5661" spans="3:3" x14ac:dyDescent="0.25">
      <c r="C5661" s="26">
        <v>5659</v>
      </c>
    </row>
    <row r="5662" spans="3:3" x14ac:dyDescent="0.25">
      <c r="C5662" s="26">
        <v>5660</v>
      </c>
    </row>
    <row r="5663" spans="3:3" x14ac:dyDescent="0.25">
      <c r="C5663" s="26">
        <v>5661</v>
      </c>
    </row>
    <row r="5664" spans="3:3" x14ac:dyDescent="0.25">
      <c r="C5664" s="26">
        <v>5662</v>
      </c>
    </row>
    <row r="5665" spans="3:3" x14ac:dyDescent="0.25">
      <c r="C5665" s="26">
        <v>5663</v>
      </c>
    </row>
    <row r="5666" spans="3:3" x14ac:dyDescent="0.25">
      <c r="C5666" s="26">
        <v>5664</v>
      </c>
    </row>
    <row r="5667" spans="3:3" x14ac:dyDescent="0.25">
      <c r="C5667" s="26">
        <v>5665</v>
      </c>
    </row>
    <row r="5668" spans="3:3" x14ac:dyDescent="0.25">
      <c r="C5668" s="26">
        <v>5666</v>
      </c>
    </row>
    <row r="5669" spans="3:3" x14ac:dyDescent="0.25">
      <c r="C5669" s="26">
        <v>5667</v>
      </c>
    </row>
    <row r="5670" spans="3:3" x14ac:dyDescent="0.25">
      <c r="C5670" s="26">
        <v>5668</v>
      </c>
    </row>
    <row r="5671" spans="3:3" x14ac:dyDescent="0.25">
      <c r="C5671" s="26">
        <v>5669</v>
      </c>
    </row>
    <row r="5672" spans="3:3" x14ac:dyDescent="0.25">
      <c r="C5672" s="26">
        <v>5670</v>
      </c>
    </row>
    <row r="5673" spans="3:3" x14ac:dyDescent="0.25">
      <c r="C5673" s="26">
        <v>5671</v>
      </c>
    </row>
    <row r="5674" spans="3:3" x14ac:dyDescent="0.25">
      <c r="C5674" s="26">
        <v>5672</v>
      </c>
    </row>
    <row r="5675" spans="3:3" x14ac:dyDescent="0.25">
      <c r="C5675" s="26">
        <v>5673</v>
      </c>
    </row>
    <row r="5676" spans="3:3" x14ac:dyDescent="0.25">
      <c r="C5676" s="26">
        <v>5674</v>
      </c>
    </row>
    <row r="5677" spans="3:3" x14ac:dyDescent="0.25">
      <c r="C5677" s="26">
        <v>5675</v>
      </c>
    </row>
    <row r="5678" spans="3:3" x14ac:dyDescent="0.25">
      <c r="C5678" s="26">
        <v>5676</v>
      </c>
    </row>
    <row r="5679" spans="3:3" x14ac:dyDescent="0.25">
      <c r="C5679" s="26">
        <v>5677</v>
      </c>
    </row>
    <row r="5680" spans="3:3" x14ac:dyDescent="0.25">
      <c r="C5680" s="26">
        <v>5678</v>
      </c>
    </row>
    <row r="5681" spans="3:3" x14ac:dyDescent="0.25">
      <c r="C5681" s="26">
        <v>5679</v>
      </c>
    </row>
    <row r="5682" spans="3:3" x14ac:dyDescent="0.25">
      <c r="C5682" s="26">
        <v>5680</v>
      </c>
    </row>
    <row r="5683" spans="3:3" x14ac:dyDescent="0.25">
      <c r="C5683" s="26">
        <v>5681</v>
      </c>
    </row>
    <row r="5684" spans="3:3" x14ac:dyDescent="0.25">
      <c r="C5684" s="26">
        <v>5682</v>
      </c>
    </row>
    <row r="5685" spans="3:3" x14ac:dyDescent="0.25">
      <c r="C5685" s="26">
        <v>5683</v>
      </c>
    </row>
    <row r="5686" spans="3:3" x14ac:dyDescent="0.25">
      <c r="C5686" s="26">
        <v>5684</v>
      </c>
    </row>
    <row r="5687" spans="3:3" x14ac:dyDescent="0.25">
      <c r="C5687" s="26">
        <v>5685</v>
      </c>
    </row>
    <row r="5688" spans="3:3" x14ac:dyDescent="0.25">
      <c r="C5688" s="26">
        <v>5686</v>
      </c>
    </row>
    <row r="5689" spans="3:3" x14ac:dyDescent="0.25">
      <c r="C5689" s="26">
        <v>5687</v>
      </c>
    </row>
    <row r="5690" spans="3:3" x14ac:dyDescent="0.25">
      <c r="C5690" s="26">
        <v>5688</v>
      </c>
    </row>
    <row r="5691" spans="3:3" x14ac:dyDescent="0.25">
      <c r="C5691" s="26">
        <v>5689</v>
      </c>
    </row>
    <row r="5692" spans="3:3" x14ac:dyDescent="0.25">
      <c r="C5692" s="26">
        <v>5690</v>
      </c>
    </row>
    <row r="5693" spans="3:3" x14ac:dyDescent="0.25">
      <c r="C5693" s="26">
        <v>5691</v>
      </c>
    </row>
    <row r="5694" spans="3:3" x14ac:dyDescent="0.25">
      <c r="C5694" s="26">
        <v>5692</v>
      </c>
    </row>
    <row r="5695" spans="3:3" x14ac:dyDescent="0.25">
      <c r="C5695" s="26">
        <v>5693</v>
      </c>
    </row>
    <row r="5696" spans="3:3" x14ac:dyDescent="0.25">
      <c r="C5696" s="26">
        <v>5694</v>
      </c>
    </row>
    <row r="5697" spans="3:3" x14ac:dyDescent="0.25">
      <c r="C5697" s="26">
        <v>5695</v>
      </c>
    </row>
    <row r="5698" spans="3:3" x14ac:dyDescent="0.25">
      <c r="C5698" s="26">
        <v>5696</v>
      </c>
    </row>
    <row r="5699" spans="3:3" x14ac:dyDescent="0.25">
      <c r="C5699" s="26">
        <v>5697</v>
      </c>
    </row>
    <row r="5700" spans="3:3" x14ac:dyDescent="0.25">
      <c r="C5700" s="26">
        <v>5698</v>
      </c>
    </row>
    <row r="5701" spans="3:3" x14ac:dyDescent="0.25">
      <c r="C5701" s="26">
        <v>5699</v>
      </c>
    </row>
    <row r="5702" spans="3:3" x14ac:dyDescent="0.25">
      <c r="C5702" s="26">
        <v>5700</v>
      </c>
    </row>
    <row r="5703" spans="3:3" x14ac:dyDescent="0.25">
      <c r="C5703" s="26">
        <v>5701</v>
      </c>
    </row>
    <row r="5704" spans="3:3" x14ac:dyDescent="0.25">
      <c r="C5704" s="26">
        <v>5702</v>
      </c>
    </row>
    <row r="5705" spans="3:3" x14ac:dyDescent="0.25">
      <c r="C5705" s="26">
        <v>5703</v>
      </c>
    </row>
    <row r="5706" spans="3:3" x14ac:dyDescent="0.25">
      <c r="C5706" s="26">
        <v>5704</v>
      </c>
    </row>
    <row r="5707" spans="3:3" x14ac:dyDescent="0.25">
      <c r="C5707" s="26">
        <v>5705</v>
      </c>
    </row>
    <row r="5708" spans="3:3" x14ac:dyDescent="0.25">
      <c r="C5708" s="26">
        <v>5706</v>
      </c>
    </row>
    <row r="5709" spans="3:3" x14ac:dyDescent="0.25">
      <c r="C5709" s="26">
        <v>5707</v>
      </c>
    </row>
    <row r="5710" spans="3:3" x14ac:dyDescent="0.25">
      <c r="C5710" s="26">
        <v>5708</v>
      </c>
    </row>
    <row r="5711" spans="3:3" x14ac:dyDescent="0.25">
      <c r="C5711" s="26">
        <v>5709</v>
      </c>
    </row>
    <row r="5712" spans="3:3" x14ac:dyDescent="0.25">
      <c r="C5712" s="26">
        <v>5710</v>
      </c>
    </row>
    <row r="5713" spans="3:3" x14ac:dyDescent="0.25">
      <c r="C5713" s="26">
        <v>5711</v>
      </c>
    </row>
    <row r="5714" spans="3:3" x14ac:dyDescent="0.25">
      <c r="C5714" s="26">
        <v>5712</v>
      </c>
    </row>
    <row r="5715" spans="3:3" x14ac:dyDescent="0.25">
      <c r="C5715" s="26">
        <v>5713</v>
      </c>
    </row>
    <row r="5716" spans="3:3" x14ac:dyDescent="0.25">
      <c r="C5716" s="26">
        <v>5714</v>
      </c>
    </row>
    <row r="5717" spans="3:3" x14ac:dyDescent="0.25">
      <c r="C5717" s="26">
        <v>5715</v>
      </c>
    </row>
    <row r="5718" spans="3:3" x14ac:dyDescent="0.25">
      <c r="C5718" s="26">
        <v>5716</v>
      </c>
    </row>
    <row r="5719" spans="3:3" x14ac:dyDescent="0.25">
      <c r="C5719" s="26">
        <v>5717</v>
      </c>
    </row>
    <row r="5720" spans="3:3" x14ac:dyDescent="0.25">
      <c r="C5720" s="26">
        <v>5718</v>
      </c>
    </row>
    <row r="5721" spans="3:3" x14ac:dyDescent="0.25">
      <c r="C5721" s="26">
        <v>5719</v>
      </c>
    </row>
    <row r="5722" spans="3:3" x14ac:dyDescent="0.25">
      <c r="C5722" s="26">
        <v>5720</v>
      </c>
    </row>
    <row r="5723" spans="3:3" x14ac:dyDescent="0.25">
      <c r="C5723" s="26">
        <v>5721</v>
      </c>
    </row>
    <row r="5724" spans="3:3" x14ac:dyDescent="0.25">
      <c r="C5724" s="26">
        <v>5722</v>
      </c>
    </row>
    <row r="5725" spans="3:3" x14ac:dyDescent="0.25">
      <c r="C5725" s="26">
        <v>5723</v>
      </c>
    </row>
    <row r="5726" spans="3:3" x14ac:dyDescent="0.25">
      <c r="C5726" s="26">
        <v>5724</v>
      </c>
    </row>
    <row r="5727" spans="3:3" x14ac:dyDescent="0.25">
      <c r="C5727" s="26">
        <v>5725</v>
      </c>
    </row>
    <row r="5728" spans="3:3" x14ac:dyDescent="0.25">
      <c r="C5728" s="26">
        <v>5726</v>
      </c>
    </row>
    <row r="5729" spans="3:3" x14ac:dyDescent="0.25">
      <c r="C5729" s="26">
        <v>5727</v>
      </c>
    </row>
    <row r="5730" spans="3:3" x14ac:dyDescent="0.25">
      <c r="C5730" s="26">
        <v>5728</v>
      </c>
    </row>
    <row r="5731" spans="3:3" x14ac:dyDescent="0.25">
      <c r="C5731" s="26">
        <v>5729</v>
      </c>
    </row>
    <row r="5732" spans="3:3" x14ac:dyDescent="0.25">
      <c r="C5732" s="26">
        <v>5730</v>
      </c>
    </row>
    <row r="5733" spans="3:3" x14ac:dyDescent="0.25">
      <c r="C5733" s="26">
        <v>5731</v>
      </c>
    </row>
    <row r="5734" spans="3:3" x14ac:dyDescent="0.25">
      <c r="C5734" s="26">
        <v>5732</v>
      </c>
    </row>
    <row r="5735" spans="3:3" x14ac:dyDescent="0.25">
      <c r="C5735" s="26">
        <v>5733</v>
      </c>
    </row>
    <row r="5736" spans="3:3" x14ac:dyDescent="0.25">
      <c r="C5736" s="26">
        <v>5734</v>
      </c>
    </row>
    <row r="5737" spans="3:3" x14ac:dyDescent="0.25">
      <c r="C5737" s="26">
        <v>5735</v>
      </c>
    </row>
    <row r="5738" spans="3:3" x14ac:dyDescent="0.25">
      <c r="C5738" s="26">
        <v>5736</v>
      </c>
    </row>
    <row r="5739" spans="3:3" x14ac:dyDescent="0.25">
      <c r="C5739" s="26">
        <v>5737</v>
      </c>
    </row>
    <row r="5740" spans="3:3" x14ac:dyDescent="0.25">
      <c r="C5740" s="26">
        <v>5738</v>
      </c>
    </row>
    <row r="5741" spans="3:3" x14ac:dyDescent="0.25">
      <c r="C5741" s="26">
        <v>5739</v>
      </c>
    </row>
    <row r="5742" spans="3:3" x14ac:dyDescent="0.25">
      <c r="C5742" s="26">
        <v>5740</v>
      </c>
    </row>
    <row r="5743" spans="3:3" x14ac:dyDescent="0.25">
      <c r="C5743" s="26">
        <v>5741</v>
      </c>
    </row>
    <row r="5744" spans="3:3" x14ac:dyDescent="0.25">
      <c r="C5744" s="26">
        <v>5742</v>
      </c>
    </row>
    <row r="5745" spans="3:3" x14ac:dyDescent="0.25">
      <c r="C5745" s="26">
        <v>5743</v>
      </c>
    </row>
    <row r="5746" spans="3:3" x14ac:dyDescent="0.25">
      <c r="C5746" s="26">
        <v>5744</v>
      </c>
    </row>
    <row r="5747" spans="3:3" x14ac:dyDescent="0.25">
      <c r="C5747" s="26">
        <v>5745</v>
      </c>
    </row>
    <row r="5748" spans="3:3" x14ac:dyDescent="0.25">
      <c r="C5748" s="26">
        <v>5746</v>
      </c>
    </row>
    <row r="5749" spans="3:3" x14ac:dyDescent="0.25">
      <c r="C5749" s="26">
        <v>5747</v>
      </c>
    </row>
    <row r="5750" spans="3:3" x14ac:dyDescent="0.25">
      <c r="C5750" s="26">
        <v>5748</v>
      </c>
    </row>
    <row r="5751" spans="3:3" x14ac:dyDescent="0.25">
      <c r="C5751" s="26">
        <v>5749</v>
      </c>
    </row>
    <row r="5752" spans="3:3" x14ac:dyDescent="0.25">
      <c r="C5752" s="26">
        <v>5750</v>
      </c>
    </row>
    <row r="5753" spans="3:3" x14ac:dyDescent="0.25">
      <c r="C5753" s="26">
        <v>5751</v>
      </c>
    </row>
    <row r="5754" spans="3:3" x14ac:dyDescent="0.25">
      <c r="C5754" s="26">
        <v>5752</v>
      </c>
    </row>
    <row r="5755" spans="3:3" x14ac:dyDescent="0.25">
      <c r="C5755" s="26">
        <v>5753</v>
      </c>
    </row>
    <row r="5756" spans="3:3" x14ac:dyDescent="0.25">
      <c r="C5756" s="26">
        <v>5754</v>
      </c>
    </row>
    <row r="5757" spans="3:3" x14ac:dyDescent="0.25">
      <c r="C5757" s="26">
        <v>5755</v>
      </c>
    </row>
    <row r="5758" spans="3:3" x14ac:dyDescent="0.25">
      <c r="C5758" s="26">
        <v>5756</v>
      </c>
    </row>
    <row r="5759" spans="3:3" x14ac:dyDescent="0.25">
      <c r="C5759" s="26">
        <v>5757</v>
      </c>
    </row>
    <row r="5760" spans="3:3" x14ac:dyDescent="0.25">
      <c r="C5760" s="26">
        <v>5758</v>
      </c>
    </row>
    <row r="5761" spans="3:3" x14ac:dyDescent="0.25">
      <c r="C5761" s="26">
        <v>5759</v>
      </c>
    </row>
    <row r="5762" spans="3:3" x14ac:dyDescent="0.25">
      <c r="C5762" s="26">
        <v>5760</v>
      </c>
    </row>
    <row r="5763" spans="3:3" x14ac:dyDescent="0.25">
      <c r="C5763" s="26">
        <v>5761</v>
      </c>
    </row>
    <row r="5764" spans="3:3" x14ac:dyDescent="0.25">
      <c r="C5764" s="26">
        <v>5762</v>
      </c>
    </row>
    <row r="5765" spans="3:3" x14ac:dyDescent="0.25">
      <c r="C5765" s="26">
        <v>5763</v>
      </c>
    </row>
    <row r="5766" spans="3:3" x14ac:dyDescent="0.25">
      <c r="C5766" s="26">
        <v>5764</v>
      </c>
    </row>
    <row r="5767" spans="3:3" x14ac:dyDescent="0.25">
      <c r="C5767" s="26">
        <v>5765</v>
      </c>
    </row>
    <row r="5768" spans="3:3" x14ac:dyDescent="0.25">
      <c r="C5768" s="26">
        <v>5766</v>
      </c>
    </row>
    <row r="5769" spans="3:3" x14ac:dyDescent="0.25">
      <c r="C5769" s="26">
        <v>5767</v>
      </c>
    </row>
    <row r="5770" spans="3:3" x14ac:dyDescent="0.25">
      <c r="C5770" s="26">
        <v>5768</v>
      </c>
    </row>
    <row r="5771" spans="3:3" x14ac:dyDescent="0.25">
      <c r="C5771" s="26">
        <v>5769</v>
      </c>
    </row>
    <row r="5772" spans="3:3" x14ac:dyDescent="0.25">
      <c r="C5772" s="26">
        <v>5770</v>
      </c>
    </row>
    <row r="5773" spans="3:3" x14ac:dyDescent="0.25">
      <c r="C5773" s="26">
        <v>5771</v>
      </c>
    </row>
    <row r="5774" spans="3:3" x14ac:dyDescent="0.25">
      <c r="C5774" s="26">
        <v>5772</v>
      </c>
    </row>
    <row r="5775" spans="3:3" x14ac:dyDescent="0.25">
      <c r="C5775" s="26">
        <v>5773</v>
      </c>
    </row>
    <row r="5776" spans="3:3" x14ac:dyDescent="0.25">
      <c r="C5776" s="26">
        <v>5774</v>
      </c>
    </row>
    <row r="5777" spans="3:3" x14ac:dyDescent="0.25">
      <c r="C5777" s="26">
        <v>5775</v>
      </c>
    </row>
    <row r="5778" spans="3:3" x14ac:dyDescent="0.25">
      <c r="C5778" s="26">
        <v>5776</v>
      </c>
    </row>
    <row r="5779" spans="3:3" x14ac:dyDescent="0.25">
      <c r="C5779" s="26">
        <v>5777</v>
      </c>
    </row>
    <row r="5780" spans="3:3" x14ac:dyDescent="0.25">
      <c r="C5780" s="26">
        <v>5778</v>
      </c>
    </row>
    <row r="5781" spans="3:3" x14ac:dyDescent="0.25">
      <c r="C5781" s="26">
        <v>5779</v>
      </c>
    </row>
    <row r="5782" spans="3:3" x14ac:dyDescent="0.25">
      <c r="C5782" s="26">
        <v>5780</v>
      </c>
    </row>
    <row r="5783" spans="3:3" x14ac:dyDescent="0.25">
      <c r="C5783" s="26">
        <v>5781</v>
      </c>
    </row>
    <row r="5784" spans="3:3" x14ac:dyDescent="0.25">
      <c r="C5784" s="26">
        <v>5782</v>
      </c>
    </row>
    <row r="5785" spans="3:3" x14ac:dyDescent="0.25">
      <c r="C5785" s="26">
        <v>5783</v>
      </c>
    </row>
    <row r="5786" spans="3:3" x14ac:dyDescent="0.25">
      <c r="C5786" s="26">
        <v>5784</v>
      </c>
    </row>
    <row r="5787" spans="3:3" x14ac:dyDescent="0.25">
      <c r="C5787" s="26">
        <v>5785</v>
      </c>
    </row>
    <row r="5788" spans="3:3" x14ac:dyDescent="0.25">
      <c r="C5788" s="26">
        <v>5786</v>
      </c>
    </row>
    <row r="5789" spans="3:3" x14ac:dyDescent="0.25">
      <c r="C5789" s="26">
        <v>5787</v>
      </c>
    </row>
    <row r="5790" spans="3:3" x14ac:dyDescent="0.25">
      <c r="C5790" s="26">
        <v>5788</v>
      </c>
    </row>
    <row r="5791" spans="3:3" x14ac:dyDescent="0.25">
      <c r="C5791" s="26">
        <v>5789</v>
      </c>
    </row>
    <row r="5792" spans="3:3" x14ac:dyDescent="0.25">
      <c r="C5792" s="26">
        <v>5790</v>
      </c>
    </row>
    <row r="5793" spans="3:3" x14ac:dyDescent="0.25">
      <c r="C5793" s="26">
        <v>5791</v>
      </c>
    </row>
    <row r="5794" spans="3:3" x14ac:dyDescent="0.25">
      <c r="C5794" s="26">
        <v>5792</v>
      </c>
    </row>
    <row r="5795" spans="3:3" x14ac:dyDescent="0.25">
      <c r="C5795" s="26">
        <v>5793</v>
      </c>
    </row>
    <row r="5796" spans="3:3" x14ac:dyDescent="0.25">
      <c r="C5796" s="26">
        <v>5794</v>
      </c>
    </row>
    <row r="5797" spans="3:3" x14ac:dyDescent="0.25">
      <c r="C5797" s="26">
        <v>5795</v>
      </c>
    </row>
    <row r="5798" spans="3:3" x14ac:dyDescent="0.25">
      <c r="C5798" s="26">
        <v>5796</v>
      </c>
    </row>
    <row r="5799" spans="3:3" x14ac:dyDescent="0.25">
      <c r="C5799" s="26">
        <v>5797</v>
      </c>
    </row>
    <row r="5800" spans="3:3" x14ac:dyDescent="0.25">
      <c r="C5800" s="26">
        <v>5798</v>
      </c>
    </row>
    <row r="5801" spans="3:3" x14ac:dyDescent="0.25">
      <c r="C5801" s="26">
        <v>5799</v>
      </c>
    </row>
    <row r="5802" spans="3:3" x14ac:dyDescent="0.25">
      <c r="C5802" s="26">
        <v>5800</v>
      </c>
    </row>
    <row r="5803" spans="3:3" x14ac:dyDescent="0.25">
      <c r="C5803" s="26">
        <v>5801</v>
      </c>
    </row>
    <row r="5804" spans="3:3" x14ac:dyDescent="0.25">
      <c r="C5804" s="26">
        <v>5802</v>
      </c>
    </row>
    <row r="5805" spans="3:3" x14ac:dyDescent="0.25">
      <c r="C5805" s="26">
        <v>5803</v>
      </c>
    </row>
    <row r="5806" spans="3:3" x14ac:dyDescent="0.25">
      <c r="C5806" s="26">
        <v>5804</v>
      </c>
    </row>
    <row r="5807" spans="3:3" x14ac:dyDescent="0.25">
      <c r="C5807" s="26">
        <v>5805</v>
      </c>
    </row>
    <row r="5808" spans="3:3" x14ac:dyDescent="0.25">
      <c r="C5808" s="26">
        <v>5806</v>
      </c>
    </row>
    <row r="5809" spans="3:3" x14ac:dyDescent="0.25">
      <c r="C5809" s="26">
        <v>5807</v>
      </c>
    </row>
    <row r="5810" spans="3:3" x14ac:dyDescent="0.25">
      <c r="C5810" s="26">
        <v>5808</v>
      </c>
    </row>
    <row r="5811" spans="3:3" x14ac:dyDescent="0.25">
      <c r="C5811" s="26">
        <v>5809</v>
      </c>
    </row>
    <row r="5812" spans="3:3" x14ac:dyDescent="0.25">
      <c r="C5812" s="26">
        <v>5810</v>
      </c>
    </row>
    <row r="5813" spans="3:3" x14ac:dyDescent="0.25">
      <c r="C5813" s="26">
        <v>5811</v>
      </c>
    </row>
    <row r="5814" spans="3:3" x14ac:dyDescent="0.25">
      <c r="C5814" s="26">
        <v>5812</v>
      </c>
    </row>
    <row r="5815" spans="3:3" x14ac:dyDescent="0.25">
      <c r="C5815" s="26">
        <v>5813</v>
      </c>
    </row>
    <row r="5816" spans="3:3" x14ac:dyDescent="0.25">
      <c r="C5816" s="26">
        <v>5814</v>
      </c>
    </row>
    <row r="5817" spans="3:3" x14ac:dyDescent="0.25">
      <c r="C5817" s="26">
        <v>5815</v>
      </c>
    </row>
    <row r="5818" spans="3:3" x14ac:dyDescent="0.25">
      <c r="C5818" s="26">
        <v>5816</v>
      </c>
    </row>
    <row r="5819" spans="3:3" x14ac:dyDescent="0.25">
      <c r="C5819" s="26">
        <v>5817</v>
      </c>
    </row>
    <row r="5820" spans="3:3" x14ac:dyDescent="0.25">
      <c r="C5820" s="26">
        <v>5818</v>
      </c>
    </row>
    <row r="5821" spans="3:3" x14ac:dyDescent="0.25">
      <c r="C5821" s="26">
        <v>5819</v>
      </c>
    </row>
    <row r="5822" spans="3:3" x14ac:dyDescent="0.25">
      <c r="C5822" s="26">
        <v>5820</v>
      </c>
    </row>
    <row r="5823" spans="3:3" x14ac:dyDescent="0.25">
      <c r="C5823" s="26">
        <v>5821</v>
      </c>
    </row>
    <row r="5824" spans="3:3" x14ac:dyDescent="0.25">
      <c r="C5824" s="26">
        <v>5822</v>
      </c>
    </row>
    <row r="5825" spans="3:3" x14ac:dyDescent="0.25">
      <c r="C5825" s="26">
        <v>5823</v>
      </c>
    </row>
    <row r="5826" spans="3:3" x14ac:dyDescent="0.25">
      <c r="C5826" s="26">
        <v>5824</v>
      </c>
    </row>
    <row r="5827" spans="3:3" x14ac:dyDescent="0.25">
      <c r="C5827" s="26">
        <v>5825</v>
      </c>
    </row>
    <row r="5828" spans="3:3" x14ac:dyDescent="0.25">
      <c r="C5828" s="26">
        <v>5826</v>
      </c>
    </row>
    <row r="5829" spans="3:3" x14ac:dyDescent="0.25">
      <c r="C5829" s="26">
        <v>5827</v>
      </c>
    </row>
    <row r="5830" spans="3:3" x14ac:dyDescent="0.25">
      <c r="C5830" s="26">
        <v>5828</v>
      </c>
    </row>
    <row r="5831" spans="3:3" x14ac:dyDescent="0.25">
      <c r="C5831" s="26">
        <v>5829</v>
      </c>
    </row>
    <row r="5832" spans="3:3" x14ac:dyDescent="0.25">
      <c r="C5832" s="26">
        <v>5830</v>
      </c>
    </row>
    <row r="5833" spans="3:3" x14ac:dyDescent="0.25">
      <c r="C5833" s="26">
        <v>5831</v>
      </c>
    </row>
    <row r="5834" spans="3:3" x14ac:dyDescent="0.25">
      <c r="C5834" s="26">
        <v>5832</v>
      </c>
    </row>
    <row r="5835" spans="3:3" x14ac:dyDescent="0.25">
      <c r="C5835" s="26">
        <v>5833</v>
      </c>
    </row>
    <row r="5836" spans="3:3" x14ac:dyDescent="0.25">
      <c r="C5836" s="26">
        <v>5834</v>
      </c>
    </row>
    <row r="5837" spans="3:3" x14ac:dyDescent="0.25">
      <c r="C5837" s="26">
        <v>5835</v>
      </c>
    </row>
    <row r="5838" spans="3:3" x14ac:dyDescent="0.25">
      <c r="C5838" s="26">
        <v>5836</v>
      </c>
    </row>
    <row r="5839" spans="3:3" x14ac:dyDescent="0.25">
      <c r="C5839" s="26">
        <v>5837</v>
      </c>
    </row>
    <row r="5840" spans="3:3" x14ac:dyDescent="0.25">
      <c r="C5840" s="26">
        <v>5838</v>
      </c>
    </row>
    <row r="5841" spans="3:3" x14ac:dyDescent="0.25">
      <c r="C5841" s="26">
        <v>5839</v>
      </c>
    </row>
    <row r="5842" spans="3:3" x14ac:dyDescent="0.25">
      <c r="C5842" s="26">
        <v>5840</v>
      </c>
    </row>
    <row r="5843" spans="3:3" x14ac:dyDescent="0.25">
      <c r="C5843" s="26">
        <v>5841</v>
      </c>
    </row>
    <row r="5844" spans="3:3" x14ac:dyDescent="0.25">
      <c r="C5844" s="26">
        <v>5842</v>
      </c>
    </row>
    <row r="5845" spans="3:3" x14ac:dyDescent="0.25">
      <c r="C5845" s="26">
        <v>5843</v>
      </c>
    </row>
    <row r="5846" spans="3:3" x14ac:dyDescent="0.25">
      <c r="C5846" s="26">
        <v>5844</v>
      </c>
    </row>
    <row r="5847" spans="3:3" x14ac:dyDescent="0.25">
      <c r="C5847" s="26">
        <v>5845</v>
      </c>
    </row>
    <row r="5848" spans="3:3" x14ac:dyDescent="0.25">
      <c r="C5848" s="26">
        <v>5846</v>
      </c>
    </row>
    <row r="5849" spans="3:3" x14ac:dyDescent="0.25">
      <c r="C5849" s="26">
        <v>5847</v>
      </c>
    </row>
    <row r="5850" spans="3:3" x14ac:dyDescent="0.25">
      <c r="C5850" s="26">
        <v>5848</v>
      </c>
    </row>
    <row r="5851" spans="3:3" x14ac:dyDescent="0.25">
      <c r="C5851" s="26">
        <v>5849</v>
      </c>
    </row>
    <row r="5852" spans="3:3" x14ac:dyDescent="0.25">
      <c r="C5852" s="26">
        <v>5850</v>
      </c>
    </row>
    <row r="5853" spans="3:3" x14ac:dyDescent="0.25">
      <c r="C5853" s="26">
        <v>5851</v>
      </c>
    </row>
    <row r="5854" spans="3:3" x14ac:dyDescent="0.25">
      <c r="C5854" s="26">
        <v>5852</v>
      </c>
    </row>
    <row r="5855" spans="3:3" x14ac:dyDescent="0.25">
      <c r="C5855" s="26">
        <v>5853</v>
      </c>
    </row>
    <row r="5856" spans="3:3" x14ac:dyDescent="0.25">
      <c r="C5856" s="26">
        <v>5854</v>
      </c>
    </row>
    <row r="5857" spans="3:3" x14ac:dyDescent="0.25">
      <c r="C5857" s="26">
        <v>5855</v>
      </c>
    </row>
    <row r="5858" spans="3:3" x14ac:dyDescent="0.25">
      <c r="C5858" s="26">
        <v>5856</v>
      </c>
    </row>
    <row r="5859" spans="3:3" x14ac:dyDescent="0.25">
      <c r="C5859" s="26">
        <v>5857</v>
      </c>
    </row>
    <row r="5860" spans="3:3" x14ac:dyDescent="0.25">
      <c r="C5860" s="26">
        <v>5858</v>
      </c>
    </row>
    <row r="5861" spans="3:3" x14ac:dyDescent="0.25">
      <c r="C5861" s="26">
        <v>5859</v>
      </c>
    </row>
    <row r="5862" spans="3:3" x14ac:dyDescent="0.25">
      <c r="C5862" s="26">
        <v>5860</v>
      </c>
    </row>
    <row r="5863" spans="3:3" x14ac:dyDescent="0.25">
      <c r="C5863" s="26">
        <v>5861</v>
      </c>
    </row>
    <row r="5864" spans="3:3" x14ac:dyDescent="0.25">
      <c r="C5864" s="26">
        <v>5862</v>
      </c>
    </row>
    <row r="5865" spans="3:3" x14ac:dyDescent="0.25">
      <c r="C5865" s="26">
        <v>5863</v>
      </c>
    </row>
    <row r="5866" spans="3:3" x14ac:dyDescent="0.25">
      <c r="C5866" s="26">
        <v>5864</v>
      </c>
    </row>
    <row r="5867" spans="3:3" x14ac:dyDescent="0.25">
      <c r="C5867" s="26">
        <v>5865</v>
      </c>
    </row>
    <row r="5868" spans="3:3" x14ac:dyDescent="0.25">
      <c r="C5868" s="26">
        <v>5866</v>
      </c>
    </row>
    <row r="5869" spans="3:3" x14ac:dyDescent="0.25">
      <c r="C5869" s="26">
        <v>5867</v>
      </c>
    </row>
    <row r="5870" spans="3:3" x14ac:dyDescent="0.25">
      <c r="C5870" s="26">
        <v>5868</v>
      </c>
    </row>
    <row r="5871" spans="3:3" x14ac:dyDescent="0.25">
      <c r="C5871" s="26">
        <v>5869</v>
      </c>
    </row>
    <row r="5872" spans="3:3" x14ac:dyDescent="0.25">
      <c r="C5872" s="26">
        <v>5870</v>
      </c>
    </row>
    <row r="5873" spans="3:3" x14ac:dyDescent="0.25">
      <c r="C5873" s="26">
        <v>5871</v>
      </c>
    </row>
    <row r="5874" spans="3:3" x14ac:dyDescent="0.25">
      <c r="C5874" s="26">
        <v>5872</v>
      </c>
    </row>
    <row r="5875" spans="3:3" x14ac:dyDescent="0.25">
      <c r="C5875" s="26">
        <v>5873</v>
      </c>
    </row>
    <row r="5876" spans="3:3" x14ac:dyDescent="0.25">
      <c r="C5876" s="26">
        <v>5874</v>
      </c>
    </row>
    <row r="5877" spans="3:3" x14ac:dyDescent="0.25">
      <c r="C5877" s="26">
        <v>5875</v>
      </c>
    </row>
    <row r="5878" spans="3:3" x14ac:dyDescent="0.25">
      <c r="C5878" s="26">
        <v>5876</v>
      </c>
    </row>
    <row r="5879" spans="3:3" x14ac:dyDescent="0.25">
      <c r="C5879" s="26">
        <v>5877</v>
      </c>
    </row>
    <row r="5880" spans="3:3" x14ac:dyDescent="0.25">
      <c r="C5880" s="26">
        <v>5878</v>
      </c>
    </row>
    <row r="5881" spans="3:3" x14ac:dyDescent="0.25">
      <c r="C5881" s="26">
        <v>5879</v>
      </c>
    </row>
    <row r="5882" spans="3:3" x14ac:dyDescent="0.25">
      <c r="C5882" s="26">
        <v>5880</v>
      </c>
    </row>
    <row r="5883" spans="3:3" x14ac:dyDescent="0.25">
      <c r="C5883" s="26">
        <v>5881</v>
      </c>
    </row>
    <row r="5884" spans="3:3" x14ac:dyDescent="0.25">
      <c r="C5884" s="26">
        <v>5882</v>
      </c>
    </row>
    <row r="5885" spans="3:3" x14ac:dyDescent="0.25">
      <c r="C5885" s="26">
        <v>5883</v>
      </c>
    </row>
    <row r="5886" spans="3:3" x14ac:dyDescent="0.25">
      <c r="C5886" s="26">
        <v>5884</v>
      </c>
    </row>
    <row r="5887" spans="3:3" x14ac:dyDescent="0.25">
      <c r="C5887" s="26">
        <v>5885</v>
      </c>
    </row>
    <row r="5888" spans="3:3" x14ac:dyDescent="0.25">
      <c r="C5888" s="26">
        <v>5886</v>
      </c>
    </row>
    <row r="5889" spans="3:3" x14ac:dyDescent="0.25">
      <c r="C5889" s="26">
        <v>5887</v>
      </c>
    </row>
    <row r="5890" spans="3:3" x14ac:dyDescent="0.25">
      <c r="C5890" s="26">
        <v>5888</v>
      </c>
    </row>
    <row r="5891" spans="3:3" x14ac:dyDescent="0.25">
      <c r="C5891" s="26">
        <v>5889</v>
      </c>
    </row>
    <row r="5892" spans="3:3" x14ac:dyDescent="0.25">
      <c r="C5892" s="26">
        <v>5890</v>
      </c>
    </row>
    <row r="5893" spans="3:3" x14ac:dyDescent="0.25">
      <c r="C5893" s="26">
        <v>5891</v>
      </c>
    </row>
    <row r="5894" spans="3:3" x14ac:dyDescent="0.25">
      <c r="C5894" s="26">
        <v>5892</v>
      </c>
    </row>
    <row r="5895" spans="3:3" x14ac:dyDescent="0.25">
      <c r="C5895" s="26">
        <v>5893</v>
      </c>
    </row>
    <row r="5896" spans="3:3" x14ac:dyDescent="0.25">
      <c r="C5896" s="26">
        <v>5894</v>
      </c>
    </row>
    <row r="5897" spans="3:3" x14ac:dyDescent="0.25">
      <c r="C5897" s="26">
        <v>5895</v>
      </c>
    </row>
    <row r="5898" spans="3:3" x14ac:dyDescent="0.25">
      <c r="C5898" s="26">
        <v>5896</v>
      </c>
    </row>
    <row r="5899" spans="3:3" x14ac:dyDescent="0.25">
      <c r="C5899" s="26">
        <v>5897</v>
      </c>
    </row>
    <row r="5900" spans="3:3" x14ac:dyDescent="0.25">
      <c r="C5900" s="26">
        <v>5898</v>
      </c>
    </row>
    <row r="5901" spans="3:3" x14ac:dyDescent="0.25">
      <c r="C5901" s="26">
        <v>5899</v>
      </c>
    </row>
    <row r="5902" spans="3:3" x14ac:dyDescent="0.25">
      <c r="C5902" s="26">
        <v>5900</v>
      </c>
    </row>
    <row r="5903" spans="3:3" x14ac:dyDescent="0.25">
      <c r="C5903" s="26">
        <v>5901</v>
      </c>
    </row>
    <row r="5904" spans="3:3" x14ac:dyDescent="0.25">
      <c r="C5904" s="26">
        <v>5902</v>
      </c>
    </row>
    <row r="5905" spans="3:3" x14ac:dyDescent="0.25">
      <c r="C5905" s="26">
        <v>5903</v>
      </c>
    </row>
    <row r="5906" spans="3:3" x14ac:dyDescent="0.25">
      <c r="C5906" s="26">
        <v>5904</v>
      </c>
    </row>
    <row r="5907" spans="3:3" x14ac:dyDescent="0.25">
      <c r="C5907" s="26">
        <v>5905</v>
      </c>
    </row>
    <row r="5908" spans="3:3" x14ac:dyDescent="0.25">
      <c r="C5908" s="26">
        <v>5906</v>
      </c>
    </row>
    <row r="5909" spans="3:3" x14ac:dyDescent="0.25">
      <c r="C5909" s="26">
        <v>5907</v>
      </c>
    </row>
    <row r="5910" spans="3:3" x14ac:dyDescent="0.25">
      <c r="C5910" s="26">
        <v>5908</v>
      </c>
    </row>
    <row r="5911" spans="3:3" x14ac:dyDescent="0.25">
      <c r="C5911" s="26">
        <v>5909</v>
      </c>
    </row>
    <row r="5912" spans="3:3" x14ac:dyDescent="0.25">
      <c r="C5912" s="26">
        <v>5910</v>
      </c>
    </row>
    <row r="5913" spans="3:3" x14ac:dyDescent="0.25">
      <c r="C5913" s="26">
        <v>5911</v>
      </c>
    </row>
    <row r="5914" spans="3:3" x14ac:dyDescent="0.25">
      <c r="C5914" s="26">
        <v>5912</v>
      </c>
    </row>
    <row r="5915" spans="3:3" x14ac:dyDescent="0.25">
      <c r="C5915" s="26">
        <v>5913</v>
      </c>
    </row>
    <row r="5916" spans="3:3" x14ac:dyDescent="0.25">
      <c r="C5916" s="26">
        <v>5914</v>
      </c>
    </row>
    <row r="5917" spans="3:3" x14ac:dyDescent="0.25">
      <c r="C5917" s="26">
        <v>5915</v>
      </c>
    </row>
    <row r="5918" spans="3:3" x14ac:dyDescent="0.25">
      <c r="C5918" s="26">
        <v>5916</v>
      </c>
    </row>
    <row r="5919" spans="3:3" x14ac:dyDescent="0.25">
      <c r="C5919" s="26">
        <v>5917</v>
      </c>
    </row>
    <row r="5920" spans="3:3" x14ac:dyDescent="0.25">
      <c r="C5920" s="26">
        <v>5918</v>
      </c>
    </row>
    <row r="5921" spans="3:3" x14ac:dyDescent="0.25">
      <c r="C5921" s="26">
        <v>5919</v>
      </c>
    </row>
    <row r="5922" spans="3:3" x14ac:dyDescent="0.25">
      <c r="C5922" s="26">
        <v>5920</v>
      </c>
    </row>
    <row r="5923" spans="3:3" x14ac:dyDescent="0.25">
      <c r="C5923" s="26">
        <v>5921</v>
      </c>
    </row>
    <row r="5924" spans="3:3" x14ac:dyDescent="0.25">
      <c r="C5924" s="26">
        <v>5922</v>
      </c>
    </row>
    <row r="5925" spans="3:3" x14ac:dyDescent="0.25">
      <c r="C5925" s="26">
        <v>5923</v>
      </c>
    </row>
    <row r="5926" spans="3:3" x14ac:dyDescent="0.25">
      <c r="C5926" s="26">
        <v>5924</v>
      </c>
    </row>
    <row r="5927" spans="3:3" x14ac:dyDescent="0.25">
      <c r="C5927" s="26">
        <v>5925</v>
      </c>
    </row>
    <row r="5928" spans="3:3" x14ac:dyDescent="0.25">
      <c r="C5928" s="26">
        <v>5926</v>
      </c>
    </row>
    <row r="5929" spans="3:3" x14ac:dyDescent="0.25">
      <c r="C5929" s="26">
        <v>5927</v>
      </c>
    </row>
    <row r="5930" spans="3:3" x14ac:dyDescent="0.25">
      <c r="C5930" s="26">
        <v>5928</v>
      </c>
    </row>
    <row r="5931" spans="3:3" x14ac:dyDescent="0.25">
      <c r="C5931" s="26">
        <v>5929</v>
      </c>
    </row>
    <row r="5932" spans="3:3" x14ac:dyDescent="0.25">
      <c r="C5932" s="26">
        <v>5930</v>
      </c>
    </row>
    <row r="5933" spans="3:3" x14ac:dyDescent="0.25">
      <c r="C5933" s="26">
        <v>5931</v>
      </c>
    </row>
    <row r="5934" spans="3:3" x14ac:dyDescent="0.25">
      <c r="C5934" s="26">
        <v>5932</v>
      </c>
    </row>
    <row r="5935" spans="3:3" x14ac:dyDescent="0.25">
      <c r="C5935" s="26">
        <v>5933</v>
      </c>
    </row>
    <row r="5936" spans="3:3" x14ac:dyDescent="0.25">
      <c r="C5936" s="26">
        <v>5934</v>
      </c>
    </row>
    <row r="5937" spans="3:3" x14ac:dyDescent="0.25">
      <c r="C5937" s="26">
        <v>5935</v>
      </c>
    </row>
    <row r="5938" spans="3:3" x14ac:dyDescent="0.25">
      <c r="C5938" s="26">
        <v>5936</v>
      </c>
    </row>
    <row r="5939" spans="3:3" x14ac:dyDescent="0.25">
      <c r="C5939" s="26">
        <v>5937</v>
      </c>
    </row>
    <row r="5940" spans="3:3" x14ac:dyDescent="0.25">
      <c r="C5940" s="26">
        <v>5938</v>
      </c>
    </row>
    <row r="5941" spans="3:3" x14ac:dyDescent="0.25">
      <c r="C5941" s="26">
        <v>5939</v>
      </c>
    </row>
    <row r="5942" spans="3:3" x14ac:dyDescent="0.25">
      <c r="C5942" s="26">
        <v>5940</v>
      </c>
    </row>
    <row r="5943" spans="3:3" x14ac:dyDescent="0.25">
      <c r="C5943" s="26">
        <v>5941</v>
      </c>
    </row>
    <row r="5944" spans="3:3" x14ac:dyDescent="0.25">
      <c r="C5944" s="26">
        <v>5942</v>
      </c>
    </row>
    <row r="5945" spans="3:3" x14ac:dyDescent="0.25">
      <c r="C5945" s="26">
        <v>5943</v>
      </c>
    </row>
    <row r="5946" spans="3:3" x14ac:dyDescent="0.25">
      <c r="C5946" s="26">
        <v>5944</v>
      </c>
    </row>
    <row r="5947" spans="3:3" x14ac:dyDescent="0.25">
      <c r="C5947" s="26">
        <v>5945</v>
      </c>
    </row>
    <row r="5948" spans="3:3" x14ac:dyDescent="0.25">
      <c r="C5948" s="26">
        <v>5946</v>
      </c>
    </row>
    <row r="5949" spans="3:3" x14ac:dyDescent="0.25">
      <c r="C5949" s="26">
        <v>5947</v>
      </c>
    </row>
    <row r="5950" spans="3:3" x14ac:dyDescent="0.25">
      <c r="C5950" s="26">
        <v>5948</v>
      </c>
    </row>
    <row r="5951" spans="3:3" x14ac:dyDescent="0.25">
      <c r="C5951" s="26">
        <v>5949</v>
      </c>
    </row>
    <row r="5952" spans="3:3" x14ac:dyDescent="0.25">
      <c r="C5952" s="26">
        <v>5950</v>
      </c>
    </row>
    <row r="5953" spans="3:3" x14ac:dyDescent="0.25">
      <c r="C5953" s="26">
        <v>5951</v>
      </c>
    </row>
    <row r="5954" spans="3:3" x14ac:dyDescent="0.25">
      <c r="C5954" s="26">
        <v>5952</v>
      </c>
    </row>
    <row r="5955" spans="3:3" x14ac:dyDescent="0.25">
      <c r="C5955" s="26">
        <v>5953</v>
      </c>
    </row>
    <row r="5956" spans="3:3" x14ac:dyDescent="0.25">
      <c r="C5956" s="26">
        <v>5954</v>
      </c>
    </row>
    <row r="5957" spans="3:3" x14ac:dyDescent="0.25">
      <c r="C5957" s="26">
        <v>5955</v>
      </c>
    </row>
    <row r="5958" spans="3:3" x14ac:dyDescent="0.25">
      <c r="C5958" s="26">
        <v>5956</v>
      </c>
    </row>
    <row r="5959" spans="3:3" x14ac:dyDescent="0.25">
      <c r="C5959" s="26">
        <v>5957</v>
      </c>
    </row>
    <row r="5960" spans="3:3" x14ac:dyDescent="0.25">
      <c r="C5960" s="26">
        <v>5958</v>
      </c>
    </row>
    <row r="5961" spans="3:3" x14ac:dyDescent="0.25">
      <c r="C5961" s="26">
        <v>5959</v>
      </c>
    </row>
    <row r="5962" spans="3:3" x14ac:dyDescent="0.25">
      <c r="C5962" s="26">
        <v>5960</v>
      </c>
    </row>
    <row r="5963" spans="3:3" x14ac:dyDescent="0.25">
      <c r="C5963" s="26">
        <v>5961</v>
      </c>
    </row>
    <row r="5964" spans="3:3" x14ac:dyDescent="0.25">
      <c r="C5964" s="26">
        <v>5962</v>
      </c>
    </row>
    <row r="5965" spans="3:3" x14ac:dyDescent="0.25">
      <c r="C5965" s="26">
        <v>5963</v>
      </c>
    </row>
    <row r="5966" spans="3:3" x14ac:dyDescent="0.25">
      <c r="C5966" s="26">
        <v>5964</v>
      </c>
    </row>
    <row r="5967" spans="3:3" x14ac:dyDescent="0.25">
      <c r="C5967" s="26">
        <v>5965</v>
      </c>
    </row>
    <row r="5968" spans="3:3" x14ac:dyDescent="0.25">
      <c r="C5968" s="26">
        <v>5966</v>
      </c>
    </row>
    <row r="5969" spans="3:3" x14ac:dyDescent="0.25">
      <c r="C5969" s="26">
        <v>5967</v>
      </c>
    </row>
    <row r="5970" spans="3:3" x14ac:dyDescent="0.25">
      <c r="C5970" s="26">
        <v>5968</v>
      </c>
    </row>
    <row r="5971" spans="3:3" x14ac:dyDescent="0.25">
      <c r="C5971" s="26">
        <v>5969</v>
      </c>
    </row>
    <row r="5972" spans="3:3" x14ac:dyDescent="0.25">
      <c r="C5972" s="26">
        <v>5970</v>
      </c>
    </row>
    <row r="5973" spans="3:3" x14ac:dyDescent="0.25">
      <c r="C5973" s="26">
        <v>5971</v>
      </c>
    </row>
    <row r="5974" spans="3:3" x14ac:dyDescent="0.25">
      <c r="C5974" s="26">
        <v>5972</v>
      </c>
    </row>
    <row r="5975" spans="3:3" x14ac:dyDescent="0.25">
      <c r="C5975" s="26">
        <v>5973</v>
      </c>
    </row>
    <row r="5976" spans="3:3" x14ac:dyDescent="0.25">
      <c r="C5976" s="26">
        <v>5974</v>
      </c>
    </row>
    <row r="5977" spans="3:3" x14ac:dyDescent="0.25">
      <c r="C5977" s="26">
        <v>5975</v>
      </c>
    </row>
    <row r="5978" spans="3:3" x14ac:dyDescent="0.25">
      <c r="C5978" s="26">
        <v>5976</v>
      </c>
    </row>
    <row r="5979" spans="3:3" x14ac:dyDescent="0.25">
      <c r="C5979" s="26">
        <v>5977</v>
      </c>
    </row>
    <row r="5980" spans="3:3" x14ac:dyDescent="0.25">
      <c r="C5980" s="26">
        <v>5978</v>
      </c>
    </row>
    <row r="5981" spans="3:3" x14ac:dyDescent="0.25">
      <c r="C5981" s="26">
        <v>5979</v>
      </c>
    </row>
    <row r="5982" spans="3:3" x14ac:dyDescent="0.25">
      <c r="C5982" s="26">
        <v>5980</v>
      </c>
    </row>
    <row r="5983" spans="3:3" x14ac:dyDescent="0.25">
      <c r="C5983" s="26">
        <v>5981</v>
      </c>
    </row>
    <row r="5984" spans="3:3" x14ac:dyDescent="0.25">
      <c r="C5984" s="26">
        <v>5982</v>
      </c>
    </row>
    <row r="5985" spans="3:3" x14ac:dyDescent="0.25">
      <c r="C5985" s="26">
        <v>5983</v>
      </c>
    </row>
    <row r="5986" spans="3:3" x14ac:dyDescent="0.25">
      <c r="C5986" s="26">
        <v>5984</v>
      </c>
    </row>
    <row r="5987" spans="3:3" x14ac:dyDescent="0.25">
      <c r="C5987" s="26">
        <v>5985</v>
      </c>
    </row>
    <row r="5988" spans="3:3" x14ac:dyDescent="0.25">
      <c r="C5988" s="26">
        <v>5986</v>
      </c>
    </row>
    <row r="5989" spans="3:3" x14ac:dyDescent="0.25">
      <c r="C5989" s="26">
        <v>5987</v>
      </c>
    </row>
    <row r="5990" spans="3:3" x14ac:dyDescent="0.25">
      <c r="C5990" s="26">
        <v>5988</v>
      </c>
    </row>
    <row r="5991" spans="3:3" x14ac:dyDescent="0.25">
      <c r="C5991" s="26">
        <v>5989</v>
      </c>
    </row>
    <row r="5992" spans="3:3" x14ac:dyDescent="0.25">
      <c r="C5992" s="26">
        <v>5990</v>
      </c>
    </row>
    <row r="5993" spans="3:3" x14ac:dyDescent="0.25">
      <c r="C5993" s="26">
        <v>5991</v>
      </c>
    </row>
    <row r="5994" spans="3:3" x14ac:dyDescent="0.25">
      <c r="C5994" s="26">
        <v>5992</v>
      </c>
    </row>
    <row r="5995" spans="3:3" x14ac:dyDescent="0.25">
      <c r="C5995" s="26">
        <v>5993</v>
      </c>
    </row>
    <row r="5996" spans="3:3" x14ac:dyDescent="0.25">
      <c r="C5996" s="26">
        <v>5994</v>
      </c>
    </row>
    <row r="5997" spans="3:3" x14ac:dyDescent="0.25">
      <c r="C5997" s="26">
        <v>5995</v>
      </c>
    </row>
    <row r="5998" spans="3:3" x14ac:dyDescent="0.25">
      <c r="C5998" s="26">
        <v>5996</v>
      </c>
    </row>
    <row r="5999" spans="3:3" x14ac:dyDescent="0.25">
      <c r="C5999" s="26">
        <v>5997</v>
      </c>
    </row>
    <row r="6000" spans="3:3" x14ac:dyDescent="0.25">
      <c r="C6000" s="26">
        <v>5998</v>
      </c>
    </row>
    <row r="6001" spans="3:3" x14ac:dyDescent="0.25">
      <c r="C6001" s="26">
        <v>5999</v>
      </c>
    </row>
    <row r="6002" spans="3:3" x14ac:dyDescent="0.25">
      <c r="C6002" s="26">
        <v>6000</v>
      </c>
    </row>
    <row r="6003" spans="3:3" x14ac:dyDescent="0.25">
      <c r="C6003" s="26">
        <v>6001</v>
      </c>
    </row>
    <row r="6004" spans="3:3" x14ac:dyDescent="0.25">
      <c r="C6004" s="26">
        <v>6002</v>
      </c>
    </row>
    <row r="6005" spans="3:3" x14ac:dyDescent="0.25">
      <c r="C6005" s="26">
        <v>6003</v>
      </c>
    </row>
    <row r="6006" spans="3:3" x14ac:dyDescent="0.25">
      <c r="C6006" s="26">
        <v>6004</v>
      </c>
    </row>
    <row r="6007" spans="3:3" x14ac:dyDescent="0.25">
      <c r="C6007" s="26">
        <v>6005</v>
      </c>
    </row>
    <row r="6008" spans="3:3" x14ac:dyDescent="0.25">
      <c r="C6008" s="26">
        <v>6006</v>
      </c>
    </row>
    <row r="6009" spans="3:3" x14ac:dyDescent="0.25">
      <c r="C6009" s="26">
        <v>6007</v>
      </c>
    </row>
    <row r="6010" spans="3:3" x14ac:dyDescent="0.25">
      <c r="C6010" s="26">
        <v>6008</v>
      </c>
    </row>
    <row r="6011" spans="3:3" x14ac:dyDescent="0.25">
      <c r="C6011" s="26">
        <v>6009</v>
      </c>
    </row>
    <row r="6012" spans="3:3" x14ac:dyDescent="0.25">
      <c r="C6012" s="26">
        <v>6010</v>
      </c>
    </row>
    <row r="6013" spans="3:3" x14ac:dyDescent="0.25">
      <c r="C6013" s="26">
        <v>6011</v>
      </c>
    </row>
    <row r="6014" spans="3:3" x14ac:dyDescent="0.25">
      <c r="C6014" s="26">
        <v>6012</v>
      </c>
    </row>
    <row r="6015" spans="3:3" x14ac:dyDescent="0.25">
      <c r="C6015" s="26">
        <v>6013</v>
      </c>
    </row>
    <row r="6016" spans="3:3" x14ac:dyDescent="0.25">
      <c r="C6016" s="26">
        <v>6014</v>
      </c>
    </row>
    <row r="6017" spans="3:3" x14ac:dyDescent="0.25">
      <c r="C6017" s="26">
        <v>6015</v>
      </c>
    </row>
    <row r="6018" spans="3:3" x14ac:dyDescent="0.25">
      <c r="C6018" s="26">
        <v>6016</v>
      </c>
    </row>
    <row r="6019" spans="3:3" x14ac:dyDescent="0.25">
      <c r="C6019" s="26">
        <v>6017</v>
      </c>
    </row>
    <row r="6020" spans="3:3" x14ac:dyDescent="0.25">
      <c r="C6020" s="26">
        <v>6018</v>
      </c>
    </row>
    <row r="6021" spans="3:3" x14ac:dyDescent="0.25">
      <c r="C6021" s="26">
        <v>6019</v>
      </c>
    </row>
    <row r="6022" spans="3:3" x14ac:dyDescent="0.25">
      <c r="C6022" s="26">
        <v>6020</v>
      </c>
    </row>
    <row r="6023" spans="3:3" x14ac:dyDescent="0.25">
      <c r="C6023" s="26">
        <v>6021</v>
      </c>
    </row>
    <row r="6024" spans="3:3" x14ac:dyDescent="0.25">
      <c r="C6024" s="26">
        <v>6022</v>
      </c>
    </row>
    <row r="6025" spans="3:3" x14ac:dyDescent="0.25">
      <c r="C6025" s="26">
        <v>6023</v>
      </c>
    </row>
    <row r="6026" spans="3:3" x14ac:dyDescent="0.25">
      <c r="C6026" s="26">
        <v>6024</v>
      </c>
    </row>
    <row r="6027" spans="3:3" x14ac:dyDescent="0.25">
      <c r="C6027" s="26">
        <v>6025</v>
      </c>
    </row>
    <row r="6028" spans="3:3" x14ac:dyDescent="0.25">
      <c r="C6028" s="26">
        <v>6026</v>
      </c>
    </row>
    <row r="6029" spans="3:3" x14ac:dyDescent="0.25">
      <c r="C6029" s="26">
        <v>6027</v>
      </c>
    </row>
    <row r="6030" spans="3:3" x14ac:dyDescent="0.25">
      <c r="C6030" s="26">
        <v>6028</v>
      </c>
    </row>
    <row r="6031" spans="3:3" x14ac:dyDescent="0.25">
      <c r="C6031" s="26">
        <v>6029</v>
      </c>
    </row>
    <row r="6032" spans="3:3" x14ac:dyDescent="0.25">
      <c r="C6032" s="26">
        <v>6030</v>
      </c>
    </row>
    <row r="6033" spans="3:3" x14ac:dyDescent="0.25">
      <c r="C6033" s="26">
        <v>6031</v>
      </c>
    </row>
    <row r="6034" spans="3:3" x14ac:dyDescent="0.25">
      <c r="C6034" s="26">
        <v>6032</v>
      </c>
    </row>
    <row r="6035" spans="3:3" x14ac:dyDescent="0.25">
      <c r="C6035" s="26">
        <v>6033</v>
      </c>
    </row>
    <row r="6036" spans="3:3" x14ac:dyDescent="0.25">
      <c r="C6036" s="26">
        <v>6034</v>
      </c>
    </row>
    <row r="6037" spans="3:3" x14ac:dyDescent="0.25">
      <c r="C6037" s="26">
        <v>6035</v>
      </c>
    </row>
    <row r="6038" spans="3:3" x14ac:dyDescent="0.25">
      <c r="C6038" s="26">
        <v>6036</v>
      </c>
    </row>
    <row r="6039" spans="3:3" x14ac:dyDescent="0.25">
      <c r="C6039" s="26">
        <v>6037</v>
      </c>
    </row>
    <row r="6040" spans="3:3" x14ac:dyDescent="0.25">
      <c r="C6040" s="26">
        <v>6038</v>
      </c>
    </row>
    <row r="6041" spans="3:3" x14ac:dyDescent="0.25">
      <c r="C6041" s="26">
        <v>6039</v>
      </c>
    </row>
    <row r="6042" spans="3:3" x14ac:dyDescent="0.25">
      <c r="C6042" s="26">
        <v>6040</v>
      </c>
    </row>
    <row r="6043" spans="3:3" x14ac:dyDescent="0.25">
      <c r="C6043" s="26">
        <v>6041</v>
      </c>
    </row>
    <row r="6044" spans="3:3" x14ac:dyDescent="0.25">
      <c r="C6044" s="26">
        <v>6042</v>
      </c>
    </row>
    <row r="6045" spans="3:3" x14ac:dyDescent="0.25">
      <c r="C6045" s="26">
        <v>6043</v>
      </c>
    </row>
    <row r="6046" spans="3:3" x14ac:dyDescent="0.25">
      <c r="C6046" s="26">
        <v>6044</v>
      </c>
    </row>
    <row r="6047" spans="3:3" x14ac:dyDescent="0.25">
      <c r="C6047" s="26">
        <v>6045</v>
      </c>
    </row>
    <row r="6048" spans="3:3" x14ac:dyDescent="0.25">
      <c r="C6048" s="26">
        <v>6046</v>
      </c>
    </row>
    <row r="6049" spans="3:3" x14ac:dyDescent="0.25">
      <c r="C6049" s="26">
        <v>6047</v>
      </c>
    </row>
    <row r="6050" spans="3:3" x14ac:dyDescent="0.25">
      <c r="C6050" s="26">
        <v>6048</v>
      </c>
    </row>
    <row r="6051" spans="3:3" x14ac:dyDescent="0.25">
      <c r="C6051" s="26">
        <v>6049</v>
      </c>
    </row>
    <row r="6052" spans="3:3" x14ac:dyDescent="0.25">
      <c r="C6052" s="26">
        <v>6050</v>
      </c>
    </row>
    <row r="6053" spans="3:3" x14ac:dyDescent="0.25">
      <c r="C6053" s="26">
        <v>6051</v>
      </c>
    </row>
    <row r="6054" spans="3:3" x14ac:dyDescent="0.25">
      <c r="C6054" s="26">
        <v>6052</v>
      </c>
    </row>
    <row r="6055" spans="3:3" x14ac:dyDescent="0.25">
      <c r="C6055" s="26">
        <v>6053</v>
      </c>
    </row>
    <row r="6056" spans="3:3" x14ac:dyDescent="0.25">
      <c r="C6056" s="26">
        <v>6054</v>
      </c>
    </row>
    <row r="6057" spans="3:3" x14ac:dyDescent="0.25">
      <c r="C6057" s="26">
        <v>6055</v>
      </c>
    </row>
    <row r="6058" spans="3:3" x14ac:dyDescent="0.25">
      <c r="C6058" s="26">
        <v>6056</v>
      </c>
    </row>
    <row r="6059" spans="3:3" x14ac:dyDescent="0.25">
      <c r="C6059" s="26">
        <v>6057</v>
      </c>
    </row>
    <row r="6060" spans="3:3" x14ac:dyDescent="0.25">
      <c r="C6060" s="26">
        <v>6058</v>
      </c>
    </row>
    <row r="6061" spans="3:3" x14ac:dyDescent="0.25">
      <c r="C6061" s="26">
        <v>6059</v>
      </c>
    </row>
    <row r="6062" spans="3:3" x14ac:dyDescent="0.25">
      <c r="C6062" s="26">
        <v>6060</v>
      </c>
    </row>
    <row r="6063" spans="3:3" x14ac:dyDescent="0.25">
      <c r="C6063" s="26">
        <v>6061</v>
      </c>
    </row>
    <row r="6064" spans="3:3" x14ac:dyDescent="0.25">
      <c r="C6064" s="26">
        <v>6062</v>
      </c>
    </row>
    <row r="6065" spans="3:3" x14ac:dyDescent="0.25">
      <c r="C6065" s="26">
        <v>6063</v>
      </c>
    </row>
    <row r="6066" spans="3:3" x14ac:dyDescent="0.25">
      <c r="C6066" s="26">
        <v>6064</v>
      </c>
    </row>
    <row r="6067" spans="3:3" x14ac:dyDescent="0.25">
      <c r="C6067" s="26">
        <v>6065</v>
      </c>
    </row>
    <row r="6068" spans="3:3" x14ac:dyDescent="0.25">
      <c r="C6068" s="26">
        <v>6066</v>
      </c>
    </row>
    <row r="6069" spans="3:3" x14ac:dyDescent="0.25">
      <c r="C6069" s="26">
        <v>6067</v>
      </c>
    </row>
    <row r="6070" spans="3:3" x14ac:dyDescent="0.25">
      <c r="C6070" s="26">
        <v>6068</v>
      </c>
    </row>
    <row r="6071" spans="3:3" x14ac:dyDescent="0.25">
      <c r="C6071" s="26">
        <v>6069</v>
      </c>
    </row>
    <row r="6072" spans="3:3" x14ac:dyDescent="0.25">
      <c r="C6072" s="26">
        <v>6070</v>
      </c>
    </row>
    <row r="6073" spans="3:3" x14ac:dyDescent="0.25">
      <c r="C6073" s="26">
        <v>6071</v>
      </c>
    </row>
    <row r="6074" spans="3:3" x14ac:dyDescent="0.25">
      <c r="C6074" s="26">
        <v>6072</v>
      </c>
    </row>
    <row r="6075" spans="3:3" x14ac:dyDescent="0.25">
      <c r="C6075" s="26">
        <v>6073</v>
      </c>
    </row>
    <row r="6076" spans="3:3" x14ac:dyDescent="0.25">
      <c r="C6076" s="26">
        <v>6074</v>
      </c>
    </row>
    <row r="6077" spans="3:3" x14ac:dyDescent="0.25">
      <c r="C6077" s="26">
        <v>6075</v>
      </c>
    </row>
    <row r="6078" spans="3:3" x14ac:dyDescent="0.25">
      <c r="C6078" s="26">
        <v>6076</v>
      </c>
    </row>
    <row r="6079" spans="3:3" x14ac:dyDescent="0.25">
      <c r="C6079" s="26">
        <v>6077</v>
      </c>
    </row>
    <row r="6080" spans="3:3" x14ac:dyDescent="0.25">
      <c r="C6080" s="26">
        <v>6078</v>
      </c>
    </row>
    <row r="6081" spans="3:3" x14ac:dyDescent="0.25">
      <c r="C6081" s="26">
        <v>6079</v>
      </c>
    </row>
    <row r="6082" spans="3:3" x14ac:dyDescent="0.25">
      <c r="C6082" s="26">
        <v>6080</v>
      </c>
    </row>
    <row r="6083" spans="3:3" x14ac:dyDescent="0.25">
      <c r="C6083" s="26">
        <v>6081</v>
      </c>
    </row>
    <row r="6084" spans="3:3" x14ac:dyDescent="0.25">
      <c r="C6084" s="26">
        <v>6082</v>
      </c>
    </row>
    <row r="6085" spans="3:3" x14ac:dyDescent="0.25">
      <c r="C6085" s="26">
        <v>6083</v>
      </c>
    </row>
    <row r="6086" spans="3:3" x14ac:dyDescent="0.25">
      <c r="C6086" s="26">
        <v>6084</v>
      </c>
    </row>
    <row r="6087" spans="3:3" x14ac:dyDescent="0.25">
      <c r="C6087" s="26">
        <v>6085</v>
      </c>
    </row>
    <row r="6088" spans="3:3" x14ac:dyDescent="0.25">
      <c r="C6088" s="26">
        <v>6086</v>
      </c>
    </row>
    <row r="6089" spans="3:3" x14ac:dyDescent="0.25">
      <c r="C6089" s="26">
        <v>6087</v>
      </c>
    </row>
    <row r="6090" spans="3:3" x14ac:dyDescent="0.25">
      <c r="C6090" s="26">
        <v>6088</v>
      </c>
    </row>
    <row r="6091" spans="3:3" x14ac:dyDescent="0.25">
      <c r="C6091" s="26">
        <v>6089</v>
      </c>
    </row>
    <row r="6092" spans="3:3" x14ac:dyDescent="0.25">
      <c r="C6092" s="26">
        <v>6090</v>
      </c>
    </row>
    <row r="6093" spans="3:3" x14ac:dyDescent="0.25">
      <c r="C6093" s="26">
        <v>6091</v>
      </c>
    </row>
    <row r="6094" spans="3:3" x14ac:dyDescent="0.25">
      <c r="C6094" s="26">
        <v>6092</v>
      </c>
    </row>
    <row r="6095" spans="3:3" x14ac:dyDescent="0.25">
      <c r="C6095" s="26">
        <v>6093</v>
      </c>
    </row>
    <row r="6096" spans="3:3" x14ac:dyDescent="0.25">
      <c r="C6096" s="26">
        <v>6094</v>
      </c>
    </row>
    <row r="6097" spans="3:3" x14ac:dyDescent="0.25">
      <c r="C6097" s="26">
        <v>6095</v>
      </c>
    </row>
    <row r="6098" spans="3:3" x14ac:dyDescent="0.25">
      <c r="C6098" s="26">
        <v>6096</v>
      </c>
    </row>
    <row r="6099" spans="3:3" x14ac:dyDescent="0.25">
      <c r="C6099" s="26">
        <v>6097</v>
      </c>
    </row>
    <row r="6100" spans="3:3" x14ac:dyDescent="0.25">
      <c r="C6100" s="26">
        <v>6098</v>
      </c>
    </row>
    <row r="6101" spans="3:3" x14ac:dyDescent="0.25">
      <c r="C6101" s="26">
        <v>6099</v>
      </c>
    </row>
    <row r="6102" spans="3:3" x14ac:dyDescent="0.25">
      <c r="C6102" s="26">
        <v>6100</v>
      </c>
    </row>
    <row r="6103" spans="3:3" x14ac:dyDescent="0.25">
      <c r="C6103" s="26">
        <v>6101</v>
      </c>
    </row>
    <row r="6104" spans="3:3" x14ac:dyDescent="0.25">
      <c r="C6104" s="26">
        <v>6102</v>
      </c>
    </row>
    <row r="6105" spans="3:3" x14ac:dyDescent="0.25">
      <c r="C6105" s="26">
        <v>6103</v>
      </c>
    </row>
    <row r="6106" spans="3:3" x14ac:dyDescent="0.25">
      <c r="C6106" s="26">
        <v>6104</v>
      </c>
    </row>
    <row r="6107" spans="3:3" x14ac:dyDescent="0.25">
      <c r="C6107" s="26">
        <v>6105</v>
      </c>
    </row>
    <row r="6108" spans="3:3" x14ac:dyDescent="0.25">
      <c r="C6108" s="26">
        <v>6106</v>
      </c>
    </row>
    <row r="6109" spans="3:3" x14ac:dyDescent="0.25">
      <c r="C6109" s="26">
        <v>6107</v>
      </c>
    </row>
    <row r="6110" spans="3:3" x14ac:dyDescent="0.25">
      <c r="C6110" s="26">
        <v>6108</v>
      </c>
    </row>
    <row r="6111" spans="3:3" x14ac:dyDescent="0.25">
      <c r="C6111" s="26">
        <v>6109</v>
      </c>
    </row>
    <row r="6112" spans="3:3" x14ac:dyDescent="0.25">
      <c r="C6112" s="26">
        <v>6110</v>
      </c>
    </row>
    <row r="6113" spans="3:3" x14ac:dyDescent="0.25">
      <c r="C6113" s="26">
        <v>6111</v>
      </c>
    </row>
    <row r="6114" spans="3:3" x14ac:dyDescent="0.25">
      <c r="C6114" s="26">
        <v>6112</v>
      </c>
    </row>
    <row r="6115" spans="3:3" x14ac:dyDescent="0.25">
      <c r="C6115" s="26">
        <v>6113</v>
      </c>
    </row>
    <row r="6116" spans="3:3" x14ac:dyDescent="0.25">
      <c r="C6116" s="26">
        <v>6114</v>
      </c>
    </row>
    <row r="6117" spans="3:3" x14ac:dyDescent="0.25">
      <c r="C6117" s="26">
        <v>6115</v>
      </c>
    </row>
    <row r="6118" spans="3:3" x14ac:dyDescent="0.25">
      <c r="C6118" s="26">
        <v>6116</v>
      </c>
    </row>
    <row r="6119" spans="3:3" x14ac:dyDescent="0.25">
      <c r="C6119" s="26">
        <v>6117</v>
      </c>
    </row>
    <row r="6120" spans="3:3" x14ac:dyDescent="0.25">
      <c r="C6120" s="26">
        <v>6118</v>
      </c>
    </row>
    <row r="6121" spans="3:3" x14ac:dyDescent="0.25">
      <c r="C6121" s="26">
        <v>6119</v>
      </c>
    </row>
    <row r="6122" spans="3:3" x14ac:dyDescent="0.25">
      <c r="C6122" s="26">
        <v>6120</v>
      </c>
    </row>
    <row r="6123" spans="3:3" x14ac:dyDescent="0.25">
      <c r="C6123" s="26">
        <v>6121</v>
      </c>
    </row>
    <row r="6124" spans="3:3" x14ac:dyDescent="0.25">
      <c r="C6124" s="26">
        <v>6122</v>
      </c>
    </row>
    <row r="6125" spans="3:3" x14ac:dyDescent="0.25">
      <c r="C6125" s="26">
        <v>6123</v>
      </c>
    </row>
    <row r="6126" spans="3:3" x14ac:dyDescent="0.25">
      <c r="C6126" s="26">
        <v>6124</v>
      </c>
    </row>
    <row r="6127" spans="3:3" x14ac:dyDescent="0.25">
      <c r="C6127" s="26">
        <v>6125</v>
      </c>
    </row>
    <row r="6128" spans="3:3" x14ac:dyDescent="0.25">
      <c r="C6128" s="26">
        <v>6126</v>
      </c>
    </row>
    <row r="6129" spans="3:3" x14ac:dyDescent="0.25">
      <c r="C6129" s="26">
        <v>6127</v>
      </c>
    </row>
    <row r="6130" spans="3:3" x14ac:dyDescent="0.25">
      <c r="C6130" s="26">
        <v>6128</v>
      </c>
    </row>
    <row r="6131" spans="3:3" x14ac:dyDescent="0.25">
      <c r="C6131" s="26">
        <v>6129</v>
      </c>
    </row>
    <row r="6132" spans="3:3" x14ac:dyDescent="0.25">
      <c r="C6132" s="26">
        <v>6130</v>
      </c>
    </row>
    <row r="6133" spans="3:3" x14ac:dyDescent="0.25">
      <c r="C6133" s="26">
        <v>6131</v>
      </c>
    </row>
    <row r="6134" spans="3:3" x14ac:dyDescent="0.25">
      <c r="C6134" s="26">
        <v>6132</v>
      </c>
    </row>
    <row r="6135" spans="3:3" x14ac:dyDescent="0.25">
      <c r="C6135" s="26">
        <v>6133</v>
      </c>
    </row>
    <row r="6136" spans="3:3" x14ac:dyDescent="0.25">
      <c r="C6136" s="26">
        <v>6134</v>
      </c>
    </row>
    <row r="6137" spans="3:3" x14ac:dyDescent="0.25">
      <c r="C6137" s="26">
        <v>6135</v>
      </c>
    </row>
    <row r="6138" spans="3:3" x14ac:dyDescent="0.25">
      <c r="C6138" s="26">
        <v>6136</v>
      </c>
    </row>
    <row r="6139" spans="3:3" x14ac:dyDescent="0.25">
      <c r="C6139" s="26">
        <v>6137</v>
      </c>
    </row>
    <row r="6140" spans="3:3" x14ac:dyDescent="0.25">
      <c r="C6140" s="26">
        <v>6138</v>
      </c>
    </row>
    <row r="6141" spans="3:3" x14ac:dyDescent="0.25">
      <c r="C6141" s="26">
        <v>6139</v>
      </c>
    </row>
    <row r="6142" spans="3:3" x14ac:dyDescent="0.25">
      <c r="C6142" s="26">
        <v>6140</v>
      </c>
    </row>
    <row r="6143" spans="3:3" x14ac:dyDescent="0.25">
      <c r="C6143" s="26">
        <v>6141</v>
      </c>
    </row>
    <row r="6144" spans="3:3" x14ac:dyDescent="0.25">
      <c r="C6144" s="26">
        <v>6142</v>
      </c>
    </row>
    <row r="6145" spans="3:3" x14ac:dyDescent="0.25">
      <c r="C6145" s="26">
        <v>6143</v>
      </c>
    </row>
    <row r="6146" spans="3:3" x14ac:dyDescent="0.25">
      <c r="C6146" s="26">
        <v>6144</v>
      </c>
    </row>
    <row r="6147" spans="3:3" x14ac:dyDescent="0.25">
      <c r="C6147" s="26">
        <v>6145</v>
      </c>
    </row>
    <row r="6148" spans="3:3" x14ac:dyDescent="0.25">
      <c r="C6148" s="26">
        <v>6146</v>
      </c>
    </row>
    <row r="6149" spans="3:3" x14ac:dyDescent="0.25">
      <c r="C6149" s="26">
        <v>6147</v>
      </c>
    </row>
    <row r="6150" spans="3:3" x14ac:dyDescent="0.25">
      <c r="C6150" s="26">
        <v>6148</v>
      </c>
    </row>
    <row r="6151" spans="3:3" x14ac:dyDescent="0.25">
      <c r="C6151" s="26">
        <v>6149</v>
      </c>
    </row>
    <row r="6152" spans="3:3" x14ac:dyDescent="0.25">
      <c r="C6152" s="26">
        <v>6150</v>
      </c>
    </row>
    <row r="6153" spans="3:3" x14ac:dyDescent="0.25">
      <c r="C6153" s="26">
        <v>6151</v>
      </c>
    </row>
    <row r="6154" spans="3:3" x14ac:dyDescent="0.25">
      <c r="C6154" s="26">
        <v>6152</v>
      </c>
    </row>
    <row r="6155" spans="3:3" x14ac:dyDescent="0.25">
      <c r="C6155" s="26">
        <v>6153</v>
      </c>
    </row>
    <row r="6156" spans="3:3" x14ac:dyDescent="0.25">
      <c r="C6156" s="26">
        <v>6154</v>
      </c>
    </row>
    <row r="6157" spans="3:3" x14ac:dyDescent="0.25">
      <c r="C6157" s="26">
        <v>6155</v>
      </c>
    </row>
    <row r="6158" spans="3:3" x14ac:dyDescent="0.25">
      <c r="C6158" s="26">
        <v>6156</v>
      </c>
    </row>
    <row r="6159" spans="3:3" x14ac:dyDescent="0.25">
      <c r="C6159" s="26">
        <v>6157</v>
      </c>
    </row>
    <row r="6160" spans="3:3" x14ac:dyDescent="0.25">
      <c r="C6160" s="26">
        <v>6158</v>
      </c>
    </row>
    <row r="6161" spans="3:3" x14ac:dyDescent="0.25">
      <c r="C6161" s="26">
        <v>6159</v>
      </c>
    </row>
    <row r="6162" spans="3:3" x14ac:dyDescent="0.25">
      <c r="C6162" s="26">
        <v>6160</v>
      </c>
    </row>
    <row r="6163" spans="3:3" x14ac:dyDescent="0.25">
      <c r="C6163" s="26">
        <v>6161</v>
      </c>
    </row>
    <row r="6164" spans="3:3" x14ac:dyDescent="0.25">
      <c r="C6164" s="26">
        <v>6162</v>
      </c>
    </row>
    <row r="6165" spans="3:3" x14ac:dyDescent="0.25">
      <c r="C6165" s="26">
        <v>6163</v>
      </c>
    </row>
    <row r="6166" spans="3:3" x14ac:dyDescent="0.25">
      <c r="C6166" s="26">
        <v>6164</v>
      </c>
    </row>
    <row r="6167" spans="3:3" x14ac:dyDescent="0.25">
      <c r="C6167" s="26">
        <v>6165</v>
      </c>
    </row>
    <row r="6168" spans="3:3" x14ac:dyDescent="0.25">
      <c r="C6168" s="26">
        <v>6166</v>
      </c>
    </row>
    <row r="6169" spans="3:3" x14ac:dyDescent="0.25">
      <c r="C6169" s="26">
        <v>6167</v>
      </c>
    </row>
    <row r="6170" spans="3:3" x14ac:dyDescent="0.25">
      <c r="C6170" s="26">
        <v>6168</v>
      </c>
    </row>
    <row r="6171" spans="3:3" x14ac:dyDescent="0.25">
      <c r="C6171" s="26">
        <v>6169</v>
      </c>
    </row>
    <row r="6172" spans="3:3" x14ac:dyDescent="0.25">
      <c r="C6172" s="26">
        <v>6170</v>
      </c>
    </row>
    <row r="6173" spans="3:3" x14ac:dyDescent="0.25">
      <c r="C6173" s="26">
        <v>6171</v>
      </c>
    </row>
    <row r="6174" spans="3:3" x14ac:dyDescent="0.25">
      <c r="C6174" s="26">
        <v>6172</v>
      </c>
    </row>
    <row r="6175" spans="3:3" x14ac:dyDescent="0.25">
      <c r="C6175" s="26">
        <v>6173</v>
      </c>
    </row>
    <row r="6176" spans="3:3" x14ac:dyDescent="0.25">
      <c r="C6176" s="26">
        <v>6174</v>
      </c>
    </row>
    <row r="6177" spans="3:3" x14ac:dyDescent="0.25">
      <c r="C6177" s="26">
        <v>6175</v>
      </c>
    </row>
    <row r="6178" spans="3:3" x14ac:dyDescent="0.25">
      <c r="C6178" s="26">
        <v>6176</v>
      </c>
    </row>
    <row r="6179" spans="3:3" x14ac:dyDescent="0.25">
      <c r="C6179" s="26">
        <v>6177</v>
      </c>
    </row>
    <row r="6180" spans="3:3" x14ac:dyDescent="0.25">
      <c r="C6180" s="26">
        <v>6178</v>
      </c>
    </row>
    <row r="6181" spans="3:3" x14ac:dyDescent="0.25">
      <c r="C6181" s="26">
        <v>6179</v>
      </c>
    </row>
    <row r="6182" spans="3:3" x14ac:dyDescent="0.25">
      <c r="C6182" s="26">
        <v>6180</v>
      </c>
    </row>
    <row r="6183" spans="3:3" x14ac:dyDescent="0.25">
      <c r="C6183" s="26">
        <v>6181</v>
      </c>
    </row>
    <row r="6184" spans="3:3" x14ac:dyDescent="0.25">
      <c r="C6184" s="26">
        <v>6182</v>
      </c>
    </row>
    <row r="6185" spans="3:3" x14ac:dyDescent="0.25">
      <c r="C6185" s="26">
        <v>6183</v>
      </c>
    </row>
    <row r="6186" spans="3:3" x14ac:dyDescent="0.25">
      <c r="C6186" s="26">
        <v>6184</v>
      </c>
    </row>
    <row r="6187" spans="3:3" x14ac:dyDescent="0.25">
      <c r="C6187" s="26">
        <v>6185</v>
      </c>
    </row>
    <row r="6188" spans="3:3" x14ac:dyDescent="0.25">
      <c r="C6188" s="26">
        <v>6186</v>
      </c>
    </row>
    <row r="6189" spans="3:3" x14ac:dyDescent="0.25">
      <c r="C6189" s="26">
        <v>6187</v>
      </c>
    </row>
    <row r="6190" spans="3:3" x14ac:dyDescent="0.25">
      <c r="C6190" s="26">
        <v>6188</v>
      </c>
    </row>
    <row r="6191" spans="3:3" x14ac:dyDescent="0.25">
      <c r="C6191" s="26">
        <v>6189</v>
      </c>
    </row>
    <row r="6192" spans="3:3" x14ac:dyDescent="0.25">
      <c r="C6192" s="26">
        <v>6190</v>
      </c>
    </row>
    <row r="6193" spans="3:3" x14ac:dyDescent="0.25">
      <c r="C6193" s="26">
        <v>6191</v>
      </c>
    </row>
    <row r="6194" spans="3:3" x14ac:dyDescent="0.25">
      <c r="C6194" s="26">
        <v>6192</v>
      </c>
    </row>
    <row r="6195" spans="3:3" x14ac:dyDescent="0.25">
      <c r="C6195" s="26">
        <v>6193</v>
      </c>
    </row>
    <row r="6196" spans="3:3" x14ac:dyDescent="0.25">
      <c r="C6196" s="26">
        <v>6194</v>
      </c>
    </row>
    <row r="6197" spans="3:3" x14ac:dyDescent="0.25">
      <c r="C6197" s="26">
        <v>6195</v>
      </c>
    </row>
    <row r="6198" spans="3:3" x14ac:dyDescent="0.25">
      <c r="C6198" s="26">
        <v>6196</v>
      </c>
    </row>
    <row r="6199" spans="3:3" x14ac:dyDescent="0.25">
      <c r="C6199" s="26">
        <v>6197</v>
      </c>
    </row>
    <row r="6200" spans="3:3" x14ac:dyDescent="0.25">
      <c r="C6200" s="26">
        <v>6198</v>
      </c>
    </row>
    <row r="6201" spans="3:3" x14ac:dyDescent="0.25">
      <c r="C6201" s="26">
        <v>6199</v>
      </c>
    </row>
    <row r="6202" spans="3:3" x14ac:dyDescent="0.25">
      <c r="C6202" s="26">
        <v>6200</v>
      </c>
    </row>
    <row r="6203" spans="3:3" x14ac:dyDescent="0.25">
      <c r="C6203" s="26">
        <v>6201</v>
      </c>
    </row>
    <row r="6204" spans="3:3" x14ac:dyDescent="0.25">
      <c r="C6204" s="26">
        <v>6202</v>
      </c>
    </row>
    <row r="6205" spans="3:3" x14ac:dyDescent="0.25">
      <c r="C6205" s="26">
        <v>6203</v>
      </c>
    </row>
    <row r="6206" spans="3:3" x14ac:dyDescent="0.25">
      <c r="C6206" s="26">
        <v>6204</v>
      </c>
    </row>
    <row r="6207" spans="3:3" x14ac:dyDescent="0.25">
      <c r="C6207" s="26">
        <v>6205</v>
      </c>
    </row>
    <row r="6208" spans="3:3" x14ac:dyDescent="0.25">
      <c r="C6208" s="26">
        <v>6206</v>
      </c>
    </row>
    <row r="6209" spans="3:3" x14ac:dyDescent="0.25">
      <c r="C6209" s="26">
        <v>6207</v>
      </c>
    </row>
    <row r="6210" spans="3:3" x14ac:dyDescent="0.25">
      <c r="C6210" s="26">
        <v>6208</v>
      </c>
    </row>
    <row r="6211" spans="3:3" x14ac:dyDescent="0.25">
      <c r="C6211" s="26">
        <v>6209</v>
      </c>
    </row>
    <row r="6212" spans="3:3" x14ac:dyDescent="0.25">
      <c r="C6212" s="26">
        <v>6210</v>
      </c>
    </row>
    <row r="6213" spans="3:3" x14ac:dyDescent="0.25">
      <c r="C6213" s="26">
        <v>6211</v>
      </c>
    </row>
    <row r="6214" spans="3:3" x14ac:dyDescent="0.25">
      <c r="C6214" s="26">
        <v>6212</v>
      </c>
    </row>
    <row r="6215" spans="3:3" x14ac:dyDescent="0.25">
      <c r="C6215" s="26">
        <v>6213</v>
      </c>
    </row>
    <row r="6216" spans="3:3" x14ac:dyDescent="0.25">
      <c r="C6216" s="26">
        <v>6214</v>
      </c>
    </row>
    <row r="6217" spans="3:3" x14ac:dyDescent="0.25">
      <c r="C6217" s="26">
        <v>6215</v>
      </c>
    </row>
    <row r="6218" spans="3:3" x14ac:dyDescent="0.25">
      <c r="C6218" s="26">
        <v>6216</v>
      </c>
    </row>
    <row r="6219" spans="3:3" x14ac:dyDescent="0.25">
      <c r="C6219" s="26">
        <v>6217</v>
      </c>
    </row>
    <row r="6220" spans="3:3" x14ac:dyDescent="0.25">
      <c r="C6220" s="26">
        <v>6218</v>
      </c>
    </row>
    <row r="6221" spans="3:3" x14ac:dyDescent="0.25">
      <c r="C6221" s="26">
        <v>6219</v>
      </c>
    </row>
    <row r="6222" spans="3:3" x14ac:dyDescent="0.25">
      <c r="C6222" s="26">
        <v>6220</v>
      </c>
    </row>
    <row r="6223" spans="3:3" x14ac:dyDescent="0.25">
      <c r="C6223" s="26">
        <v>6221</v>
      </c>
    </row>
    <row r="6224" spans="3:3" x14ac:dyDescent="0.25">
      <c r="C6224" s="26">
        <v>6222</v>
      </c>
    </row>
    <row r="6225" spans="3:3" x14ac:dyDescent="0.25">
      <c r="C6225" s="26">
        <v>6223</v>
      </c>
    </row>
    <row r="6226" spans="3:3" x14ac:dyDescent="0.25">
      <c r="C6226" s="26">
        <v>6224</v>
      </c>
    </row>
    <row r="6227" spans="3:3" x14ac:dyDescent="0.25">
      <c r="C6227" s="26">
        <v>6225</v>
      </c>
    </row>
    <row r="6228" spans="3:3" x14ac:dyDescent="0.25">
      <c r="C6228" s="26">
        <v>6226</v>
      </c>
    </row>
    <row r="6229" spans="3:3" x14ac:dyDescent="0.25">
      <c r="C6229" s="26">
        <v>6227</v>
      </c>
    </row>
    <row r="6230" spans="3:3" x14ac:dyDescent="0.25">
      <c r="C6230" s="26">
        <v>6228</v>
      </c>
    </row>
    <row r="6231" spans="3:3" x14ac:dyDescent="0.25">
      <c r="C6231" s="26">
        <v>6229</v>
      </c>
    </row>
    <row r="6232" spans="3:3" x14ac:dyDescent="0.25">
      <c r="C6232" s="26">
        <v>6230</v>
      </c>
    </row>
    <row r="6233" spans="3:3" x14ac:dyDescent="0.25">
      <c r="C6233" s="26">
        <v>6231</v>
      </c>
    </row>
    <row r="6234" spans="3:3" x14ac:dyDescent="0.25">
      <c r="C6234" s="26">
        <v>6232</v>
      </c>
    </row>
    <row r="6235" spans="3:3" x14ac:dyDescent="0.25">
      <c r="C6235" s="26">
        <v>6233</v>
      </c>
    </row>
    <row r="6236" spans="3:3" x14ac:dyDescent="0.25">
      <c r="C6236" s="26">
        <v>6234</v>
      </c>
    </row>
    <row r="6237" spans="3:3" x14ac:dyDescent="0.25">
      <c r="C6237" s="26">
        <v>6235</v>
      </c>
    </row>
    <row r="6238" spans="3:3" x14ac:dyDescent="0.25">
      <c r="C6238" s="26">
        <v>6236</v>
      </c>
    </row>
    <row r="6239" spans="3:3" x14ac:dyDescent="0.25">
      <c r="C6239" s="26">
        <v>6237</v>
      </c>
    </row>
    <row r="6240" spans="3:3" x14ac:dyDescent="0.25">
      <c r="C6240" s="26">
        <v>6238</v>
      </c>
    </row>
    <row r="6241" spans="3:3" x14ac:dyDescent="0.25">
      <c r="C6241" s="26">
        <v>6239</v>
      </c>
    </row>
    <row r="6242" spans="3:3" x14ac:dyDescent="0.25">
      <c r="C6242" s="26">
        <v>6240</v>
      </c>
    </row>
    <row r="6243" spans="3:3" x14ac:dyDescent="0.25">
      <c r="C6243" s="26">
        <v>6241</v>
      </c>
    </row>
    <row r="6244" spans="3:3" x14ac:dyDescent="0.25">
      <c r="C6244" s="26">
        <v>6242</v>
      </c>
    </row>
    <row r="6245" spans="3:3" x14ac:dyDescent="0.25">
      <c r="C6245" s="26">
        <v>6243</v>
      </c>
    </row>
    <row r="6246" spans="3:3" x14ac:dyDescent="0.25">
      <c r="C6246" s="26">
        <v>6244</v>
      </c>
    </row>
    <row r="6247" spans="3:3" x14ac:dyDescent="0.25">
      <c r="C6247" s="26">
        <v>6245</v>
      </c>
    </row>
    <row r="6248" spans="3:3" x14ac:dyDescent="0.25">
      <c r="C6248" s="26">
        <v>6246</v>
      </c>
    </row>
    <row r="6249" spans="3:3" x14ac:dyDescent="0.25">
      <c r="C6249" s="26">
        <v>6247</v>
      </c>
    </row>
    <row r="6250" spans="3:3" x14ac:dyDescent="0.25">
      <c r="C6250" s="26">
        <v>6248</v>
      </c>
    </row>
    <row r="6251" spans="3:3" x14ac:dyDescent="0.25">
      <c r="C6251" s="26">
        <v>6249</v>
      </c>
    </row>
    <row r="6252" spans="3:3" x14ac:dyDescent="0.25">
      <c r="C6252" s="26">
        <v>6250</v>
      </c>
    </row>
    <row r="6253" spans="3:3" x14ac:dyDescent="0.25">
      <c r="C6253" s="26">
        <v>6251</v>
      </c>
    </row>
    <row r="6254" spans="3:3" x14ac:dyDescent="0.25">
      <c r="C6254" s="26">
        <v>6252</v>
      </c>
    </row>
    <row r="6255" spans="3:3" x14ac:dyDescent="0.25">
      <c r="C6255" s="26">
        <v>6253</v>
      </c>
    </row>
    <row r="6256" spans="3:3" x14ac:dyDescent="0.25">
      <c r="C6256" s="26">
        <v>6254</v>
      </c>
    </row>
    <row r="6257" spans="3:3" x14ac:dyDescent="0.25">
      <c r="C6257" s="26">
        <v>6255</v>
      </c>
    </row>
    <row r="6258" spans="3:3" x14ac:dyDescent="0.25">
      <c r="C6258" s="26">
        <v>6256</v>
      </c>
    </row>
    <row r="6259" spans="3:3" x14ac:dyDescent="0.25">
      <c r="C6259" s="26">
        <v>6257</v>
      </c>
    </row>
    <row r="6260" spans="3:3" x14ac:dyDescent="0.25">
      <c r="C6260" s="26">
        <v>6258</v>
      </c>
    </row>
    <row r="6261" spans="3:3" x14ac:dyDescent="0.25">
      <c r="C6261" s="26">
        <v>6259</v>
      </c>
    </row>
    <row r="6262" spans="3:3" x14ac:dyDescent="0.25">
      <c r="C6262" s="26">
        <v>6260</v>
      </c>
    </row>
    <row r="6263" spans="3:3" x14ac:dyDescent="0.25">
      <c r="C6263" s="26">
        <v>6261</v>
      </c>
    </row>
    <row r="6264" spans="3:3" x14ac:dyDescent="0.25">
      <c r="C6264" s="26">
        <v>6262</v>
      </c>
    </row>
    <row r="6265" spans="3:3" x14ac:dyDescent="0.25">
      <c r="C6265" s="26">
        <v>6263</v>
      </c>
    </row>
    <row r="6266" spans="3:3" x14ac:dyDescent="0.25">
      <c r="C6266" s="26">
        <v>6264</v>
      </c>
    </row>
    <row r="6267" spans="3:3" x14ac:dyDescent="0.25">
      <c r="C6267" s="26">
        <v>6265</v>
      </c>
    </row>
    <row r="6268" spans="3:3" x14ac:dyDescent="0.25">
      <c r="C6268" s="26">
        <v>6266</v>
      </c>
    </row>
    <row r="6269" spans="3:3" x14ac:dyDescent="0.25">
      <c r="C6269" s="26">
        <v>6267</v>
      </c>
    </row>
    <row r="6270" spans="3:3" x14ac:dyDescent="0.25">
      <c r="C6270" s="26">
        <v>6268</v>
      </c>
    </row>
    <row r="6271" spans="3:3" x14ac:dyDescent="0.25">
      <c r="C6271" s="26">
        <v>6269</v>
      </c>
    </row>
    <row r="6272" spans="3:3" x14ac:dyDescent="0.25">
      <c r="C6272" s="26">
        <v>6270</v>
      </c>
    </row>
    <row r="6273" spans="3:3" x14ac:dyDescent="0.25">
      <c r="C6273" s="26">
        <v>6271</v>
      </c>
    </row>
    <row r="6274" spans="3:3" x14ac:dyDescent="0.25">
      <c r="C6274" s="26">
        <v>6272</v>
      </c>
    </row>
    <row r="6275" spans="3:3" x14ac:dyDescent="0.25">
      <c r="C6275" s="26">
        <v>6273</v>
      </c>
    </row>
    <row r="6276" spans="3:3" x14ac:dyDescent="0.25">
      <c r="C6276" s="26">
        <v>6274</v>
      </c>
    </row>
    <row r="6277" spans="3:3" x14ac:dyDescent="0.25">
      <c r="C6277" s="26">
        <v>6275</v>
      </c>
    </row>
    <row r="6278" spans="3:3" x14ac:dyDescent="0.25">
      <c r="C6278" s="26">
        <v>6276</v>
      </c>
    </row>
    <row r="6279" spans="3:3" x14ac:dyDescent="0.25">
      <c r="C6279" s="26">
        <v>6277</v>
      </c>
    </row>
    <row r="6280" spans="3:3" x14ac:dyDescent="0.25">
      <c r="C6280" s="26">
        <v>6278</v>
      </c>
    </row>
    <row r="6281" spans="3:3" x14ac:dyDescent="0.25">
      <c r="C6281" s="26">
        <v>6279</v>
      </c>
    </row>
    <row r="6282" spans="3:3" x14ac:dyDescent="0.25">
      <c r="C6282" s="26">
        <v>6280</v>
      </c>
    </row>
    <row r="6283" spans="3:3" x14ac:dyDescent="0.25">
      <c r="C6283" s="26">
        <v>6281</v>
      </c>
    </row>
    <row r="6284" spans="3:3" x14ac:dyDescent="0.25">
      <c r="C6284" s="26">
        <v>6282</v>
      </c>
    </row>
    <row r="6285" spans="3:3" x14ac:dyDescent="0.25">
      <c r="C6285" s="26">
        <v>6283</v>
      </c>
    </row>
    <row r="6286" spans="3:3" x14ac:dyDescent="0.25">
      <c r="C6286" s="26">
        <v>6284</v>
      </c>
    </row>
    <row r="6287" spans="3:3" x14ac:dyDescent="0.25">
      <c r="C6287" s="26">
        <v>6285</v>
      </c>
    </row>
    <row r="6288" spans="3:3" x14ac:dyDescent="0.25">
      <c r="C6288" s="26">
        <v>6286</v>
      </c>
    </row>
    <row r="6289" spans="3:3" x14ac:dyDescent="0.25">
      <c r="C6289" s="26">
        <v>6287</v>
      </c>
    </row>
    <row r="6290" spans="3:3" x14ac:dyDescent="0.25">
      <c r="C6290" s="26">
        <v>6288</v>
      </c>
    </row>
    <row r="6291" spans="3:3" x14ac:dyDescent="0.25">
      <c r="C6291" s="26">
        <v>6289</v>
      </c>
    </row>
    <row r="6292" spans="3:3" x14ac:dyDescent="0.25">
      <c r="C6292" s="26">
        <v>6290</v>
      </c>
    </row>
    <row r="6293" spans="3:3" x14ac:dyDescent="0.25">
      <c r="C6293" s="26">
        <v>6291</v>
      </c>
    </row>
    <row r="6294" spans="3:3" x14ac:dyDescent="0.25">
      <c r="C6294" s="26">
        <v>6292</v>
      </c>
    </row>
    <row r="6295" spans="3:3" x14ac:dyDescent="0.25">
      <c r="C6295" s="26">
        <v>6293</v>
      </c>
    </row>
    <row r="6296" spans="3:3" x14ac:dyDescent="0.25">
      <c r="C6296" s="26">
        <v>6294</v>
      </c>
    </row>
    <row r="6297" spans="3:3" x14ac:dyDescent="0.25">
      <c r="C6297" s="26">
        <v>6295</v>
      </c>
    </row>
    <row r="6298" spans="3:3" x14ac:dyDescent="0.25">
      <c r="C6298" s="26">
        <v>6296</v>
      </c>
    </row>
    <row r="6299" spans="3:3" x14ac:dyDescent="0.25">
      <c r="C6299" s="26">
        <v>6297</v>
      </c>
    </row>
    <row r="6300" spans="3:3" x14ac:dyDescent="0.25">
      <c r="C6300" s="26">
        <v>6298</v>
      </c>
    </row>
    <row r="6301" spans="3:3" x14ac:dyDescent="0.25">
      <c r="C6301" s="26">
        <v>6299</v>
      </c>
    </row>
    <row r="6302" spans="3:3" x14ac:dyDescent="0.25">
      <c r="C6302" s="26">
        <v>6300</v>
      </c>
    </row>
    <row r="6303" spans="3:3" x14ac:dyDescent="0.25">
      <c r="C6303" s="26">
        <v>6301</v>
      </c>
    </row>
    <row r="6304" spans="3:3" x14ac:dyDescent="0.25">
      <c r="C6304" s="26">
        <v>6302</v>
      </c>
    </row>
    <row r="6305" spans="3:3" x14ac:dyDescent="0.25">
      <c r="C6305" s="26">
        <v>6303</v>
      </c>
    </row>
    <row r="6306" spans="3:3" x14ac:dyDescent="0.25">
      <c r="C6306" s="26">
        <v>6304</v>
      </c>
    </row>
    <row r="6307" spans="3:3" x14ac:dyDescent="0.25">
      <c r="C6307" s="26">
        <v>6305</v>
      </c>
    </row>
    <row r="6308" spans="3:3" x14ac:dyDescent="0.25">
      <c r="C6308" s="26">
        <v>6306</v>
      </c>
    </row>
    <row r="6309" spans="3:3" x14ac:dyDescent="0.25">
      <c r="C6309" s="26">
        <v>6307</v>
      </c>
    </row>
    <row r="6310" spans="3:3" x14ac:dyDescent="0.25">
      <c r="C6310" s="26">
        <v>6308</v>
      </c>
    </row>
    <row r="6311" spans="3:3" x14ac:dyDescent="0.25">
      <c r="C6311" s="26">
        <v>6309</v>
      </c>
    </row>
    <row r="6312" spans="3:3" x14ac:dyDescent="0.25">
      <c r="C6312" s="26">
        <v>6310</v>
      </c>
    </row>
    <row r="6313" spans="3:3" x14ac:dyDescent="0.25">
      <c r="C6313" s="26">
        <v>6311</v>
      </c>
    </row>
    <row r="6314" spans="3:3" x14ac:dyDescent="0.25">
      <c r="C6314" s="26">
        <v>6312</v>
      </c>
    </row>
    <row r="6315" spans="3:3" x14ac:dyDescent="0.25">
      <c r="C6315" s="26">
        <v>6313</v>
      </c>
    </row>
    <row r="6316" spans="3:3" x14ac:dyDescent="0.25">
      <c r="C6316" s="26">
        <v>6314</v>
      </c>
    </row>
    <row r="6317" spans="3:3" x14ac:dyDescent="0.25">
      <c r="C6317" s="26">
        <v>6315</v>
      </c>
    </row>
    <row r="6318" spans="3:3" x14ac:dyDescent="0.25">
      <c r="C6318" s="26">
        <v>6316</v>
      </c>
    </row>
    <row r="6319" spans="3:3" x14ac:dyDescent="0.25">
      <c r="C6319" s="26">
        <v>6317</v>
      </c>
    </row>
    <row r="6320" spans="3:3" x14ac:dyDescent="0.25">
      <c r="C6320" s="26">
        <v>6318</v>
      </c>
    </row>
    <row r="6321" spans="3:3" x14ac:dyDescent="0.25">
      <c r="C6321" s="26">
        <v>6319</v>
      </c>
    </row>
    <row r="6322" spans="3:3" x14ac:dyDescent="0.25">
      <c r="C6322" s="26">
        <v>6320</v>
      </c>
    </row>
    <row r="6323" spans="3:3" x14ac:dyDescent="0.25">
      <c r="C6323" s="26">
        <v>6321</v>
      </c>
    </row>
    <row r="6324" spans="3:3" x14ac:dyDescent="0.25">
      <c r="C6324" s="26">
        <v>6322</v>
      </c>
    </row>
    <row r="6325" spans="3:3" x14ac:dyDescent="0.25">
      <c r="C6325" s="26">
        <v>6323</v>
      </c>
    </row>
    <row r="6326" spans="3:3" x14ac:dyDescent="0.25">
      <c r="C6326" s="26">
        <v>6324</v>
      </c>
    </row>
    <row r="6327" spans="3:3" x14ac:dyDescent="0.25">
      <c r="C6327" s="26">
        <v>6325</v>
      </c>
    </row>
    <row r="6328" spans="3:3" x14ac:dyDescent="0.25">
      <c r="C6328" s="26">
        <v>6326</v>
      </c>
    </row>
    <row r="6329" spans="3:3" x14ac:dyDescent="0.25">
      <c r="C6329" s="26">
        <v>6327</v>
      </c>
    </row>
    <row r="6330" spans="3:3" x14ac:dyDescent="0.25">
      <c r="C6330" s="26">
        <v>6328</v>
      </c>
    </row>
    <row r="6331" spans="3:3" x14ac:dyDescent="0.25">
      <c r="C6331" s="26">
        <v>6329</v>
      </c>
    </row>
    <row r="6332" spans="3:3" x14ac:dyDescent="0.25">
      <c r="C6332" s="26">
        <v>6330</v>
      </c>
    </row>
    <row r="6333" spans="3:3" x14ac:dyDescent="0.25">
      <c r="C6333" s="26">
        <v>6331</v>
      </c>
    </row>
    <row r="6334" spans="3:3" x14ac:dyDescent="0.25">
      <c r="C6334" s="26">
        <v>6332</v>
      </c>
    </row>
    <row r="6335" spans="3:3" x14ac:dyDescent="0.25">
      <c r="C6335" s="26">
        <v>6333</v>
      </c>
    </row>
    <row r="6336" spans="3:3" x14ac:dyDescent="0.25">
      <c r="C6336" s="26">
        <v>6334</v>
      </c>
    </row>
    <row r="6337" spans="3:3" x14ac:dyDescent="0.25">
      <c r="C6337" s="26">
        <v>6335</v>
      </c>
    </row>
    <row r="6338" spans="3:3" x14ac:dyDescent="0.25">
      <c r="C6338" s="26">
        <v>6336</v>
      </c>
    </row>
    <row r="6339" spans="3:3" x14ac:dyDescent="0.25">
      <c r="C6339" s="26">
        <v>6337</v>
      </c>
    </row>
    <row r="6340" spans="3:3" x14ac:dyDescent="0.25">
      <c r="C6340" s="26">
        <v>6338</v>
      </c>
    </row>
    <row r="6341" spans="3:3" x14ac:dyDescent="0.25">
      <c r="C6341" s="26">
        <v>6339</v>
      </c>
    </row>
    <row r="6342" spans="3:3" x14ac:dyDescent="0.25">
      <c r="C6342" s="26">
        <v>6340</v>
      </c>
    </row>
    <row r="6343" spans="3:3" x14ac:dyDescent="0.25">
      <c r="C6343" s="26">
        <v>6341</v>
      </c>
    </row>
    <row r="6344" spans="3:3" x14ac:dyDescent="0.25">
      <c r="C6344" s="26">
        <v>6342</v>
      </c>
    </row>
    <row r="6345" spans="3:3" x14ac:dyDescent="0.25">
      <c r="C6345" s="26">
        <v>6343</v>
      </c>
    </row>
    <row r="6346" spans="3:3" x14ac:dyDescent="0.25">
      <c r="C6346" s="26">
        <v>6344</v>
      </c>
    </row>
    <row r="6347" spans="3:3" x14ac:dyDescent="0.25">
      <c r="C6347" s="26">
        <v>6345</v>
      </c>
    </row>
    <row r="6348" spans="3:3" x14ac:dyDescent="0.25">
      <c r="C6348" s="26">
        <v>6346</v>
      </c>
    </row>
    <row r="6349" spans="3:3" x14ac:dyDescent="0.25">
      <c r="C6349" s="26">
        <v>6347</v>
      </c>
    </row>
    <row r="6350" spans="3:3" x14ac:dyDescent="0.25">
      <c r="C6350" s="26">
        <v>6348</v>
      </c>
    </row>
    <row r="6351" spans="3:3" x14ac:dyDescent="0.25">
      <c r="C6351" s="26">
        <v>6349</v>
      </c>
    </row>
    <row r="6352" spans="3:3" x14ac:dyDescent="0.25">
      <c r="C6352" s="26">
        <v>6350</v>
      </c>
    </row>
    <row r="6353" spans="3:3" x14ac:dyDescent="0.25">
      <c r="C6353" s="26">
        <v>6351</v>
      </c>
    </row>
    <row r="6354" spans="3:3" x14ac:dyDescent="0.25">
      <c r="C6354" s="26">
        <v>6352</v>
      </c>
    </row>
    <row r="6355" spans="3:3" x14ac:dyDescent="0.25">
      <c r="C6355" s="26">
        <v>6353</v>
      </c>
    </row>
    <row r="6356" spans="3:3" x14ac:dyDescent="0.25">
      <c r="C6356" s="26">
        <v>6354</v>
      </c>
    </row>
    <row r="6357" spans="3:3" x14ac:dyDescent="0.25">
      <c r="C6357" s="26">
        <v>6355</v>
      </c>
    </row>
    <row r="6358" spans="3:3" x14ac:dyDescent="0.25">
      <c r="C6358" s="26">
        <v>6356</v>
      </c>
    </row>
    <row r="6359" spans="3:3" x14ac:dyDescent="0.25">
      <c r="C6359" s="26">
        <v>6357</v>
      </c>
    </row>
    <row r="6360" spans="3:3" x14ac:dyDescent="0.25">
      <c r="C6360" s="26">
        <v>6358</v>
      </c>
    </row>
    <row r="6361" spans="3:3" x14ac:dyDescent="0.25">
      <c r="C6361" s="26">
        <v>6359</v>
      </c>
    </row>
    <row r="6362" spans="3:3" x14ac:dyDescent="0.25">
      <c r="C6362" s="26">
        <v>6360</v>
      </c>
    </row>
    <row r="6363" spans="3:3" x14ac:dyDescent="0.25">
      <c r="C6363" s="26">
        <v>6361</v>
      </c>
    </row>
    <row r="6364" spans="3:3" x14ac:dyDescent="0.25">
      <c r="C6364" s="26">
        <v>6362</v>
      </c>
    </row>
    <row r="6365" spans="3:3" x14ac:dyDescent="0.25">
      <c r="C6365" s="26">
        <v>6363</v>
      </c>
    </row>
    <row r="6366" spans="3:3" x14ac:dyDescent="0.25">
      <c r="C6366" s="26">
        <v>6364</v>
      </c>
    </row>
    <row r="6367" spans="3:3" x14ac:dyDescent="0.25">
      <c r="C6367" s="26">
        <v>6365</v>
      </c>
    </row>
    <row r="6368" spans="3:3" x14ac:dyDescent="0.25">
      <c r="C6368" s="26">
        <v>6366</v>
      </c>
    </row>
    <row r="6369" spans="3:3" x14ac:dyDescent="0.25">
      <c r="C6369" s="26">
        <v>6367</v>
      </c>
    </row>
    <row r="6370" spans="3:3" x14ac:dyDescent="0.25">
      <c r="C6370" s="26">
        <v>6368</v>
      </c>
    </row>
    <row r="6371" spans="3:3" x14ac:dyDescent="0.25">
      <c r="C6371" s="26">
        <v>6369</v>
      </c>
    </row>
    <row r="6372" spans="3:3" x14ac:dyDescent="0.25">
      <c r="C6372" s="26">
        <v>6370</v>
      </c>
    </row>
    <row r="6373" spans="3:3" x14ac:dyDescent="0.25">
      <c r="C6373" s="26">
        <v>6371</v>
      </c>
    </row>
    <row r="6374" spans="3:3" x14ac:dyDescent="0.25">
      <c r="C6374" s="26">
        <v>6372</v>
      </c>
    </row>
    <row r="6375" spans="3:3" x14ac:dyDescent="0.25">
      <c r="C6375" s="26">
        <v>6373</v>
      </c>
    </row>
    <row r="6376" spans="3:3" x14ac:dyDescent="0.25">
      <c r="C6376" s="26">
        <v>6374</v>
      </c>
    </row>
    <row r="6377" spans="3:3" x14ac:dyDescent="0.25">
      <c r="C6377" s="26">
        <v>6375</v>
      </c>
    </row>
    <row r="6378" spans="3:3" x14ac:dyDescent="0.25">
      <c r="C6378" s="26">
        <v>6376</v>
      </c>
    </row>
    <row r="6379" spans="3:3" x14ac:dyDescent="0.25">
      <c r="C6379" s="26">
        <v>6377</v>
      </c>
    </row>
    <row r="6380" spans="3:3" x14ac:dyDescent="0.25">
      <c r="C6380" s="26">
        <v>6378</v>
      </c>
    </row>
    <row r="6381" spans="3:3" x14ac:dyDescent="0.25">
      <c r="C6381" s="26">
        <v>6379</v>
      </c>
    </row>
    <row r="6382" spans="3:3" x14ac:dyDescent="0.25">
      <c r="C6382" s="26">
        <v>6380</v>
      </c>
    </row>
    <row r="6383" spans="3:3" x14ac:dyDescent="0.25">
      <c r="C6383" s="26">
        <v>6381</v>
      </c>
    </row>
    <row r="6384" spans="3:3" x14ac:dyDescent="0.25">
      <c r="C6384" s="26">
        <v>6382</v>
      </c>
    </row>
    <row r="6385" spans="3:3" x14ac:dyDescent="0.25">
      <c r="C6385" s="26">
        <v>6383</v>
      </c>
    </row>
    <row r="6386" spans="3:3" x14ac:dyDescent="0.25">
      <c r="C6386" s="26">
        <v>6384</v>
      </c>
    </row>
    <row r="6387" spans="3:3" x14ac:dyDescent="0.25">
      <c r="C6387" s="26">
        <v>6385</v>
      </c>
    </row>
    <row r="6388" spans="3:3" x14ac:dyDescent="0.25">
      <c r="C6388" s="26">
        <v>6386</v>
      </c>
    </row>
    <row r="6389" spans="3:3" x14ac:dyDescent="0.25">
      <c r="C6389" s="26">
        <v>6387</v>
      </c>
    </row>
    <row r="6390" spans="3:3" x14ac:dyDescent="0.25">
      <c r="C6390" s="26">
        <v>6388</v>
      </c>
    </row>
    <row r="6391" spans="3:3" x14ac:dyDescent="0.25">
      <c r="C6391" s="26">
        <v>6389</v>
      </c>
    </row>
    <row r="6392" spans="3:3" x14ac:dyDescent="0.25">
      <c r="C6392" s="26">
        <v>6390</v>
      </c>
    </row>
    <row r="6393" spans="3:3" x14ac:dyDescent="0.25">
      <c r="C6393" s="26">
        <v>6391</v>
      </c>
    </row>
    <row r="6394" spans="3:3" x14ac:dyDescent="0.25">
      <c r="C6394" s="26">
        <v>6392</v>
      </c>
    </row>
    <row r="6395" spans="3:3" x14ac:dyDescent="0.25">
      <c r="C6395" s="26">
        <v>6393</v>
      </c>
    </row>
    <row r="6396" spans="3:3" x14ac:dyDescent="0.25">
      <c r="C6396" s="26">
        <v>6394</v>
      </c>
    </row>
    <row r="6397" spans="3:3" x14ac:dyDescent="0.25">
      <c r="C6397" s="26">
        <v>6395</v>
      </c>
    </row>
    <row r="6398" spans="3:3" x14ac:dyDescent="0.25">
      <c r="C6398" s="26">
        <v>6396</v>
      </c>
    </row>
    <row r="6399" spans="3:3" x14ac:dyDescent="0.25">
      <c r="C6399" s="26">
        <v>6397</v>
      </c>
    </row>
    <row r="6400" spans="3:3" x14ac:dyDescent="0.25">
      <c r="C6400" s="26">
        <v>6398</v>
      </c>
    </row>
    <row r="6401" spans="3:3" x14ac:dyDescent="0.25">
      <c r="C6401" s="26">
        <v>6399</v>
      </c>
    </row>
    <row r="6402" spans="3:3" x14ac:dyDescent="0.25">
      <c r="C6402" s="26">
        <v>6400</v>
      </c>
    </row>
    <row r="6403" spans="3:3" x14ac:dyDescent="0.25">
      <c r="C6403" s="26">
        <v>6401</v>
      </c>
    </row>
    <row r="6404" spans="3:3" x14ac:dyDescent="0.25">
      <c r="C6404" s="26">
        <v>6402</v>
      </c>
    </row>
    <row r="6405" spans="3:3" x14ac:dyDescent="0.25">
      <c r="C6405" s="26">
        <v>6403</v>
      </c>
    </row>
    <row r="6406" spans="3:3" x14ac:dyDescent="0.25">
      <c r="C6406" s="26">
        <v>6404</v>
      </c>
    </row>
    <row r="6407" spans="3:3" x14ac:dyDescent="0.25">
      <c r="C6407" s="26">
        <v>6405</v>
      </c>
    </row>
    <row r="6408" spans="3:3" x14ac:dyDescent="0.25">
      <c r="C6408" s="26">
        <v>6406</v>
      </c>
    </row>
    <row r="6409" spans="3:3" x14ac:dyDescent="0.25">
      <c r="C6409" s="26">
        <v>6407</v>
      </c>
    </row>
    <row r="6410" spans="3:3" x14ac:dyDescent="0.25">
      <c r="C6410" s="26">
        <v>6408</v>
      </c>
    </row>
    <row r="6411" spans="3:3" x14ac:dyDescent="0.25">
      <c r="C6411" s="26">
        <v>6409</v>
      </c>
    </row>
    <row r="6412" spans="3:3" x14ac:dyDescent="0.25">
      <c r="C6412" s="26">
        <v>6410</v>
      </c>
    </row>
    <row r="6413" spans="3:3" x14ac:dyDescent="0.25">
      <c r="C6413" s="26">
        <v>6411</v>
      </c>
    </row>
    <row r="6414" spans="3:3" x14ac:dyDescent="0.25">
      <c r="C6414" s="26">
        <v>6412</v>
      </c>
    </row>
    <row r="6415" spans="3:3" x14ac:dyDescent="0.25">
      <c r="C6415" s="26">
        <v>6413</v>
      </c>
    </row>
    <row r="6416" spans="3:3" x14ac:dyDescent="0.25">
      <c r="C6416" s="26">
        <v>6414</v>
      </c>
    </row>
    <row r="6417" spans="3:3" x14ac:dyDescent="0.25">
      <c r="C6417" s="26">
        <v>6415</v>
      </c>
    </row>
    <row r="6418" spans="3:3" x14ac:dyDescent="0.25">
      <c r="C6418" s="26">
        <v>6416</v>
      </c>
    </row>
    <row r="6419" spans="3:3" x14ac:dyDescent="0.25">
      <c r="C6419" s="26">
        <v>6417</v>
      </c>
    </row>
    <row r="6420" spans="3:3" x14ac:dyDescent="0.25">
      <c r="C6420" s="26">
        <v>6418</v>
      </c>
    </row>
    <row r="6421" spans="3:3" x14ac:dyDescent="0.25">
      <c r="C6421" s="26">
        <v>6419</v>
      </c>
    </row>
    <row r="6422" spans="3:3" x14ac:dyDescent="0.25">
      <c r="C6422" s="26">
        <v>6420</v>
      </c>
    </row>
    <row r="6423" spans="3:3" x14ac:dyDescent="0.25">
      <c r="C6423" s="26">
        <v>6421</v>
      </c>
    </row>
    <row r="6424" spans="3:3" x14ac:dyDescent="0.25">
      <c r="C6424" s="26">
        <v>6422</v>
      </c>
    </row>
    <row r="6425" spans="3:3" x14ac:dyDescent="0.25">
      <c r="C6425" s="26">
        <v>6423</v>
      </c>
    </row>
    <row r="6426" spans="3:3" x14ac:dyDescent="0.25">
      <c r="C6426" s="26">
        <v>6424</v>
      </c>
    </row>
    <row r="6427" spans="3:3" x14ac:dyDescent="0.25">
      <c r="C6427" s="26">
        <v>6425</v>
      </c>
    </row>
    <row r="6428" spans="3:3" x14ac:dyDescent="0.25">
      <c r="C6428" s="26">
        <v>6426</v>
      </c>
    </row>
    <row r="6429" spans="3:3" x14ac:dyDescent="0.25">
      <c r="C6429" s="26">
        <v>6427</v>
      </c>
    </row>
    <row r="6430" spans="3:3" x14ac:dyDescent="0.25">
      <c r="C6430" s="26">
        <v>6428</v>
      </c>
    </row>
    <row r="6431" spans="3:3" x14ac:dyDescent="0.25">
      <c r="C6431" s="26">
        <v>6429</v>
      </c>
    </row>
    <row r="6432" spans="3:3" x14ac:dyDescent="0.25">
      <c r="C6432" s="26">
        <v>6430</v>
      </c>
    </row>
    <row r="6433" spans="3:3" x14ac:dyDescent="0.25">
      <c r="C6433" s="26">
        <v>6431</v>
      </c>
    </row>
    <row r="6434" spans="3:3" x14ac:dyDescent="0.25">
      <c r="C6434" s="26">
        <v>6432</v>
      </c>
    </row>
    <row r="6435" spans="3:3" x14ac:dyDescent="0.25">
      <c r="C6435" s="26">
        <v>6433</v>
      </c>
    </row>
    <row r="6436" spans="3:3" x14ac:dyDescent="0.25">
      <c r="C6436" s="26">
        <v>6434</v>
      </c>
    </row>
    <row r="6437" spans="3:3" x14ac:dyDescent="0.25">
      <c r="C6437" s="26">
        <v>6435</v>
      </c>
    </row>
    <row r="6438" spans="3:3" x14ac:dyDescent="0.25">
      <c r="C6438" s="26">
        <v>6436</v>
      </c>
    </row>
    <row r="6439" spans="3:3" x14ac:dyDescent="0.25">
      <c r="C6439" s="26">
        <v>6437</v>
      </c>
    </row>
    <row r="6440" spans="3:3" x14ac:dyDescent="0.25">
      <c r="C6440" s="26">
        <v>6438</v>
      </c>
    </row>
    <row r="6441" spans="3:3" x14ac:dyDescent="0.25">
      <c r="C6441" s="26">
        <v>6439</v>
      </c>
    </row>
    <row r="6442" spans="3:3" x14ac:dyDescent="0.25">
      <c r="C6442" s="26">
        <v>6440</v>
      </c>
    </row>
    <row r="6443" spans="3:3" x14ac:dyDescent="0.25">
      <c r="C6443" s="26">
        <v>6441</v>
      </c>
    </row>
    <row r="6444" spans="3:3" x14ac:dyDescent="0.25">
      <c r="C6444" s="26">
        <v>6442</v>
      </c>
    </row>
    <row r="6445" spans="3:3" x14ac:dyDescent="0.25">
      <c r="C6445" s="26">
        <v>6443</v>
      </c>
    </row>
    <row r="6446" spans="3:3" x14ac:dyDescent="0.25">
      <c r="C6446" s="26">
        <v>6444</v>
      </c>
    </row>
    <row r="6447" spans="3:3" x14ac:dyDescent="0.25">
      <c r="C6447" s="26">
        <v>6445</v>
      </c>
    </row>
    <row r="6448" spans="3:3" x14ac:dyDescent="0.25">
      <c r="C6448" s="26">
        <v>6446</v>
      </c>
    </row>
    <row r="6449" spans="3:3" x14ac:dyDescent="0.25">
      <c r="C6449" s="26">
        <v>6447</v>
      </c>
    </row>
    <row r="6450" spans="3:3" x14ac:dyDescent="0.25">
      <c r="C6450" s="26">
        <v>6448</v>
      </c>
    </row>
    <row r="6451" spans="3:3" x14ac:dyDescent="0.25">
      <c r="C6451" s="26">
        <v>6449</v>
      </c>
    </row>
    <row r="6452" spans="3:3" x14ac:dyDescent="0.25">
      <c r="C6452" s="26">
        <v>6450</v>
      </c>
    </row>
    <row r="6453" spans="3:3" x14ac:dyDescent="0.25">
      <c r="C6453" s="26">
        <v>6451</v>
      </c>
    </row>
    <row r="6454" spans="3:3" x14ac:dyDescent="0.25">
      <c r="C6454" s="26">
        <v>6452</v>
      </c>
    </row>
    <row r="6455" spans="3:3" x14ac:dyDescent="0.25">
      <c r="C6455" s="26">
        <v>6453</v>
      </c>
    </row>
    <row r="6456" spans="3:3" x14ac:dyDescent="0.25">
      <c r="C6456" s="26">
        <v>6454</v>
      </c>
    </row>
    <row r="6457" spans="3:3" x14ac:dyDescent="0.25">
      <c r="C6457" s="26">
        <v>6455</v>
      </c>
    </row>
    <row r="6458" spans="3:3" x14ac:dyDescent="0.25">
      <c r="C6458" s="26">
        <v>6456</v>
      </c>
    </row>
    <row r="6459" spans="3:3" x14ac:dyDescent="0.25">
      <c r="C6459" s="26">
        <v>6457</v>
      </c>
    </row>
    <row r="6460" spans="3:3" x14ac:dyDescent="0.25">
      <c r="C6460" s="26">
        <v>6458</v>
      </c>
    </row>
    <row r="6461" spans="3:3" x14ac:dyDescent="0.25">
      <c r="C6461" s="26">
        <v>6459</v>
      </c>
    </row>
    <row r="6462" spans="3:3" x14ac:dyDescent="0.25">
      <c r="C6462" s="26">
        <v>6460</v>
      </c>
    </row>
    <row r="6463" spans="3:3" x14ac:dyDescent="0.25">
      <c r="C6463" s="26">
        <v>6461</v>
      </c>
    </row>
    <row r="6464" spans="3:3" x14ac:dyDescent="0.25">
      <c r="C6464" s="26">
        <v>6462</v>
      </c>
    </row>
    <row r="6465" spans="3:3" x14ac:dyDescent="0.25">
      <c r="C6465" s="26">
        <v>6463</v>
      </c>
    </row>
    <row r="6466" spans="3:3" x14ac:dyDescent="0.25">
      <c r="C6466" s="26">
        <v>6464</v>
      </c>
    </row>
    <row r="6467" spans="3:3" x14ac:dyDescent="0.25">
      <c r="C6467" s="26">
        <v>6465</v>
      </c>
    </row>
    <row r="6468" spans="3:3" x14ac:dyDescent="0.25">
      <c r="C6468" s="26">
        <v>6466</v>
      </c>
    </row>
    <row r="6469" spans="3:3" x14ac:dyDescent="0.25">
      <c r="C6469" s="26">
        <v>6467</v>
      </c>
    </row>
    <row r="6470" spans="3:3" x14ac:dyDescent="0.25">
      <c r="C6470" s="26">
        <v>6468</v>
      </c>
    </row>
    <row r="6471" spans="3:3" x14ac:dyDescent="0.25">
      <c r="C6471" s="26">
        <v>6469</v>
      </c>
    </row>
    <row r="6472" spans="3:3" x14ac:dyDescent="0.25">
      <c r="C6472" s="26">
        <v>6470</v>
      </c>
    </row>
    <row r="6473" spans="3:3" x14ac:dyDescent="0.25">
      <c r="C6473" s="26">
        <v>6471</v>
      </c>
    </row>
    <row r="6474" spans="3:3" x14ac:dyDescent="0.25">
      <c r="C6474" s="26">
        <v>6472</v>
      </c>
    </row>
    <row r="6475" spans="3:3" x14ac:dyDescent="0.25">
      <c r="C6475" s="26">
        <v>6473</v>
      </c>
    </row>
    <row r="6476" spans="3:3" x14ac:dyDescent="0.25">
      <c r="C6476" s="26">
        <v>6474</v>
      </c>
    </row>
    <row r="6477" spans="3:3" x14ac:dyDescent="0.25">
      <c r="C6477" s="26">
        <v>6475</v>
      </c>
    </row>
    <row r="6478" spans="3:3" x14ac:dyDescent="0.25">
      <c r="C6478" s="26">
        <v>6476</v>
      </c>
    </row>
    <row r="6479" spans="3:3" x14ac:dyDescent="0.25">
      <c r="C6479" s="26">
        <v>6477</v>
      </c>
    </row>
    <row r="6480" spans="3:3" x14ac:dyDescent="0.25">
      <c r="C6480" s="26">
        <v>6478</v>
      </c>
    </row>
    <row r="6481" spans="3:3" x14ac:dyDescent="0.25">
      <c r="C6481" s="26">
        <v>6479</v>
      </c>
    </row>
    <row r="6482" spans="3:3" x14ac:dyDescent="0.25">
      <c r="C6482" s="26">
        <v>6480</v>
      </c>
    </row>
    <row r="6483" spans="3:3" x14ac:dyDescent="0.25">
      <c r="C6483" s="26">
        <v>6481</v>
      </c>
    </row>
    <row r="6484" spans="3:3" x14ac:dyDescent="0.25">
      <c r="C6484" s="26">
        <v>6482</v>
      </c>
    </row>
    <row r="6485" spans="3:3" x14ac:dyDescent="0.25">
      <c r="C6485" s="26">
        <v>6483</v>
      </c>
    </row>
    <row r="6486" spans="3:3" x14ac:dyDescent="0.25">
      <c r="C6486" s="26">
        <v>6484</v>
      </c>
    </row>
    <row r="6487" spans="3:3" x14ac:dyDescent="0.25">
      <c r="C6487" s="26">
        <v>6485</v>
      </c>
    </row>
    <row r="6488" spans="3:3" x14ac:dyDescent="0.25">
      <c r="C6488" s="26">
        <v>6486</v>
      </c>
    </row>
    <row r="6489" spans="3:3" x14ac:dyDescent="0.25">
      <c r="C6489" s="26">
        <v>6487</v>
      </c>
    </row>
    <row r="6490" spans="3:3" x14ac:dyDescent="0.25">
      <c r="C6490" s="26">
        <v>6488</v>
      </c>
    </row>
    <row r="6491" spans="3:3" x14ac:dyDescent="0.25">
      <c r="C6491" s="26">
        <v>6489</v>
      </c>
    </row>
    <row r="6492" spans="3:3" x14ac:dyDescent="0.25">
      <c r="C6492" s="26">
        <v>6490</v>
      </c>
    </row>
    <row r="6493" spans="3:3" x14ac:dyDescent="0.25">
      <c r="C6493" s="26">
        <v>6491</v>
      </c>
    </row>
    <row r="6494" spans="3:3" x14ac:dyDescent="0.25">
      <c r="C6494" s="26">
        <v>6492</v>
      </c>
    </row>
    <row r="6495" spans="3:3" x14ac:dyDescent="0.25">
      <c r="C6495" s="26">
        <v>6493</v>
      </c>
    </row>
    <row r="6496" spans="3:3" x14ac:dyDescent="0.25">
      <c r="C6496" s="26">
        <v>6494</v>
      </c>
    </row>
    <row r="6497" spans="3:3" x14ac:dyDescent="0.25">
      <c r="C6497" s="26">
        <v>6495</v>
      </c>
    </row>
    <row r="6498" spans="3:3" x14ac:dyDescent="0.25">
      <c r="C6498" s="26">
        <v>6496</v>
      </c>
    </row>
    <row r="6499" spans="3:3" x14ac:dyDescent="0.25">
      <c r="C6499" s="26">
        <v>6497</v>
      </c>
    </row>
    <row r="6500" spans="3:3" x14ac:dyDescent="0.25">
      <c r="C6500" s="26">
        <v>6498</v>
      </c>
    </row>
    <row r="6501" spans="3:3" x14ac:dyDescent="0.25">
      <c r="C6501" s="26">
        <v>6499</v>
      </c>
    </row>
    <row r="6502" spans="3:3" x14ac:dyDescent="0.25">
      <c r="C6502" s="26">
        <v>6500</v>
      </c>
    </row>
    <row r="6503" spans="3:3" x14ac:dyDescent="0.25">
      <c r="C6503" s="26">
        <v>6501</v>
      </c>
    </row>
    <row r="6504" spans="3:3" x14ac:dyDescent="0.25">
      <c r="C6504" s="26">
        <v>6502</v>
      </c>
    </row>
    <row r="6505" spans="3:3" x14ac:dyDescent="0.25">
      <c r="C6505" s="26">
        <v>6503</v>
      </c>
    </row>
    <row r="6506" spans="3:3" x14ac:dyDescent="0.25">
      <c r="C6506" s="26">
        <v>6504</v>
      </c>
    </row>
    <row r="6507" spans="3:3" x14ac:dyDescent="0.25">
      <c r="C6507" s="26">
        <v>6505</v>
      </c>
    </row>
    <row r="6508" spans="3:3" x14ac:dyDescent="0.25">
      <c r="C6508" s="26">
        <v>6506</v>
      </c>
    </row>
    <row r="6509" spans="3:3" x14ac:dyDescent="0.25">
      <c r="C6509" s="26">
        <v>6507</v>
      </c>
    </row>
    <row r="6510" spans="3:3" x14ac:dyDescent="0.25">
      <c r="C6510" s="26">
        <v>6508</v>
      </c>
    </row>
    <row r="6511" spans="3:3" x14ac:dyDescent="0.25">
      <c r="C6511" s="26">
        <v>6509</v>
      </c>
    </row>
    <row r="6512" spans="3:3" x14ac:dyDescent="0.25">
      <c r="C6512" s="26">
        <v>6510</v>
      </c>
    </row>
    <row r="6513" spans="3:3" x14ac:dyDescent="0.25">
      <c r="C6513" s="26">
        <v>6511</v>
      </c>
    </row>
    <row r="6514" spans="3:3" x14ac:dyDescent="0.25">
      <c r="C6514" s="26">
        <v>6512</v>
      </c>
    </row>
    <row r="6515" spans="3:3" x14ac:dyDescent="0.25">
      <c r="C6515" s="26">
        <v>6513</v>
      </c>
    </row>
    <row r="6516" spans="3:3" x14ac:dyDescent="0.25">
      <c r="C6516" s="26">
        <v>6514</v>
      </c>
    </row>
    <row r="6517" spans="3:3" x14ac:dyDescent="0.25">
      <c r="C6517" s="26">
        <v>6515</v>
      </c>
    </row>
    <row r="6518" spans="3:3" x14ac:dyDescent="0.25">
      <c r="C6518" s="26">
        <v>6516</v>
      </c>
    </row>
    <row r="6519" spans="3:3" x14ac:dyDescent="0.25">
      <c r="C6519" s="26">
        <v>6517</v>
      </c>
    </row>
    <row r="6520" spans="3:3" x14ac:dyDescent="0.25">
      <c r="C6520" s="26">
        <v>6518</v>
      </c>
    </row>
    <row r="6521" spans="3:3" x14ac:dyDescent="0.25">
      <c r="C6521" s="26">
        <v>6519</v>
      </c>
    </row>
    <row r="6522" spans="3:3" x14ac:dyDescent="0.25">
      <c r="C6522" s="26">
        <v>6520</v>
      </c>
    </row>
    <row r="6523" spans="3:3" x14ac:dyDescent="0.25">
      <c r="C6523" s="26">
        <v>6521</v>
      </c>
    </row>
    <row r="6524" spans="3:3" x14ac:dyDescent="0.25">
      <c r="C6524" s="26">
        <v>6522</v>
      </c>
    </row>
    <row r="6525" spans="3:3" x14ac:dyDescent="0.25">
      <c r="C6525" s="26">
        <v>6523</v>
      </c>
    </row>
    <row r="6526" spans="3:3" x14ac:dyDescent="0.25">
      <c r="C6526" s="26">
        <v>6524</v>
      </c>
    </row>
    <row r="6527" spans="3:3" x14ac:dyDescent="0.25">
      <c r="C6527" s="26">
        <v>6525</v>
      </c>
    </row>
    <row r="6528" spans="3:3" x14ac:dyDescent="0.25">
      <c r="C6528" s="26">
        <v>6526</v>
      </c>
    </row>
    <row r="6529" spans="3:3" x14ac:dyDescent="0.25">
      <c r="C6529" s="26">
        <v>6527</v>
      </c>
    </row>
    <row r="6530" spans="3:3" x14ac:dyDescent="0.25">
      <c r="C6530" s="26">
        <v>6528</v>
      </c>
    </row>
    <row r="6531" spans="3:3" x14ac:dyDescent="0.25">
      <c r="C6531" s="26">
        <v>6529</v>
      </c>
    </row>
    <row r="6532" spans="3:3" x14ac:dyDescent="0.25">
      <c r="C6532" s="26">
        <v>6530</v>
      </c>
    </row>
    <row r="6533" spans="3:3" x14ac:dyDescent="0.25">
      <c r="C6533" s="26">
        <v>6531</v>
      </c>
    </row>
    <row r="6534" spans="3:3" x14ac:dyDescent="0.25">
      <c r="C6534" s="26">
        <v>6532</v>
      </c>
    </row>
    <row r="6535" spans="3:3" x14ac:dyDescent="0.25">
      <c r="C6535" s="26">
        <v>6533</v>
      </c>
    </row>
    <row r="6536" spans="3:3" x14ac:dyDescent="0.25">
      <c r="C6536" s="26">
        <v>6534</v>
      </c>
    </row>
    <row r="6537" spans="3:3" x14ac:dyDescent="0.25">
      <c r="C6537" s="26">
        <v>6535</v>
      </c>
    </row>
    <row r="6538" spans="3:3" x14ac:dyDescent="0.25">
      <c r="C6538" s="26">
        <v>6536</v>
      </c>
    </row>
    <row r="6539" spans="3:3" x14ac:dyDescent="0.25">
      <c r="C6539" s="26">
        <v>6537</v>
      </c>
    </row>
    <row r="6540" spans="3:3" x14ac:dyDescent="0.25">
      <c r="C6540" s="26">
        <v>6538</v>
      </c>
    </row>
    <row r="6541" spans="3:3" x14ac:dyDescent="0.25">
      <c r="C6541" s="26">
        <v>6539</v>
      </c>
    </row>
    <row r="6542" spans="3:3" x14ac:dyDescent="0.25">
      <c r="C6542" s="26">
        <v>6540</v>
      </c>
    </row>
    <row r="6543" spans="3:3" x14ac:dyDescent="0.25">
      <c r="C6543" s="26">
        <v>6541</v>
      </c>
    </row>
    <row r="6544" spans="3:3" x14ac:dyDescent="0.25">
      <c r="C6544" s="26">
        <v>6542</v>
      </c>
    </row>
    <row r="6545" spans="3:3" x14ac:dyDescent="0.25">
      <c r="C6545" s="26">
        <v>6543</v>
      </c>
    </row>
    <row r="6546" spans="3:3" x14ac:dyDescent="0.25">
      <c r="C6546" s="26">
        <v>6544</v>
      </c>
    </row>
    <row r="6547" spans="3:3" x14ac:dyDescent="0.25">
      <c r="C6547" s="26">
        <v>6545</v>
      </c>
    </row>
    <row r="6548" spans="3:3" x14ac:dyDescent="0.25">
      <c r="C6548" s="26">
        <v>6546</v>
      </c>
    </row>
    <row r="6549" spans="3:3" x14ac:dyDescent="0.25">
      <c r="C6549" s="26">
        <v>6547</v>
      </c>
    </row>
    <row r="6550" spans="3:3" x14ac:dyDescent="0.25">
      <c r="C6550" s="26">
        <v>6548</v>
      </c>
    </row>
    <row r="6551" spans="3:3" x14ac:dyDescent="0.25">
      <c r="C6551" s="26">
        <v>6549</v>
      </c>
    </row>
    <row r="6552" spans="3:3" x14ac:dyDescent="0.25">
      <c r="C6552" s="26">
        <v>6550</v>
      </c>
    </row>
    <row r="6553" spans="3:3" x14ac:dyDescent="0.25">
      <c r="C6553" s="26">
        <v>6551</v>
      </c>
    </row>
    <row r="6554" spans="3:3" x14ac:dyDescent="0.25">
      <c r="C6554" s="26">
        <v>6552</v>
      </c>
    </row>
    <row r="6555" spans="3:3" x14ac:dyDescent="0.25">
      <c r="C6555" s="26">
        <v>6553</v>
      </c>
    </row>
    <row r="6556" spans="3:3" x14ac:dyDescent="0.25">
      <c r="C6556" s="26">
        <v>6554</v>
      </c>
    </row>
    <row r="6557" spans="3:3" x14ac:dyDescent="0.25">
      <c r="C6557" s="26">
        <v>6555</v>
      </c>
    </row>
    <row r="6558" spans="3:3" x14ac:dyDescent="0.25">
      <c r="C6558" s="26">
        <v>6556</v>
      </c>
    </row>
    <row r="6559" spans="3:3" x14ac:dyDescent="0.25">
      <c r="C6559" s="26">
        <v>6557</v>
      </c>
    </row>
    <row r="6560" spans="3:3" x14ac:dyDescent="0.25">
      <c r="C6560" s="26">
        <v>6558</v>
      </c>
    </row>
    <row r="6561" spans="3:3" x14ac:dyDescent="0.25">
      <c r="C6561" s="26">
        <v>6559</v>
      </c>
    </row>
    <row r="6562" spans="3:3" x14ac:dyDescent="0.25">
      <c r="C6562" s="26">
        <v>6560</v>
      </c>
    </row>
    <row r="6563" spans="3:3" x14ac:dyDescent="0.25">
      <c r="C6563" s="26">
        <v>6561</v>
      </c>
    </row>
    <row r="6564" spans="3:3" x14ac:dyDescent="0.25">
      <c r="C6564" s="26">
        <v>6562</v>
      </c>
    </row>
    <row r="6565" spans="3:3" x14ac:dyDescent="0.25">
      <c r="C6565" s="26">
        <v>6563</v>
      </c>
    </row>
    <row r="6566" spans="3:3" x14ac:dyDescent="0.25">
      <c r="C6566" s="26">
        <v>6564</v>
      </c>
    </row>
    <row r="6567" spans="3:3" x14ac:dyDescent="0.25">
      <c r="C6567" s="26">
        <v>6565</v>
      </c>
    </row>
    <row r="6568" spans="3:3" x14ac:dyDescent="0.25">
      <c r="C6568" s="26">
        <v>6566</v>
      </c>
    </row>
    <row r="6569" spans="3:3" x14ac:dyDescent="0.25">
      <c r="C6569" s="26">
        <v>6567</v>
      </c>
    </row>
    <row r="6570" spans="3:3" x14ac:dyDescent="0.25">
      <c r="C6570" s="26">
        <v>6568</v>
      </c>
    </row>
    <row r="6571" spans="3:3" x14ac:dyDescent="0.25">
      <c r="C6571" s="26">
        <v>6569</v>
      </c>
    </row>
    <row r="6572" spans="3:3" x14ac:dyDescent="0.25">
      <c r="C6572" s="26">
        <v>6570</v>
      </c>
    </row>
    <row r="6573" spans="3:3" x14ac:dyDescent="0.25">
      <c r="C6573" s="26">
        <v>6571</v>
      </c>
    </row>
    <row r="6574" spans="3:3" x14ac:dyDescent="0.25">
      <c r="C6574" s="26">
        <v>6572</v>
      </c>
    </row>
    <row r="6575" spans="3:3" x14ac:dyDescent="0.25">
      <c r="C6575" s="26">
        <v>6573</v>
      </c>
    </row>
    <row r="6576" spans="3:3" x14ac:dyDescent="0.25">
      <c r="C6576" s="26">
        <v>6574</v>
      </c>
    </row>
    <row r="6577" spans="3:3" x14ac:dyDescent="0.25">
      <c r="C6577" s="26">
        <v>6575</v>
      </c>
    </row>
    <row r="6578" spans="3:3" x14ac:dyDescent="0.25">
      <c r="C6578" s="26">
        <v>6576</v>
      </c>
    </row>
    <row r="6579" spans="3:3" x14ac:dyDescent="0.25">
      <c r="C6579" s="26">
        <v>6577</v>
      </c>
    </row>
    <row r="6580" spans="3:3" x14ac:dyDescent="0.25">
      <c r="C6580" s="26">
        <v>6578</v>
      </c>
    </row>
    <row r="6581" spans="3:3" x14ac:dyDescent="0.25">
      <c r="C6581" s="26">
        <v>6579</v>
      </c>
    </row>
    <row r="6582" spans="3:3" x14ac:dyDescent="0.25">
      <c r="C6582" s="26">
        <v>6580</v>
      </c>
    </row>
    <row r="6583" spans="3:3" x14ac:dyDescent="0.25">
      <c r="C6583" s="26">
        <v>6581</v>
      </c>
    </row>
    <row r="6584" spans="3:3" x14ac:dyDescent="0.25">
      <c r="C6584" s="26">
        <v>6582</v>
      </c>
    </row>
    <row r="6585" spans="3:3" x14ac:dyDescent="0.25">
      <c r="C6585" s="26">
        <v>6583</v>
      </c>
    </row>
    <row r="6586" spans="3:3" x14ac:dyDescent="0.25">
      <c r="C6586" s="26">
        <v>6584</v>
      </c>
    </row>
    <row r="6587" spans="3:3" x14ac:dyDescent="0.25">
      <c r="C6587" s="26">
        <v>6585</v>
      </c>
    </row>
    <row r="6588" spans="3:3" x14ac:dyDescent="0.25">
      <c r="C6588" s="26">
        <v>6586</v>
      </c>
    </row>
    <row r="6589" spans="3:3" x14ac:dyDescent="0.25">
      <c r="C6589" s="26">
        <v>6587</v>
      </c>
    </row>
    <row r="6590" spans="3:3" x14ac:dyDescent="0.25">
      <c r="C6590" s="26">
        <v>6588</v>
      </c>
    </row>
    <row r="6591" spans="3:3" x14ac:dyDescent="0.25">
      <c r="C6591" s="26">
        <v>6589</v>
      </c>
    </row>
    <row r="6592" spans="3:3" x14ac:dyDescent="0.25">
      <c r="C6592" s="26">
        <v>6590</v>
      </c>
    </row>
    <row r="6593" spans="3:3" x14ac:dyDescent="0.25">
      <c r="C6593" s="26">
        <v>6591</v>
      </c>
    </row>
    <row r="6594" spans="3:3" x14ac:dyDescent="0.25">
      <c r="C6594" s="26">
        <v>6592</v>
      </c>
    </row>
    <row r="6595" spans="3:3" x14ac:dyDescent="0.25">
      <c r="C6595" s="26">
        <v>6593</v>
      </c>
    </row>
    <row r="6596" spans="3:3" x14ac:dyDescent="0.25">
      <c r="C6596" s="26">
        <v>6594</v>
      </c>
    </row>
    <row r="6597" spans="3:3" x14ac:dyDescent="0.25">
      <c r="C6597" s="26">
        <v>6595</v>
      </c>
    </row>
    <row r="6598" spans="3:3" x14ac:dyDescent="0.25">
      <c r="C6598" s="26">
        <v>6596</v>
      </c>
    </row>
    <row r="6599" spans="3:3" x14ac:dyDescent="0.25">
      <c r="C6599" s="26">
        <v>6597</v>
      </c>
    </row>
    <row r="6600" spans="3:3" x14ac:dyDescent="0.25">
      <c r="C6600" s="26">
        <v>6598</v>
      </c>
    </row>
    <row r="6601" spans="3:3" x14ac:dyDescent="0.25">
      <c r="C6601" s="26">
        <v>6599</v>
      </c>
    </row>
    <row r="6602" spans="3:3" x14ac:dyDescent="0.25">
      <c r="C6602" s="26">
        <v>6600</v>
      </c>
    </row>
    <row r="6603" spans="3:3" x14ac:dyDescent="0.25">
      <c r="C6603" s="26">
        <v>6601</v>
      </c>
    </row>
    <row r="6604" spans="3:3" x14ac:dyDescent="0.25">
      <c r="C6604" s="26">
        <v>6602</v>
      </c>
    </row>
    <row r="6605" spans="3:3" x14ac:dyDescent="0.25">
      <c r="C6605" s="26">
        <v>6603</v>
      </c>
    </row>
    <row r="6606" spans="3:3" x14ac:dyDescent="0.25">
      <c r="C6606" s="26">
        <v>6604</v>
      </c>
    </row>
    <row r="6607" spans="3:3" x14ac:dyDescent="0.25">
      <c r="C6607" s="26">
        <v>6605</v>
      </c>
    </row>
    <row r="6608" spans="3:3" x14ac:dyDescent="0.25">
      <c r="C6608" s="26">
        <v>6606</v>
      </c>
    </row>
    <row r="6609" spans="3:3" x14ac:dyDescent="0.25">
      <c r="C6609" s="26">
        <v>6607</v>
      </c>
    </row>
    <row r="6610" spans="3:3" x14ac:dyDescent="0.25">
      <c r="C6610" s="26">
        <v>6608</v>
      </c>
    </row>
    <row r="6611" spans="3:3" x14ac:dyDescent="0.25">
      <c r="C6611" s="26">
        <v>6609</v>
      </c>
    </row>
    <row r="6612" spans="3:3" x14ac:dyDescent="0.25">
      <c r="C6612" s="26">
        <v>6610</v>
      </c>
    </row>
    <row r="6613" spans="3:3" x14ac:dyDescent="0.25">
      <c r="C6613" s="26">
        <v>6611</v>
      </c>
    </row>
    <row r="6614" spans="3:3" x14ac:dyDescent="0.25">
      <c r="C6614" s="26">
        <v>6612</v>
      </c>
    </row>
    <row r="6615" spans="3:3" x14ac:dyDescent="0.25">
      <c r="C6615" s="26">
        <v>6613</v>
      </c>
    </row>
    <row r="6616" spans="3:3" x14ac:dyDescent="0.25">
      <c r="C6616" s="26">
        <v>6614</v>
      </c>
    </row>
    <row r="6617" spans="3:3" x14ac:dyDescent="0.25">
      <c r="C6617" s="26">
        <v>6615</v>
      </c>
    </row>
    <row r="6618" spans="3:3" x14ac:dyDescent="0.25">
      <c r="C6618" s="26">
        <v>6616</v>
      </c>
    </row>
    <row r="6619" spans="3:3" x14ac:dyDescent="0.25">
      <c r="C6619" s="26">
        <v>6617</v>
      </c>
    </row>
    <row r="6620" spans="3:3" x14ac:dyDescent="0.25">
      <c r="C6620" s="26">
        <v>6618</v>
      </c>
    </row>
    <row r="6621" spans="3:3" x14ac:dyDescent="0.25">
      <c r="C6621" s="26">
        <v>6619</v>
      </c>
    </row>
    <row r="6622" spans="3:3" x14ac:dyDescent="0.25">
      <c r="C6622" s="26">
        <v>6620</v>
      </c>
    </row>
    <row r="6623" spans="3:3" x14ac:dyDescent="0.25">
      <c r="C6623" s="26">
        <v>6621</v>
      </c>
    </row>
    <row r="6624" spans="3:3" x14ac:dyDescent="0.25">
      <c r="C6624" s="26">
        <v>6622</v>
      </c>
    </row>
    <row r="6625" spans="3:3" x14ac:dyDescent="0.25">
      <c r="C6625" s="26">
        <v>6623</v>
      </c>
    </row>
    <row r="6626" spans="3:3" x14ac:dyDescent="0.25">
      <c r="C6626" s="26">
        <v>6624</v>
      </c>
    </row>
    <row r="6627" spans="3:3" x14ac:dyDescent="0.25">
      <c r="C6627" s="26">
        <v>6625</v>
      </c>
    </row>
    <row r="6628" spans="3:3" x14ac:dyDescent="0.25">
      <c r="C6628" s="26">
        <v>6626</v>
      </c>
    </row>
    <row r="6629" spans="3:3" x14ac:dyDescent="0.25">
      <c r="C6629" s="26">
        <v>6627</v>
      </c>
    </row>
    <row r="6630" spans="3:3" x14ac:dyDescent="0.25">
      <c r="C6630" s="26">
        <v>6628</v>
      </c>
    </row>
    <row r="6631" spans="3:3" x14ac:dyDescent="0.25">
      <c r="C6631" s="26">
        <v>6629</v>
      </c>
    </row>
    <row r="6632" spans="3:3" x14ac:dyDescent="0.25">
      <c r="C6632" s="26">
        <v>6630</v>
      </c>
    </row>
    <row r="6633" spans="3:3" x14ac:dyDescent="0.25">
      <c r="C6633" s="26">
        <v>6631</v>
      </c>
    </row>
    <row r="6634" spans="3:3" x14ac:dyDescent="0.25">
      <c r="C6634" s="26">
        <v>6632</v>
      </c>
    </row>
    <row r="6635" spans="3:3" x14ac:dyDescent="0.25">
      <c r="C6635" s="26">
        <v>6633</v>
      </c>
    </row>
    <row r="6636" spans="3:3" x14ac:dyDescent="0.25">
      <c r="C6636" s="26">
        <v>6634</v>
      </c>
    </row>
    <row r="6637" spans="3:3" x14ac:dyDescent="0.25">
      <c r="C6637" s="26">
        <v>6635</v>
      </c>
    </row>
    <row r="6638" spans="3:3" x14ac:dyDescent="0.25">
      <c r="C6638" s="26">
        <v>6636</v>
      </c>
    </row>
    <row r="6639" spans="3:3" x14ac:dyDescent="0.25">
      <c r="C6639" s="26">
        <v>6637</v>
      </c>
    </row>
    <row r="6640" spans="3:3" x14ac:dyDescent="0.25">
      <c r="C6640" s="26">
        <v>6638</v>
      </c>
    </row>
    <row r="6641" spans="3:3" x14ac:dyDescent="0.25">
      <c r="C6641" s="26">
        <v>6639</v>
      </c>
    </row>
    <row r="6642" spans="3:3" x14ac:dyDescent="0.25">
      <c r="C6642" s="26">
        <v>6640</v>
      </c>
    </row>
    <row r="6643" spans="3:3" x14ac:dyDescent="0.25">
      <c r="C6643" s="26">
        <v>6641</v>
      </c>
    </row>
    <row r="6644" spans="3:3" x14ac:dyDescent="0.25">
      <c r="C6644" s="26">
        <v>6642</v>
      </c>
    </row>
    <row r="6645" spans="3:3" x14ac:dyDescent="0.25">
      <c r="C6645" s="26">
        <v>6643</v>
      </c>
    </row>
    <row r="6646" spans="3:3" x14ac:dyDescent="0.25">
      <c r="C6646" s="26">
        <v>6644</v>
      </c>
    </row>
    <row r="6647" spans="3:3" x14ac:dyDescent="0.25">
      <c r="C6647" s="26">
        <v>6645</v>
      </c>
    </row>
    <row r="6648" spans="3:3" x14ac:dyDescent="0.25">
      <c r="C6648" s="26">
        <v>6646</v>
      </c>
    </row>
    <row r="6649" spans="3:3" x14ac:dyDescent="0.25">
      <c r="C6649" s="26">
        <v>6647</v>
      </c>
    </row>
    <row r="6650" spans="3:3" x14ac:dyDescent="0.25">
      <c r="C6650" s="26">
        <v>6648</v>
      </c>
    </row>
    <row r="6651" spans="3:3" x14ac:dyDescent="0.25">
      <c r="C6651" s="26">
        <v>6649</v>
      </c>
    </row>
    <row r="6652" spans="3:3" x14ac:dyDescent="0.25">
      <c r="C6652" s="26">
        <v>6650</v>
      </c>
    </row>
    <row r="6653" spans="3:3" x14ac:dyDescent="0.25">
      <c r="C6653" s="26">
        <v>6651</v>
      </c>
    </row>
    <row r="6654" spans="3:3" x14ac:dyDescent="0.25">
      <c r="C6654" s="26">
        <v>6652</v>
      </c>
    </row>
    <row r="6655" spans="3:3" x14ac:dyDescent="0.25">
      <c r="C6655" s="26">
        <v>6653</v>
      </c>
    </row>
    <row r="6656" spans="3:3" x14ac:dyDescent="0.25">
      <c r="C6656" s="26">
        <v>6654</v>
      </c>
    </row>
    <row r="6657" spans="3:3" x14ac:dyDescent="0.25">
      <c r="C6657" s="26">
        <v>6655</v>
      </c>
    </row>
    <row r="6658" spans="3:3" x14ac:dyDescent="0.25">
      <c r="C6658" s="26">
        <v>6656</v>
      </c>
    </row>
    <row r="6659" spans="3:3" x14ac:dyDescent="0.25">
      <c r="C6659" s="26">
        <v>6657</v>
      </c>
    </row>
    <row r="6660" spans="3:3" x14ac:dyDescent="0.25">
      <c r="C6660" s="26">
        <v>6658</v>
      </c>
    </row>
    <row r="6661" spans="3:3" x14ac:dyDescent="0.25">
      <c r="C6661" s="26">
        <v>6659</v>
      </c>
    </row>
    <row r="6662" spans="3:3" x14ac:dyDescent="0.25">
      <c r="C6662" s="26">
        <v>6660</v>
      </c>
    </row>
    <row r="6663" spans="3:3" x14ac:dyDescent="0.25">
      <c r="C6663" s="26">
        <v>6661</v>
      </c>
    </row>
    <row r="6664" spans="3:3" x14ac:dyDescent="0.25">
      <c r="C6664" s="26">
        <v>6662</v>
      </c>
    </row>
    <row r="6665" spans="3:3" x14ac:dyDescent="0.25">
      <c r="C6665" s="26">
        <v>6663</v>
      </c>
    </row>
    <row r="6666" spans="3:3" x14ac:dyDescent="0.25">
      <c r="C6666" s="26">
        <v>6664</v>
      </c>
    </row>
    <row r="6667" spans="3:3" x14ac:dyDescent="0.25">
      <c r="C6667" s="26">
        <v>6665</v>
      </c>
    </row>
    <row r="6668" spans="3:3" x14ac:dyDescent="0.25">
      <c r="C6668" s="26">
        <v>6666</v>
      </c>
    </row>
    <row r="6669" spans="3:3" x14ac:dyDescent="0.25">
      <c r="C6669" s="26">
        <v>6667</v>
      </c>
    </row>
    <row r="6670" spans="3:3" x14ac:dyDescent="0.25">
      <c r="C6670" s="26">
        <v>6668</v>
      </c>
    </row>
    <row r="6671" spans="3:3" x14ac:dyDescent="0.25">
      <c r="C6671" s="26">
        <v>6669</v>
      </c>
    </row>
    <row r="6672" spans="3:3" x14ac:dyDescent="0.25">
      <c r="C6672" s="26">
        <v>6670</v>
      </c>
    </row>
    <row r="6673" spans="3:3" x14ac:dyDescent="0.25">
      <c r="C6673" s="26">
        <v>6671</v>
      </c>
    </row>
    <row r="6674" spans="3:3" x14ac:dyDescent="0.25">
      <c r="C6674" s="26">
        <v>6672</v>
      </c>
    </row>
    <row r="6675" spans="3:3" x14ac:dyDescent="0.25">
      <c r="C6675" s="26">
        <v>6673</v>
      </c>
    </row>
    <row r="6676" spans="3:3" x14ac:dyDescent="0.25">
      <c r="C6676" s="26">
        <v>6674</v>
      </c>
    </row>
    <row r="6677" spans="3:3" x14ac:dyDescent="0.25">
      <c r="C6677" s="26">
        <v>6675</v>
      </c>
    </row>
    <row r="6678" spans="3:3" x14ac:dyDescent="0.25">
      <c r="C6678" s="26">
        <v>6676</v>
      </c>
    </row>
    <row r="6679" spans="3:3" x14ac:dyDescent="0.25">
      <c r="C6679" s="26">
        <v>6677</v>
      </c>
    </row>
    <row r="6680" spans="3:3" x14ac:dyDescent="0.25">
      <c r="C6680" s="26">
        <v>6678</v>
      </c>
    </row>
    <row r="6681" spans="3:3" x14ac:dyDescent="0.25">
      <c r="C6681" s="26">
        <v>6679</v>
      </c>
    </row>
    <row r="6682" spans="3:3" x14ac:dyDescent="0.25">
      <c r="C6682" s="26">
        <v>6680</v>
      </c>
    </row>
    <row r="6683" spans="3:3" x14ac:dyDescent="0.25">
      <c r="C6683" s="26">
        <v>6681</v>
      </c>
    </row>
    <row r="6684" spans="3:3" x14ac:dyDescent="0.25">
      <c r="C6684" s="26">
        <v>6682</v>
      </c>
    </row>
    <row r="6685" spans="3:3" x14ac:dyDescent="0.25">
      <c r="C6685" s="26">
        <v>6683</v>
      </c>
    </row>
    <row r="6686" spans="3:3" x14ac:dyDescent="0.25">
      <c r="C6686" s="26">
        <v>6684</v>
      </c>
    </row>
    <row r="6687" spans="3:3" x14ac:dyDescent="0.25">
      <c r="C6687" s="26">
        <v>6685</v>
      </c>
    </row>
    <row r="6688" spans="3:3" x14ac:dyDescent="0.25">
      <c r="C6688" s="26">
        <v>6686</v>
      </c>
    </row>
    <row r="6689" spans="3:3" x14ac:dyDescent="0.25">
      <c r="C6689" s="26">
        <v>6687</v>
      </c>
    </row>
    <row r="6690" spans="3:3" x14ac:dyDescent="0.25">
      <c r="C6690" s="26">
        <v>6688</v>
      </c>
    </row>
    <row r="6691" spans="3:3" x14ac:dyDescent="0.25">
      <c r="C6691" s="26">
        <v>6689</v>
      </c>
    </row>
    <row r="6692" spans="3:3" x14ac:dyDescent="0.25">
      <c r="C6692" s="26">
        <v>6690</v>
      </c>
    </row>
    <row r="6693" spans="3:3" x14ac:dyDescent="0.25">
      <c r="C6693" s="26">
        <v>6691</v>
      </c>
    </row>
    <row r="6694" spans="3:3" x14ac:dyDescent="0.25">
      <c r="C6694" s="26">
        <v>6692</v>
      </c>
    </row>
    <row r="6695" spans="3:3" x14ac:dyDescent="0.25">
      <c r="C6695" s="26">
        <v>6693</v>
      </c>
    </row>
    <row r="6696" spans="3:3" x14ac:dyDescent="0.25">
      <c r="C6696" s="26">
        <v>6694</v>
      </c>
    </row>
    <row r="6697" spans="3:3" x14ac:dyDescent="0.25">
      <c r="C6697" s="26">
        <v>6695</v>
      </c>
    </row>
    <row r="6698" spans="3:3" x14ac:dyDescent="0.25">
      <c r="C6698" s="26">
        <v>6696</v>
      </c>
    </row>
    <row r="6699" spans="3:3" x14ac:dyDescent="0.25">
      <c r="C6699" s="26">
        <v>6697</v>
      </c>
    </row>
    <row r="6700" spans="3:3" x14ac:dyDescent="0.25">
      <c r="C6700" s="26">
        <v>6698</v>
      </c>
    </row>
    <row r="6701" spans="3:3" x14ac:dyDescent="0.25">
      <c r="C6701" s="26">
        <v>6699</v>
      </c>
    </row>
    <row r="6702" spans="3:3" x14ac:dyDescent="0.25">
      <c r="C6702" s="26">
        <v>6700</v>
      </c>
    </row>
    <row r="6703" spans="3:3" x14ac:dyDescent="0.25">
      <c r="C6703" s="26">
        <v>6701</v>
      </c>
    </row>
    <row r="6704" spans="3:3" x14ac:dyDescent="0.25">
      <c r="C6704" s="26">
        <v>6702</v>
      </c>
    </row>
    <row r="6705" spans="3:3" x14ac:dyDescent="0.25">
      <c r="C6705" s="26">
        <v>6703</v>
      </c>
    </row>
    <row r="6706" spans="3:3" x14ac:dyDescent="0.25">
      <c r="C6706" s="26">
        <v>6704</v>
      </c>
    </row>
    <row r="6707" spans="3:3" x14ac:dyDescent="0.25">
      <c r="C6707" s="26">
        <v>6705</v>
      </c>
    </row>
    <row r="6708" spans="3:3" x14ac:dyDescent="0.25">
      <c r="C6708" s="26">
        <v>6706</v>
      </c>
    </row>
    <row r="6709" spans="3:3" x14ac:dyDescent="0.25">
      <c r="C6709" s="26">
        <v>6707</v>
      </c>
    </row>
    <row r="6710" spans="3:3" x14ac:dyDescent="0.25">
      <c r="C6710" s="26">
        <v>6708</v>
      </c>
    </row>
    <row r="6711" spans="3:3" x14ac:dyDescent="0.25">
      <c r="C6711" s="26">
        <v>6709</v>
      </c>
    </row>
    <row r="6712" spans="3:3" x14ac:dyDescent="0.25">
      <c r="C6712" s="26">
        <v>6710</v>
      </c>
    </row>
    <row r="6713" spans="3:3" x14ac:dyDescent="0.25">
      <c r="C6713" s="26">
        <v>6711</v>
      </c>
    </row>
    <row r="6714" spans="3:3" x14ac:dyDescent="0.25">
      <c r="C6714" s="26">
        <v>6712</v>
      </c>
    </row>
    <row r="6715" spans="3:3" x14ac:dyDescent="0.25">
      <c r="C6715" s="26">
        <v>6713</v>
      </c>
    </row>
    <row r="6716" spans="3:3" x14ac:dyDescent="0.25">
      <c r="C6716" s="26">
        <v>6714</v>
      </c>
    </row>
    <row r="6717" spans="3:3" x14ac:dyDescent="0.25">
      <c r="C6717" s="26">
        <v>6715</v>
      </c>
    </row>
    <row r="6718" spans="3:3" x14ac:dyDescent="0.25">
      <c r="C6718" s="26">
        <v>6716</v>
      </c>
    </row>
    <row r="6719" spans="3:3" x14ac:dyDescent="0.25">
      <c r="C6719" s="26">
        <v>6717</v>
      </c>
    </row>
    <row r="6720" spans="3:3" x14ac:dyDescent="0.25">
      <c r="C6720" s="26">
        <v>6718</v>
      </c>
    </row>
    <row r="6721" spans="3:3" x14ac:dyDescent="0.25">
      <c r="C6721" s="26">
        <v>6719</v>
      </c>
    </row>
    <row r="6722" spans="3:3" x14ac:dyDescent="0.25">
      <c r="C6722" s="26">
        <v>6720</v>
      </c>
    </row>
    <row r="6723" spans="3:3" x14ac:dyDescent="0.25">
      <c r="C6723" s="26">
        <v>6721</v>
      </c>
    </row>
    <row r="6724" spans="3:3" x14ac:dyDescent="0.25">
      <c r="C6724" s="26">
        <v>6722</v>
      </c>
    </row>
    <row r="6725" spans="3:3" x14ac:dyDescent="0.25">
      <c r="C6725" s="26">
        <v>6723</v>
      </c>
    </row>
    <row r="6726" spans="3:3" x14ac:dyDescent="0.25">
      <c r="C6726" s="26">
        <v>6724</v>
      </c>
    </row>
    <row r="6727" spans="3:3" x14ac:dyDescent="0.25">
      <c r="C6727" s="26">
        <v>6725</v>
      </c>
    </row>
    <row r="6728" spans="3:3" x14ac:dyDescent="0.25">
      <c r="C6728" s="26">
        <v>6726</v>
      </c>
    </row>
    <row r="6729" spans="3:3" x14ac:dyDescent="0.25">
      <c r="C6729" s="26">
        <v>6727</v>
      </c>
    </row>
    <row r="6730" spans="3:3" x14ac:dyDescent="0.25">
      <c r="C6730" s="26">
        <v>6728</v>
      </c>
    </row>
    <row r="6731" spans="3:3" x14ac:dyDescent="0.25">
      <c r="C6731" s="26">
        <v>6729</v>
      </c>
    </row>
    <row r="6732" spans="3:3" x14ac:dyDescent="0.25">
      <c r="C6732" s="26">
        <v>6730</v>
      </c>
    </row>
    <row r="6733" spans="3:3" x14ac:dyDescent="0.25">
      <c r="C6733" s="26">
        <v>6731</v>
      </c>
    </row>
    <row r="6734" spans="3:3" x14ac:dyDescent="0.25">
      <c r="C6734" s="26">
        <v>6732</v>
      </c>
    </row>
    <row r="6735" spans="3:3" x14ac:dyDescent="0.25">
      <c r="C6735" s="26">
        <v>6733</v>
      </c>
    </row>
    <row r="6736" spans="3:3" x14ac:dyDescent="0.25">
      <c r="C6736" s="26">
        <v>6734</v>
      </c>
    </row>
    <row r="6737" spans="3:3" x14ac:dyDescent="0.25">
      <c r="C6737" s="26">
        <v>6735</v>
      </c>
    </row>
    <row r="6738" spans="3:3" x14ac:dyDescent="0.25">
      <c r="C6738" s="26">
        <v>6736</v>
      </c>
    </row>
    <row r="6739" spans="3:3" x14ac:dyDescent="0.25">
      <c r="C6739" s="26">
        <v>6737</v>
      </c>
    </row>
    <row r="6740" spans="3:3" x14ac:dyDescent="0.25">
      <c r="C6740" s="26">
        <v>6738</v>
      </c>
    </row>
    <row r="6741" spans="3:3" x14ac:dyDescent="0.25">
      <c r="C6741" s="26">
        <v>6739</v>
      </c>
    </row>
    <row r="6742" spans="3:3" x14ac:dyDescent="0.25">
      <c r="C6742" s="26">
        <v>6740</v>
      </c>
    </row>
    <row r="6743" spans="3:3" x14ac:dyDescent="0.25">
      <c r="C6743" s="26">
        <v>6741</v>
      </c>
    </row>
    <row r="6744" spans="3:3" x14ac:dyDescent="0.25">
      <c r="C6744" s="26">
        <v>6742</v>
      </c>
    </row>
    <row r="6745" spans="3:3" x14ac:dyDescent="0.25">
      <c r="C6745" s="26">
        <v>6743</v>
      </c>
    </row>
    <row r="6746" spans="3:3" x14ac:dyDescent="0.25">
      <c r="C6746" s="26">
        <v>6744</v>
      </c>
    </row>
    <row r="6747" spans="3:3" x14ac:dyDescent="0.25">
      <c r="C6747" s="26">
        <v>6745</v>
      </c>
    </row>
    <row r="6748" spans="3:3" x14ac:dyDescent="0.25">
      <c r="C6748" s="26">
        <v>6746</v>
      </c>
    </row>
    <row r="6749" spans="3:3" x14ac:dyDescent="0.25">
      <c r="C6749" s="26">
        <v>6747</v>
      </c>
    </row>
    <row r="6750" spans="3:3" x14ac:dyDescent="0.25">
      <c r="C6750" s="26">
        <v>6748</v>
      </c>
    </row>
    <row r="6751" spans="3:3" x14ac:dyDescent="0.25">
      <c r="C6751" s="26">
        <v>6749</v>
      </c>
    </row>
    <row r="6752" spans="3:3" x14ac:dyDescent="0.25">
      <c r="C6752" s="26">
        <v>6750</v>
      </c>
    </row>
    <row r="6753" spans="3:3" x14ac:dyDescent="0.25">
      <c r="C6753" s="26">
        <v>6751</v>
      </c>
    </row>
    <row r="6754" spans="3:3" x14ac:dyDescent="0.25">
      <c r="C6754" s="26">
        <v>6752</v>
      </c>
    </row>
    <row r="6755" spans="3:3" x14ac:dyDescent="0.25">
      <c r="C6755" s="26">
        <v>6753</v>
      </c>
    </row>
    <row r="6756" spans="3:3" x14ac:dyDescent="0.25">
      <c r="C6756" s="26">
        <v>6754</v>
      </c>
    </row>
    <row r="6757" spans="3:3" x14ac:dyDescent="0.25">
      <c r="C6757" s="26">
        <v>6755</v>
      </c>
    </row>
    <row r="6758" spans="3:3" x14ac:dyDescent="0.25">
      <c r="C6758" s="26">
        <v>6756</v>
      </c>
    </row>
    <row r="6759" spans="3:3" x14ac:dyDescent="0.25">
      <c r="C6759" s="26">
        <v>6757</v>
      </c>
    </row>
    <row r="6760" spans="3:3" x14ac:dyDescent="0.25">
      <c r="C6760" s="26">
        <v>6758</v>
      </c>
    </row>
    <row r="6761" spans="3:3" x14ac:dyDescent="0.25">
      <c r="C6761" s="26">
        <v>6759</v>
      </c>
    </row>
    <row r="6762" spans="3:3" x14ac:dyDescent="0.25">
      <c r="C6762" s="26">
        <v>6760</v>
      </c>
    </row>
    <row r="6763" spans="3:3" x14ac:dyDescent="0.25">
      <c r="C6763" s="26">
        <v>6761</v>
      </c>
    </row>
    <row r="6764" spans="3:3" x14ac:dyDescent="0.25">
      <c r="C6764" s="26">
        <v>6762</v>
      </c>
    </row>
    <row r="6765" spans="3:3" x14ac:dyDescent="0.25">
      <c r="C6765" s="26">
        <v>6763</v>
      </c>
    </row>
    <row r="6766" spans="3:3" x14ac:dyDescent="0.25">
      <c r="C6766" s="26">
        <v>6764</v>
      </c>
    </row>
    <row r="6767" spans="3:3" x14ac:dyDescent="0.25">
      <c r="C6767" s="26">
        <v>6765</v>
      </c>
    </row>
    <row r="6768" spans="3:3" x14ac:dyDescent="0.25">
      <c r="C6768" s="26">
        <v>6766</v>
      </c>
    </row>
    <row r="6769" spans="3:3" x14ac:dyDescent="0.25">
      <c r="C6769" s="26">
        <v>6767</v>
      </c>
    </row>
    <row r="6770" spans="3:3" x14ac:dyDescent="0.25">
      <c r="C6770" s="26">
        <v>6768</v>
      </c>
    </row>
    <row r="6771" spans="3:3" x14ac:dyDescent="0.25">
      <c r="C6771" s="26">
        <v>6769</v>
      </c>
    </row>
    <row r="6772" spans="3:3" x14ac:dyDescent="0.25">
      <c r="C6772" s="26">
        <v>6770</v>
      </c>
    </row>
    <row r="6773" spans="3:3" x14ac:dyDescent="0.25">
      <c r="C6773" s="26">
        <v>6771</v>
      </c>
    </row>
    <row r="6774" spans="3:3" x14ac:dyDescent="0.25">
      <c r="C6774" s="26">
        <v>6772</v>
      </c>
    </row>
    <row r="6775" spans="3:3" x14ac:dyDescent="0.25">
      <c r="C6775" s="26">
        <v>6773</v>
      </c>
    </row>
    <row r="6776" spans="3:3" x14ac:dyDescent="0.25">
      <c r="C6776" s="26">
        <v>6774</v>
      </c>
    </row>
    <row r="6777" spans="3:3" x14ac:dyDescent="0.25">
      <c r="C6777" s="26">
        <v>6775</v>
      </c>
    </row>
    <row r="6778" spans="3:3" x14ac:dyDescent="0.25">
      <c r="C6778" s="26">
        <v>6776</v>
      </c>
    </row>
    <row r="6779" spans="3:3" x14ac:dyDescent="0.25">
      <c r="C6779" s="26">
        <v>6777</v>
      </c>
    </row>
    <row r="6780" spans="3:3" x14ac:dyDescent="0.25">
      <c r="C6780" s="26">
        <v>6778</v>
      </c>
    </row>
    <row r="6781" spans="3:3" x14ac:dyDescent="0.25">
      <c r="C6781" s="26">
        <v>6779</v>
      </c>
    </row>
    <row r="6782" spans="3:3" x14ac:dyDescent="0.25">
      <c r="C6782" s="26">
        <v>6780</v>
      </c>
    </row>
    <row r="6783" spans="3:3" x14ac:dyDescent="0.25">
      <c r="C6783" s="26">
        <v>6781</v>
      </c>
    </row>
    <row r="6784" spans="3:3" x14ac:dyDescent="0.25">
      <c r="C6784" s="26">
        <v>6782</v>
      </c>
    </row>
    <row r="6785" spans="3:3" x14ac:dyDescent="0.25">
      <c r="C6785" s="26">
        <v>6783</v>
      </c>
    </row>
    <row r="6786" spans="3:3" x14ac:dyDescent="0.25">
      <c r="C6786" s="26">
        <v>6784</v>
      </c>
    </row>
    <row r="6787" spans="3:3" x14ac:dyDescent="0.25">
      <c r="C6787" s="26">
        <v>6785</v>
      </c>
    </row>
    <row r="6788" spans="3:3" x14ac:dyDescent="0.25">
      <c r="C6788" s="26">
        <v>6786</v>
      </c>
    </row>
    <row r="6789" spans="3:3" x14ac:dyDescent="0.25">
      <c r="C6789" s="26">
        <v>6787</v>
      </c>
    </row>
    <row r="6790" spans="3:3" x14ac:dyDescent="0.25">
      <c r="C6790" s="26">
        <v>6788</v>
      </c>
    </row>
    <row r="6791" spans="3:3" x14ac:dyDescent="0.25">
      <c r="C6791" s="26">
        <v>6789</v>
      </c>
    </row>
    <row r="6792" spans="3:3" x14ac:dyDescent="0.25">
      <c r="C6792" s="26">
        <v>6790</v>
      </c>
    </row>
    <row r="6793" spans="3:3" x14ac:dyDescent="0.25">
      <c r="C6793" s="26">
        <v>6791</v>
      </c>
    </row>
    <row r="6794" spans="3:3" x14ac:dyDescent="0.25">
      <c r="C6794" s="26">
        <v>6792</v>
      </c>
    </row>
    <row r="6795" spans="3:3" x14ac:dyDescent="0.25">
      <c r="C6795" s="26">
        <v>6793</v>
      </c>
    </row>
    <row r="6796" spans="3:3" x14ac:dyDescent="0.25">
      <c r="C6796" s="26">
        <v>6794</v>
      </c>
    </row>
    <row r="6797" spans="3:3" x14ac:dyDescent="0.25">
      <c r="C6797" s="26">
        <v>6795</v>
      </c>
    </row>
    <row r="6798" spans="3:3" x14ac:dyDescent="0.25">
      <c r="C6798" s="26">
        <v>6796</v>
      </c>
    </row>
    <row r="6799" spans="3:3" x14ac:dyDescent="0.25">
      <c r="C6799" s="26">
        <v>6797</v>
      </c>
    </row>
    <row r="6800" spans="3:3" x14ac:dyDescent="0.25">
      <c r="C6800" s="26">
        <v>6798</v>
      </c>
    </row>
    <row r="6801" spans="3:3" x14ac:dyDescent="0.25">
      <c r="C6801" s="26">
        <v>6799</v>
      </c>
    </row>
    <row r="6802" spans="3:3" x14ac:dyDescent="0.25">
      <c r="C6802" s="26">
        <v>6800</v>
      </c>
    </row>
    <row r="6803" spans="3:3" x14ac:dyDescent="0.25">
      <c r="C6803" s="26">
        <v>6801</v>
      </c>
    </row>
    <row r="6804" spans="3:3" x14ac:dyDescent="0.25">
      <c r="C6804" s="26">
        <v>6802</v>
      </c>
    </row>
    <row r="6805" spans="3:3" x14ac:dyDescent="0.25">
      <c r="C6805" s="26">
        <v>6803</v>
      </c>
    </row>
    <row r="6806" spans="3:3" x14ac:dyDescent="0.25">
      <c r="C6806" s="26">
        <v>6804</v>
      </c>
    </row>
    <row r="6807" spans="3:3" x14ac:dyDescent="0.25">
      <c r="C6807" s="26">
        <v>6805</v>
      </c>
    </row>
    <row r="6808" spans="3:3" x14ac:dyDescent="0.25">
      <c r="C6808" s="26">
        <v>6806</v>
      </c>
    </row>
    <row r="6809" spans="3:3" x14ac:dyDescent="0.25">
      <c r="C6809" s="26">
        <v>6807</v>
      </c>
    </row>
    <row r="6810" spans="3:3" x14ac:dyDescent="0.25">
      <c r="C6810" s="26">
        <v>6808</v>
      </c>
    </row>
    <row r="6811" spans="3:3" x14ac:dyDescent="0.25">
      <c r="C6811" s="26">
        <v>6809</v>
      </c>
    </row>
    <row r="6812" spans="3:3" x14ac:dyDescent="0.25">
      <c r="C6812" s="26">
        <v>6810</v>
      </c>
    </row>
    <row r="6813" spans="3:3" x14ac:dyDescent="0.25">
      <c r="C6813" s="26">
        <v>6811</v>
      </c>
    </row>
    <row r="6814" spans="3:3" x14ac:dyDescent="0.25">
      <c r="C6814" s="26">
        <v>6812</v>
      </c>
    </row>
    <row r="6815" spans="3:3" x14ac:dyDescent="0.25">
      <c r="C6815" s="26">
        <v>6813</v>
      </c>
    </row>
    <row r="6816" spans="3:3" x14ac:dyDescent="0.25">
      <c r="C6816" s="26">
        <v>6814</v>
      </c>
    </row>
    <row r="6817" spans="3:3" x14ac:dyDescent="0.25">
      <c r="C6817" s="26">
        <v>6815</v>
      </c>
    </row>
    <row r="6818" spans="3:3" x14ac:dyDescent="0.25">
      <c r="C6818" s="26">
        <v>6816</v>
      </c>
    </row>
    <row r="6819" spans="3:3" x14ac:dyDescent="0.25">
      <c r="C6819" s="26">
        <v>6817</v>
      </c>
    </row>
    <row r="6820" spans="3:3" x14ac:dyDescent="0.25">
      <c r="C6820" s="26">
        <v>6818</v>
      </c>
    </row>
    <row r="6821" spans="3:3" x14ac:dyDescent="0.25">
      <c r="C6821" s="26">
        <v>6819</v>
      </c>
    </row>
    <row r="6822" spans="3:3" x14ac:dyDescent="0.25">
      <c r="C6822" s="26">
        <v>6820</v>
      </c>
    </row>
    <row r="6823" spans="3:3" x14ac:dyDescent="0.25">
      <c r="C6823" s="26">
        <v>6821</v>
      </c>
    </row>
    <row r="6824" spans="3:3" x14ac:dyDescent="0.25">
      <c r="C6824" s="26">
        <v>6822</v>
      </c>
    </row>
    <row r="6825" spans="3:3" x14ac:dyDescent="0.25">
      <c r="C6825" s="26">
        <v>6823</v>
      </c>
    </row>
    <row r="6826" spans="3:3" x14ac:dyDescent="0.25">
      <c r="C6826" s="26">
        <v>6824</v>
      </c>
    </row>
    <row r="6827" spans="3:3" x14ac:dyDescent="0.25">
      <c r="C6827" s="26">
        <v>6825</v>
      </c>
    </row>
    <row r="6828" spans="3:3" x14ac:dyDescent="0.25">
      <c r="C6828" s="26">
        <v>6826</v>
      </c>
    </row>
    <row r="6829" spans="3:3" x14ac:dyDescent="0.25">
      <c r="C6829" s="26">
        <v>6827</v>
      </c>
    </row>
    <row r="6830" spans="3:3" x14ac:dyDescent="0.25">
      <c r="C6830" s="26">
        <v>6828</v>
      </c>
    </row>
    <row r="6831" spans="3:3" x14ac:dyDescent="0.25">
      <c r="C6831" s="26">
        <v>6829</v>
      </c>
    </row>
    <row r="6832" spans="3:3" x14ac:dyDescent="0.25">
      <c r="C6832" s="26">
        <v>6830</v>
      </c>
    </row>
    <row r="6833" spans="3:3" x14ac:dyDescent="0.25">
      <c r="C6833" s="26">
        <v>6831</v>
      </c>
    </row>
    <row r="6834" spans="3:3" x14ac:dyDescent="0.25">
      <c r="C6834" s="26">
        <v>6832</v>
      </c>
    </row>
    <row r="6835" spans="3:3" x14ac:dyDescent="0.25">
      <c r="C6835" s="26">
        <v>6833</v>
      </c>
    </row>
    <row r="6836" spans="3:3" x14ac:dyDescent="0.25">
      <c r="C6836" s="26">
        <v>6834</v>
      </c>
    </row>
    <row r="6837" spans="3:3" x14ac:dyDescent="0.25">
      <c r="C6837" s="26">
        <v>6835</v>
      </c>
    </row>
    <row r="6838" spans="3:3" x14ac:dyDescent="0.25">
      <c r="C6838" s="26">
        <v>6836</v>
      </c>
    </row>
    <row r="6839" spans="3:3" x14ac:dyDescent="0.25">
      <c r="C6839" s="26">
        <v>6837</v>
      </c>
    </row>
    <row r="6840" spans="3:3" x14ac:dyDescent="0.25">
      <c r="C6840" s="26">
        <v>6838</v>
      </c>
    </row>
    <row r="6841" spans="3:3" x14ac:dyDescent="0.25">
      <c r="C6841" s="26">
        <v>6839</v>
      </c>
    </row>
    <row r="6842" spans="3:3" x14ac:dyDescent="0.25">
      <c r="C6842" s="26">
        <v>6840</v>
      </c>
    </row>
    <row r="6843" spans="3:3" x14ac:dyDescent="0.25">
      <c r="C6843" s="26">
        <v>6841</v>
      </c>
    </row>
    <row r="6844" spans="3:3" x14ac:dyDescent="0.25">
      <c r="C6844" s="26">
        <v>6842</v>
      </c>
    </row>
    <row r="6845" spans="3:3" x14ac:dyDescent="0.25">
      <c r="C6845" s="26">
        <v>6843</v>
      </c>
    </row>
    <row r="6846" spans="3:3" x14ac:dyDescent="0.25">
      <c r="C6846" s="26">
        <v>6844</v>
      </c>
    </row>
    <row r="6847" spans="3:3" x14ac:dyDescent="0.25">
      <c r="C6847" s="26">
        <v>6845</v>
      </c>
    </row>
    <row r="6848" spans="3:3" x14ac:dyDescent="0.25">
      <c r="C6848" s="26">
        <v>6846</v>
      </c>
    </row>
    <row r="6849" spans="3:3" x14ac:dyDescent="0.25">
      <c r="C6849" s="26">
        <v>6847</v>
      </c>
    </row>
    <row r="6850" spans="3:3" x14ac:dyDescent="0.25">
      <c r="C6850" s="26">
        <v>6848</v>
      </c>
    </row>
    <row r="6851" spans="3:3" x14ac:dyDescent="0.25">
      <c r="C6851" s="26">
        <v>6849</v>
      </c>
    </row>
    <row r="6852" spans="3:3" x14ac:dyDescent="0.25">
      <c r="C6852" s="26">
        <v>6850</v>
      </c>
    </row>
    <row r="6853" spans="3:3" x14ac:dyDescent="0.25">
      <c r="C6853" s="26">
        <v>6851</v>
      </c>
    </row>
    <row r="6854" spans="3:3" x14ac:dyDescent="0.25">
      <c r="C6854" s="26">
        <v>6852</v>
      </c>
    </row>
    <row r="6855" spans="3:3" x14ac:dyDescent="0.25">
      <c r="C6855" s="26">
        <v>6853</v>
      </c>
    </row>
    <row r="6856" spans="3:3" x14ac:dyDescent="0.25">
      <c r="C6856" s="26">
        <v>6854</v>
      </c>
    </row>
    <row r="6857" spans="3:3" x14ac:dyDescent="0.25">
      <c r="C6857" s="26">
        <v>6855</v>
      </c>
    </row>
    <row r="6858" spans="3:3" x14ac:dyDescent="0.25">
      <c r="C6858" s="26">
        <v>6856</v>
      </c>
    </row>
    <row r="6859" spans="3:3" x14ac:dyDescent="0.25">
      <c r="C6859" s="26">
        <v>6857</v>
      </c>
    </row>
    <row r="6860" spans="3:3" x14ac:dyDescent="0.25">
      <c r="C6860" s="26">
        <v>6858</v>
      </c>
    </row>
    <row r="6861" spans="3:3" x14ac:dyDescent="0.25">
      <c r="C6861" s="26">
        <v>6859</v>
      </c>
    </row>
    <row r="6862" spans="3:3" x14ac:dyDescent="0.25">
      <c r="C6862" s="26">
        <v>6860</v>
      </c>
    </row>
    <row r="6863" spans="3:3" x14ac:dyDescent="0.25">
      <c r="C6863" s="26">
        <v>6861</v>
      </c>
    </row>
    <row r="6864" spans="3:3" x14ac:dyDescent="0.25">
      <c r="C6864" s="26">
        <v>6862</v>
      </c>
    </row>
    <row r="6865" spans="3:3" x14ac:dyDescent="0.25">
      <c r="C6865" s="26">
        <v>6863</v>
      </c>
    </row>
    <row r="6866" spans="3:3" x14ac:dyDescent="0.25">
      <c r="C6866" s="26">
        <v>6864</v>
      </c>
    </row>
    <row r="6867" spans="3:3" x14ac:dyDescent="0.25">
      <c r="C6867" s="26">
        <v>6865</v>
      </c>
    </row>
    <row r="6868" spans="3:3" x14ac:dyDescent="0.25">
      <c r="C6868" s="26">
        <v>6866</v>
      </c>
    </row>
    <row r="6869" spans="3:3" x14ac:dyDescent="0.25">
      <c r="C6869" s="26">
        <v>6867</v>
      </c>
    </row>
    <row r="6870" spans="3:3" x14ac:dyDescent="0.25">
      <c r="C6870" s="26">
        <v>6868</v>
      </c>
    </row>
    <row r="6871" spans="3:3" x14ac:dyDescent="0.25">
      <c r="C6871" s="26">
        <v>6869</v>
      </c>
    </row>
    <row r="6872" spans="3:3" x14ac:dyDescent="0.25">
      <c r="C6872" s="26">
        <v>6870</v>
      </c>
    </row>
    <row r="6873" spans="3:3" x14ac:dyDescent="0.25">
      <c r="C6873" s="26">
        <v>6871</v>
      </c>
    </row>
    <row r="6874" spans="3:3" x14ac:dyDescent="0.25">
      <c r="C6874" s="26">
        <v>6872</v>
      </c>
    </row>
    <row r="6875" spans="3:3" x14ac:dyDescent="0.25">
      <c r="C6875" s="26">
        <v>6873</v>
      </c>
    </row>
    <row r="6876" spans="3:3" x14ac:dyDescent="0.25">
      <c r="C6876" s="26">
        <v>6874</v>
      </c>
    </row>
    <row r="6877" spans="3:3" x14ac:dyDescent="0.25">
      <c r="C6877" s="26">
        <v>6875</v>
      </c>
    </row>
    <row r="6878" spans="3:3" x14ac:dyDescent="0.25">
      <c r="C6878" s="26">
        <v>6876</v>
      </c>
    </row>
    <row r="6879" spans="3:3" x14ac:dyDescent="0.25">
      <c r="C6879" s="26">
        <v>6877</v>
      </c>
    </row>
    <row r="6880" spans="3:3" x14ac:dyDescent="0.25">
      <c r="C6880" s="26">
        <v>6878</v>
      </c>
    </row>
    <row r="6881" spans="3:3" x14ac:dyDescent="0.25">
      <c r="C6881" s="26">
        <v>6879</v>
      </c>
    </row>
    <row r="6882" spans="3:3" x14ac:dyDescent="0.25">
      <c r="C6882" s="26">
        <v>6880</v>
      </c>
    </row>
    <row r="6883" spans="3:3" x14ac:dyDescent="0.25">
      <c r="C6883" s="26">
        <v>6881</v>
      </c>
    </row>
    <row r="6884" spans="3:3" x14ac:dyDescent="0.25">
      <c r="C6884" s="26">
        <v>6882</v>
      </c>
    </row>
    <row r="6885" spans="3:3" x14ac:dyDescent="0.25">
      <c r="C6885" s="26">
        <v>6883</v>
      </c>
    </row>
    <row r="6886" spans="3:3" x14ac:dyDescent="0.25">
      <c r="C6886" s="26">
        <v>6884</v>
      </c>
    </row>
    <row r="6887" spans="3:3" x14ac:dyDescent="0.25">
      <c r="C6887" s="26">
        <v>6885</v>
      </c>
    </row>
    <row r="6888" spans="3:3" x14ac:dyDescent="0.25">
      <c r="C6888" s="26">
        <v>6886</v>
      </c>
    </row>
    <row r="6889" spans="3:3" x14ac:dyDescent="0.25">
      <c r="C6889" s="26">
        <v>6887</v>
      </c>
    </row>
    <row r="6890" spans="3:3" x14ac:dyDescent="0.25">
      <c r="C6890" s="26">
        <v>6888</v>
      </c>
    </row>
    <row r="6891" spans="3:3" x14ac:dyDescent="0.25">
      <c r="C6891" s="26">
        <v>6889</v>
      </c>
    </row>
    <row r="6892" spans="3:3" x14ac:dyDescent="0.25">
      <c r="C6892" s="26">
        <v>6890</v>
      </c>
    </row>
    <row r="6893" spans="3:3" x14ac:dyDescent="0.25">
      <c r="C6893" s="26">
        <v>6891</v>
      </c>
    </row>
    <row r="6894" spans="3:3" x14ac:dyDescent="0.25">
      <c r="C6894" s="26">
        <v>6892</v>
      </c>
    </row>
    <row r="6895" spans="3:3" x14ac:dyDescent="0.25">
      <c r="C6895" s="26">
        <v>6893</v>
      </c>
    </row>
    <row r="6896" spans="3:3" x14ac:dyDescent="0.25">
      <c r="C6896" s="26">
        <v>6894</v>
      </c>
    </row>
    <row r="6897" spans="3:3" x14ac:dyDescent="0.25">
      <c r="C6897" s="26">
        <v>6895</v>
      </c>
    </row>
    <row r="6898" spans="3:3" x14ac:dyDescent="0.25">
      <c r="C6898" s="26">
        <v>6896</v>
      </c>
    </row>
    <row r="6899" spans="3:3" x14ac:dyDescent="0.25">
      <c r="C6899" s="26">
        <v>6897</v>
      </c>
    </row>
    <row r="6900" spans="3:3" x14ac:dyDescent="0.25">
      <c r="C6900" s="26">
        <v>6898</v>
      </c>
    </row>
    <row r="6901" spans="3:3" x14ac:dyDescent="0.25">
      <c r="C6901" s="26">
        <v>6899</v>
      </c>
    </row>
    <row r="6902" spans="3:3" x14ac:dyDescent="0.25">
      <c r="C6902" s="26">
        <v>6900</v>
      </c>
    </row>
    <row r="6903" spans="3:3" x14ac:dyDescent="0.25">
      <c r="C6903" s="26">
        <v>6901</v>
      </c>
    </row>
    <row r="6904" spans="3:3" x14ac:dyDescent="0.25">
      <c r="C6904" s="26">
        <v>6902</v>
      </c>
    </row>
    <row r="6905" spans="3:3" x14ac:dyDescent="0.25">
      <c r="C6905" s="26">
        <v>6903</v>
      </c>
    </row>
    <row r="6906" spans="3:3" x14ac:dyDescent="0.25">
      <c r="C6906" s="26">
        <v>6904</v>
      </c>
    </row>
    <row r="6907" spans="3:3" x14ac:dyDescent="0.25">
      <c r="C6907" s="26">
        <v>6905</v>
      </c>
    </row>
    <row r="6908" spans="3:3" x14ac:dyDescent="0.25">
      <c r="C6908" s="26">
        <v>6906</v>
      </c>
    </row>
    <row r="6909" spans="3:3" x14ac:dyDescent="0.25">
      <c r="C6909" s="26">
        <v>6907</v>
      </c>
    </row>
    <row r="6910" spans="3:3" x14ac:dyDescent="0.25">
      <c r="C6910" s="26">
        <v>6908</v>
      </c>
    </row>
    <row r="6911" spans="3:3" x14ac:dyDescent="0.25">
      <c r="C6911" s="26">
        <v>6909</v>
      </c>
    </row>
    <row r="6912" spans="3:3" x14ac:dyDescent="0.25">
      <c r="C6912" s="26">
        <v>6910</v>
      </c>
    </row>
    <row r="6913" spans="3:3" x14ac:dyDescent="0.25">
      <c r="C6913" s="26">
        <v>6911</v>
      </c>
    </row>
    <row r="6914" spans="3:3" x14ac:dyDescent="0.25">
      <c r="C6914" s="26">
        <v>6912</v>
      </c>
    </row>
    <row r="6915" spans="3:3" x14ac:dyDescent="0.25">
      <c r="C6915" s="26">
        <v>6913</v>
      </c>
    </row>
    <row r="6916" spans="3:3" x14ac:dyDescent="0.25">
      <c r="C6916" s="26">
        <v>6914</v>
      </c>
    </row>
    <row r="6917" spans="3:3" x14ac:dyDescent="0.25">
      <c r="C6917" s="26">
        <v>6915</v>
      </c>
    </row>
    <row r="6918" spans="3:3" x14ac:dyDescent="0.25">
      <c r="C6918" s="26">
        <v>6916</v>
      </c>
    </row>
    <row r="6919" spans="3:3" x14ac:dyDescent="0.25">
      <c r="C6919" s="26">
        <v>6917</v>
      </c>
    </row>
    <row r="6920" spans="3:3" x14ac:dyDescent="0.25">
      <c r="C6920" s="26">
        <v>6918</v>
      </c>
    </row>
    <row r="6921" spans="3:3" x14ac:dyDescent="0.25">
      <c r="C6921" s="26">
        <v>6919</v>
      </c>
    </row>
    <row r="6922" spans="3:3" x14ac:dyDescent="0.25">
      <c r="C6922" s="26">
        <v>6920</v>
      </c>
    </row>
    <row r="6923" spans="3:3" x14ac:dyDescent="0.25">
      <c r="C6923" s="26">
        <v>6921</v>
      </c>
    </row>
    <row r="6924" spans="3:3" x14ac:dyDescent="0.25">
      <c r="C6924" s="26">
        <v>6922</v>
      </c>
    </row>
    <row r="6925" spans="3:3" x14ac:dyDescent="0.25">
      <c r="C6925" s="26">
        <v>6923</v>
      </c>
    </row>
    <row r="6926" spans="3:3" x14ac:dyDescent="0.25">
      <c r="C6926" s="26">
        <v>6924</v>
      </c>
    </row>
    <row r="6927" spans="3:3" x14ac:dyDescent="0.25">
      <c r="C6927" s="26">
        <v>6925</v>
      </c>
    </row>
    <row r="6928" spans="3:3" x14ac:dyDescent="0.25">
      <c r="C6928" s="26">
        <v>6926</v>
      </c>
    </row>
    <row r="6929" spans="3:3" x14ac:dyDescent="0.25">
      <c r="C6929" s="26">
        <v>6927</v>
      </c>
    </row>
    <row r="6930" spans="3:3" x14ac:dyDescent="0.25">
      <c r="C6930" s="26">
        <v>6928</v>
      </c>
    </row>
    <row r="6931" spans="3:3" x14ac:dyDescent="0.25">
      <c r="C6931" s="26">
        <v>6929</v>
      </c>
    </row>
    <row r="6932" spans="3:3" x14ac:dyDescent="0.25">
      <c r="C6932" s="26">
        <v>6930</v>
      </c>
    </row>
    <row r="6933" spans="3:3" x14ac:dyDescent="0.25">
      <c r="C6933" s="26">
        <v>6931</v>
      </c>
    </row>
    <row r="6934" spans="3:3" x14ac:dyDescent="0.25">
      <c r="C6934" s="26">
        <v>6932</v>
      </c>
    </row>
    <row r="6935" spans="3:3" x14ac:dyDescent="0.25">
      <c r="C6935" s="26">
        <v>6933</v>
      </c>
    </row>
    <row r="6936" spans="3:3" x14ac:dyDescent="0.25">
      <c r="C6936" s="26">
        <v>6934</v>
      </c>
    </row>
    <row r="6937" spans="3:3" x14ac:dyDescent="0.25">
      <c r="C6937" s="26">
        <v>6935</v>
      </c>
    </row>
    <row r="6938" spans="3:3" x14ac:dyDescent="0.25">
      <c r="C6938" s="26">
        <v>6936</v>
      </c>
    </row>
    <row r="6939" spans="3:3" x14ac:dyDescent="0.25">
      <c r="C6939" s="26">
        <v>6937</v>
      </c>
    </row>
    <row r="6940" spans="3:3" x14ac:dyDescent="0.25">
      <c r="C6940" s="26">
        <v>6938</v>
      </c>
    </row>
    <row r="6941" spans="3:3" x14ac:dyDescent="0.25">
      <c r="C6941" s="26">
        <v>6939</v>
      </c>
    </row>
    <row r="6942" spans="3:3" x14ac:dyDescent="0.25">
      <c r="C6942" s="26">
        <v>6940</v>
      </c>
    </row>
    <row r="6943" spans="3:3" x14ac:dyDescent="0.25">
      <c r="C6943" s="26">
        <v>6941</v>
      </c>
    </row>
    <row r="6944" spans="3:3" x14ac:dyDescent="0.25">
      <c r="C6944" s="26">
        <v>6942</v>
      </c>
    </row>
    <row r="6945" spans="3:3" x14ac:dyDescent="0.25">
      <c r="C6945" s="26">
        <v>6943</v>
      </c>
    </row>
    <row r="6946" spans="3:3" x14ac:dyDescent="0.25">
      <c r="C6946" s="26">
        <v>6944</v>
      </c>
    </row>
    <row r="6947" spans="3:3" x14ac:dyDescent="0.25">
      <c r="C6947" s="26">
        <v>6945</v>
      </c>
    </row>
    <row r="6948" spans="3:3" x14ac:dyDescent="0.25">
      <c r="C6948" s="26">
        <v>6946</v>
      </c>
    </row>
    <row r="6949" spans="3:3" x14ac:dyDescent="0.25">
      <c r="C6949" s="26">
        <v>6947</v>
      </c>
    </row>
    <row r="6950" spans="3:3" x14ac:dyDescent="0.25">
      <c r="C6950" s="26">
        <v>6948</v>
      </c>
    </row>
    <row r="6951" spans="3:3" x14ac:dyDescent="0.25">
      <c r="C6951" s="26">
        <v>6949</v>
      </c>
    </row>
    <row r="6952" spans="3:3" x14ac:dyDescent="0.25">
      <c r="C6952" s="26">
        <v>6950</v>
      </c>
    </row>
    <row r="6953" spans="3:3" x14ac:dyDescent="0.25">
      <c r="C6953" s="26">
        <v>6951</v>
      </c>
    </row>
    <row r="6954" spans="3:3" x14ac:dyDescent="0.25">
      <c r="C6954" s="26">
        <v>6952</v>
      </c>
    </row>
    <row r="6955" spans="3:3" x14ac:dyDescent="0.25">
      <c r="C6955" s="26">
        <v>6953</v>
      </c>
    </row>
    <row r="6956" spans="3:3" x14ac:dyDescent="0.25">
      <c r="C6956" s="26">
        <v>6954</v>
      </c>
    </row>
    <row r="6957" spans="3:3" x14ac:dyDescent="0.25">
      <c r="C6957" s="26">
        <v>6955</v>
      </c>
    </row>
    <row r="6958" spans="3:3" x14ac:dyDescent="0.25">
      <c r="C6958" s="26">
        <v>6956</v>
      </c>
    </row>
    <row r="6959" spans="3:3" x14ac:dyDescent="0.25">
      <c r="C6959" s="26">
        <v>6957</v>
      </c>
    </row>
    <row r="6960" spans="3:3" x14ac:dyDescent="0.25">
      <c r="C6960" s="26">
        <v>6958</v>
      </c>
    </row>
    <row r="6961" spans="3:3" x14ac:dyDescent="0.25">
      <c r="C6961" s="26">
        <v>6959</v>
      </c>
    </row>
    <row r="6962" spans="3:3" x14ac:dyDescent="0.25">
      <c r="C6962" s="26">
        <v>6960</v>
      </c>
    </row>
    <row r="6963" spans="3:3" x14ac:dyDescent="0.25">
      <c r="C6963" s="26">
        <v>6961</v>
      </c>
    </row>
    <row r="6964" spans="3:3" x14ac:dyDescent="0.25">
      <c r="C6964" s="26">
        <v>6962</v>
      </c>
    </row>
    <row r="6965" spans="3:3" x14ac:dyDescent="0.25">
      <c r="C6965" s="26">
        <v>6963</v>
      </c>
    </row>
    <row r="6966" spans="3:3" x14ac:dyDescent="0.25">
      <c r="C6966" s="26">
        <v>6964</v>
      </c>
    </row>
    <row r="6967" spans="3:3" x14ac:dyDescent="0.25">
      <c r="C6967" s="26">
        <v>6965</v>
      </c>
    </row>
    <row r="6968" spans="3:3" x14ac:dyDescent="0.25">
      <c r="C6968" s="26">
        <v>6966</v>
      </c>
    </row>
    <row r="6969" spans="3:3" x14ac:dyDescent="0.25">
      <c r="C6969" s="26">
        <v>6967</v>
      </c>
    </row>
    <row r="6970" spans="3:3" x14ac:dyDescent="0.25">
      <c r="C6970" s="26">
        <v>6968</v>
      </c>
    </row>
    <row r="6971" spans="3:3" x14ac:dyDescent="0.25">
      <c r="C6971" s="26">
        <v>6969</v>
      </c>
    </row>
    <row r="6972" spans="3:3" x14ac:dyDescent="0.25">
      <c r="C6972" s="26">
        <v>6970</v>
      </c>
    </row>
    <row r="6973" spans="3:3" x14ac:dyDescent="0.25">
      <c r="C6973" s="26">
        <v>6971</v>
      </c>
    </row>
    <row r="6974" spans="3:3" x14ac:dyDescent="0.25">
      <c r="C6974" s="26">
        <v>6972</v>
      </c>
    </row>
    <row r="6975" spans="3:3" x14ac:dyDescent="0.25">
      <c r="C6975" s="26">
        <v>6973</v>
      </c>
    </row>
    <row r="6976" spans="3:3" x14ac:dyDescent="0.25">
      <c r="C6976" s="26">
        <v>6974</v>
      </c>
    </row>
    <row r="6977" spans="3:3" x14ac:dyDescent="0.25">
      <c r="C6977" s="26">
        <v>6975</v>
      </c>
    </row>
    <row r="6978" spans="3:3" x14ac:dyDescent="0.25">
      <c r="C6978" s="26">
        <v>6976</v>
      </c>
    </row>
    <row r="6979" spans="3:3" x14ac:dyDescent="0.25">
      <c r="C6979" s="26">
        <v>6977</v>
      </c>
    </row>
    <row r="6980" spans="3:3" x14ac:dyDescent="0.25">
      <c r="C6980" s="26">
        <v>6978</v>
      </c>
    </row>
    <row r="6981" spans="3:3" x14ac:dyDescent="0.25">
      <c r="C6981" s="26">
        <v>6979</v>
      </c>
    </row>
    <row r="6982" spans="3:3" x14ac:dyDescent="0.25">
      <c r="C6982" s="26">
        <v>6980</v>
      </c>
    </row>
    <row r="6983" spans="3:3" x14ac:dyDescent="0.25">
      <c r="C6983" s="26">
        <v>6981</v>
      </c>
    </row>
    <row r="6984" spans="3:3" x14ac:dyDescent="0.25">
      <c r="C6984" s="26">
        <v>6982</v>
      </c>
    </row>
    <row r="6985" spans="3:3" x14ac:dyDescent="0.25">
      <c r="C6985" s="26">
        <v>6983</v>
      </c>
    </row>
    <row r="6986" spans="3:3" x14ac:dyDescent="0.25">
      <c r="C6986" s="26">
        <v>6984</v>
      </c>
    </row>
    <row r="6987" spans="3:3" x14ac:dyDescent="0.25">
      <c r="C6987" s="26">
        <v>6985</v>
      </c>
    </row>
    <row r="6988" spans="3:3" x14ac:dyDescent="0.25">
      <c r="C6988" s="26">
        <v>6986</v>
      </c>
    </row>
    <row r="6989" spans="3:3" x14ac:dyDescent="0.25">
      <c r="C6989" s="26">
        <v>6987</v>
      </c>
    </row>
    <row r="6990" spans="3:3" x14ac:dyDescent="0.25">
      <c r="C6990" s="26">
        <v>6988</v>
      </c>
    </row>
    <row r="6991" spans="3:3" x14ac:dyDescent="0.25">
      <c r="C6991" s="26">
        <v>6989</v>
      </c>
    </row>
    <row r="6992" spans="3:3" x14ac:dyDescent="0.25">
      <c r="C6992" s="26">
        <v>6990</v>
      </c>
    </row>
    <row r="6993" spans="3:3" x14ac:dyDescent="0.25">
      <c r="C6993" s="26">
        <v>6991</v>
      </c>
    </row>
    <row r="6994" spans="3:3" x14ac:dyDescent="0.25">
      <c r="C6994" s="26">
        <v>6992</v>
      </c>
    </row>
    <row r="6995" spans="3:3" x14ac:dyDescent="0.25">
      <c r="C6995" s="26">
        <v>6993</v>
      </c>
    </row>
    <row r="6996" spans="3:3" x14ac:dyDescent="0.25">
      <c r="C6996" s="26">
        <v>6994</v>
      </c>
    </row>
    <row r="6997" spans="3:3" x14ac:dyDescent="0.25">
      <c r="C6997" s="26">
        <v>6995</v>
      </c>
    </row>
    <row r="6998" spans="3:3" x14ac:dyDescent="0.25">
      <c r="C6998" s="26">
        <v>6996</v>
      </c>
    </row>
    <row r="6999" spans="3:3" x14ac:dyDescent="0.25">
      <c r="C6999" s="26">
        <v>6997</v>
      </c>
    </row>
    <row r="7000" spans="3:3" x14ac:dyDescent="0.25">
      <c r="C7000" s="26">
        <v>6998</v>
      </c>
    </row>
    <row r="7001" spans="3:3" x14ac:dyDescent="0.25">
      <c r="C7001" s="26">
        <v>6999</v>
      </c>
    </row>
    <row r="7002" spans="3:3" x14ac:dyDescent="0.25">
      <c r="C7002" s="26">
        <v>7000</v>
      </c>
    </row>
    <row r="7003" spans="3:3" x14ac:dyDescent="0.25">
      <c r="C7003" s="26">
        <v>7001</v>
      </c>
    </row>
    <row r="7004" spans="3:3" x14ac:dyDescent="0.25">
      <c r="C7004" s="26">
        <v>7002</v>
      </c>
    </row>
    <row r="7005" spans="3:3" x14ac:dyDescent="0.25">
      <c r="C7005" s="26">
        <v>7003</v>
      </c>
    </row>
    <row r="7006" spans="3:3" x14ac:dyDescent="0.25">
      <c r="C7006" s="26">
        <v>7004</v>
      </c>
    </row>
    <row r="7007" spans="3:3" x14ac:dyDescent="0.25">
      <c r="C7007" s="26">
        <v>7005</v>
      </c>
    </row>
    <row r="7008" spans="3:3" x14ac:dyDescent="0.25">
      <c r="C7008" s="26">
        <v>7006</v>
      </c>
    </row>
    <row r="7009" spans="3:3" x14ac:dyDescent="0.25">
      <c r="C7009" s="26">
        <v>7007</v>
      </c>
    </row>
    <row r="7010" spans="3:3" x14ac:dyDescent="0.25">
      <c r="C7010" s="26">
        <v>7008</v>
      </c>
    </row>
    <row r="7011" spans="3:3" x14ac:dyDescent="0.25">
      <c r="C7011" s="26">
        <v>7009</v>
      </c>
    </row>
    <row r="7012" spans="3:3" x14ac:dyDescent="0.25">
      <c r="C7012" s="26">
        <v>7010</v>
      </c>
    </row>
    <row r="7013" spans="3:3" x14ac:dyDescent="0.25">
      <c r="C7013" s="26">
        <v>7011</v>
      </c>
    </row>
    <row r="7014" spans="3:3" x14ac:dyDescent="0.25">
      <c r="C7014" s="26">
        <v>7012</v>
      </c>
    </row>
    <row r="7015" spans="3:3" x14ac:dyDescent="0.25">
      <c r="C7015" s="26">
        <v>7013</v>
      </c>
    </row>
    <row r="7016" spans="3:3" x14ac:dyDescent="0.25">
      <c r="C7016" s="26">
        <v>7014</v>
      </c>
    </row>
    <row r="7017" spans="3:3" x14ac:dyDescent="0.25">
      <c r="C7017" s="26">
        <v>7015</v>
      </c>
    </row>
    <row r="7018" spans="3:3" x14ac:dyDescent="0.25">
      <c r="C7018" s="26">
        <v>7016</v>
      </c>
    </row>
    <row r="7019" spans="3:3" x14ac:dyDescent="0.25">
      <c r="C7019" s="26">
        <v>7017</v>
      </c>
    </row>
    <row r="7020" spans="3:3" x14ac:dyDescent="0.25">
      <c r="C7020" s="26">
        <v>7018</v>
      </c>
    </row>
    <row r="7021" spans="3:3" x14ac:dyDescent="0.25">
      <c r="C7021" s="26">
        <v>7019</v>
      </c>
    </row>
    <row r="7022" spans="3:3" x14ac:dyDescent="0.25">
      <c r="C7022" s="26">
        <v>7020</v>
      </c>
    </row>
    <row r="7023" spans="3:3" x14ac:dyDescent="0.25">
      <c r="C7023" s="26">
        <v>7021</v>
      </c>
    </row>
    <row r="7024" spans="3:3" x14ac:dyDescent="0.25">
      <c r="C7024" s="26">
        <v>7022</v>
      </c>
    </row>
    <row r="7025" spans="3:3" x14ac:dyDescent="0.25">
      <c r="C7025" s="26">
        <v>7023</v>
      </c>
    </row>
    <row r="7026" spans="3:3" x14ac:dyDescent="0.25">
      <c r="C7026" s="26">
        <v>7024</v>
      </c>
    </row>
    <row r="7027" spans="3:3" x14ac:dyDescent="0.25">
      <c r="C7027" s="26">
        <v>7025</v>
      </c>
    </row>
    <row r="7028" spans="3:3" x14ac:dyDescent="0.25">
      <c r="C7028" s="26">
        <v>7026</v>
      </c>
    </row>
    <row r="7029" spans="3:3" x14ac:dyDescent="0.25">
      <c r="C7029" s="26">
        <v>7027</v>
      </c>
    </row>
    <row r="7030" spans="3:3" x14ac:dyDescent="0.25">
      <c r="C7030" s="26">
        <v>7028</v>
      </c>
    </row>
    <row r="7031" spans="3:3" x14ac:dyDescent="0.25">
      <c r="C7031" s="26">
        <v>7029</v>
      </c>
    </row>
    <row r="7032" spans="3:3" x14ac:dyDescent="0.25">
      <c r="C7032" s="26">
        <v>7030</v>
      </c>
    </row>
    <row r="7033" spans="3:3" x14ac:dyDescent="0.25">
      <c r="C7033" s="26">
        <v>7031</v>
      </c>
    </row>
    <row r="7034" spans="3:3" x14ac:dyDescent="0.25">
      <c r="C7034" s="26">
        <v>7032</v>
      </c>
    </row>
    <row r="7035" spans="3:3" x14ac:dyDescent="0.25">
      <c r="C7035" s="26">
        <v>7033</v>
      </c>
    </row>
    <row r="7036" spans="3:3" x14ac:dyDescent="0.25">
      <c r="C7036" s="26">
        <v>7034</v>
      </c>
    </row>
    <row r="7037" spans="3:3" x14ac:dyDescent="0.25">
      <c r="C7037" s="26">
        <v>7035</v>
      </c>
    </row>
    <row r="7038" spans="3:3" x14ac:dyDescent="0.25">
      <c r="C7038" s="26">
        <v>7036</v>
      </c>
    </row>
    <row r="7039" spans="3:3" x14ac:dyDescent="0.25">
      <c r="C7039" s="26">
        <v>7037</v>
      </c>
    </row>
    <row r="7040" spans="3:3" x14ac:dyDescent="0.25">
      <c r="C7040" s="26">
        <v>7038</v>
      </c>
    </row>
    <row r="7041" spans="3:3" x14ac:dyDescent="0.25">
      <c r="C7041" s="26">
        <v>7039</v>
      </c>
    </row>
    <row r="7042" spans="3:3" x14ac:dyDescent="0.25">
      <c r="C7042" s="26">
        <v>7040</v>
      </c>
    </row>
    <row r="7043" spans="3:3" x14ac:dyDescent="0.25">
      <c r="C7043" s="26">
        <v>7041</v>
      </c>
    </row>
    <row r="7044" spans="3:3" x14ac:dyDescent="0.25">
      <c r="C7044" s="26">
        <v>7042</v>
      </c>
    </row>
    <row r="7045" spans="3:3" x14ac:dyDescent="0.25">
      <c r="C7045" s="26">
        <v>7043</v>
      </c>
    </row>
    <row r="7046" spans="3:3" x14ac:dyDescent="0.25">
      <c r="C7046" s="26">
        <v>7044</v>
      </c>
    </row>
    <row r="7047" spans="3:3" x14ac:dyDescent="0.25">
      <c r="C7047" s="26">
        <v>7045</v>
      </c>
    </row>
    <row r="7048" spans="3:3" x14ac:dyDescent="0.25">
      <c r="C7048" s="26">
        <v>7046</v>
      </c>
    </row>
    <row r="7049" spans="3:3" x14ac:dyDescent="0.25">
      <c r="C7049" s="26">
        <v>7047</v>
      </c>
    </row>
    <row r="7050" spans="3:3" x14ac:dyDescent="0.25">
      <c r="C7050" s="26">
        <v>7048</v>
      </c>
    </row>
    <row r="7051" spans="3:3" x14ac:dyDescent="0.25">
      <c r="C7051" s="26">
        <v>7049</v>
      </c>
    </row>
    <row r="7052" spans="3:3" x14ac:dyDescent="0.25">
      <c r="C7052" s="26">
        <v>7050</v>
      </c>
    </row>
    <row r="7053" spans="3:3" x14ac:dyDescent="0.25">
      <c r="C7053" s="26">
        <v>7051</v>
      </c>
    </row>
    <row r="7054" spans="3:3" x14ac:dyDescent="0.25">
      <c r="C7054" s="26">
        <v>7052</v>
      </c>
    </row>
    <row r="7055" spans="3:3" x14ac:dyDescent="0.25">
      <c r="C7055" s="26">
        <v>7053</v>
      </c>
    </row>
    <row r="7056" spans="3:3" x14ac:dyDescent="0.25">
      <c r="C7056" s="26">
        <v>7054</v>
      </c>
    </row>
    <row r="7057" spans="3:3" x14ac:dyDescent="0.25">
      <c r="C7057" s="26">
        <v>7055</v>
      </c>
    </row>
    <row r="7058" spans="3:3" x14ac:dyDescent="0.25">
      <c r="C7058" s="26">
        <v>7056</v>
      </c>
    </row>
    <row r="7059" spans="3:3" x14ac:dyDescent="0.25">
      <c r="C7059" s="26">
        <v>7057</v>
      </c>
    </row>
    <row r="7060" spans="3:3" x14ac:dyDescent="0.25">
      <c r="C7060" s="26">
        <v>7058</v>
      </c>
    </row>
    <row r="7061" spans="3:3" x14ac:dyDescent="0.25">
      <c r="C7061" s="26">
        <v>7059</v>
      </c>
    </row>
    <row r="7062" spans="3:3" x14ac:dyDescent="0.25">
      <c r="C7062" s="26">
        <v>7060</v>
      </c>
    </row>
    <row r="7063" spans="3:3" x14ac:dyDescent="0.25">
      <c r="C7063" s="26">
        <v>7061</v>
      </c>
    </row>
    <row r="7064" spans="3:3" x14ac:dyDescent="0.25">
      <c r="C7064" s="26">
        <v>7062</v>
      </c>
    </row>
    <row r="7065" spans="3:3" x14ac:dyDescent="0.25">
      <c r="C7065" s="26">
        <v>7063</v>
      </c>
    </row>
    <row r="7066" spans="3:3" x14ac:dyDescent="0.25">
      <c r="C7066" s="26">
        <v>7064</v>
      </c>
    </row>
    <row r="7067" spans="3:3" x14ac:dyDescent="0.25">
      <c r="C7067" s="26">
        <v>7065</v>
      </c>
    </row>
    <row r="7068" spans="3:3" x14ac:dyDescent="0.25">
      <c r="C7068" s="26">
        <v>7066</v>
      </c>
    </row>
    <row r="7069" spans="3:3" x14ac:dyDescent="0.25">
      <c r="C7069" s="26">
        <v>7067</v>
      </c>
    </row>
    <row r="7070" spans="3:3" x14ac:dyDescent="0.25">
      <c r="C7070" s="26">
        <v>7068</v>
      </c>
    </row>
    <row r="7071" spans="3:3" x14ac:dyDescent="0.25">
      <c r="C7071" s="26">
        <v>7069</v>
      </c>
    </row>
    <row r="7072" spans="3:3" x14ac:dyDescent="0.25">
      <c r="C7072" s="26">
        <v>7070</v>
      </c>
    </row>
    <row r="7073" spans="3:3" x14ac:dyDescent="0.25">
      <c r="C7073" s="26">
        <v>7071</v>
      </c>
    </row>
    <row r="7074" spans="3:3" x14ac:dyDescent="0.25">
      <c r="C7074" s="26">
        <v>7072</v>
      </c>
    </row>
    <row r="7075" spans="3:3" x14ac:dyDescent="0.25">
      <c r="C7075" s="26">
        <v>7073</v>
      </c>
    </row>
    <row r="7076" spans="3:3" x14ac:dyDescent="0.25">
      <c r="C7076" s="26">
        <v>7074</v>
      </c>
    </row>
    <row r="7077" spans="3:3" x14ac:dyDescent="0.25">
      <c r="C7077" s="26">
        <v>7075</v>
      </c>
    </row>
    <row r="7078" spans="3:3" x14ac:dyDescent="0.25">
      <c r="C7078" s="26">
        <v>7076</v>
      </c>
    </row>
    <row r="7079" spans="3:3" x14ac:dyDescent="0.25">
      <c r="C7079" s="26">
        <v>7077</v>
      </c>
    </row>
    <row r="7080" spans="3:3" x14ac:dyDescent="0.25">
      <c r="C7080" s="26">
        <v>7078</v>
      </c>
    </row>
    <row r="7081" spans="3:3" x14ac:dyDescent="0.25">
      <c r="C7081" s="26">
        <v>7079</v>
      </c>
    </row>
    <row r="7082" spans="3:3" x14ac:dyDescent="0.25">
      <c r="C7082" s="26">
        <v>7080</v>
      </c>
    </row>
    <row r="7083" spans="3:3" x14ac:dyDescent="0.25">
      <c r="C7083" s="26">
        <v>7081</v>
      </c>
    </row>
    <row r="7084" spans="3:3" x14ac:dyDescent="0.25">
      <c r="C7084" s="26">
        <v>7082</v>
      </c>
    </row>
    <row r="7085" spans="3:3" x14ac:dyDescent="0.25">
      <c r="C7085" s="26">
        <v>7083</v>
      </c>
    </row>
    <row r="7086" spans="3:3" x14ac:dyDescent="0.25">
      <c r="C7086" s="26">
        <v>7084</v>
      </c>
    </row>
    <row r="7087" spans="3:3" x14ac:dyDescent="0.25">
      <c r="C7087" s="26">
        <v>7085</v>
      </c>
    </row>
    <row r="7088" spans="3:3" x14ac:dyDescent="0.25">
      <c r="C7088" s="26">
        <v>7086</v>
      </c>
    </row>
    <row r="7089" spans="3:3" x14ac:dyDescent="0.25">
      <c r="C7089" s="26">
        <v>7087</v>
      </c>
    </row>
    <row r="7090" spans="3:3" x14ac:dyDescent="0.25">
      <c r="C7090" s="26">
        <v>7088</v>
      </c>
    </row>
    <row r="7091" spans="3:3" x14ac:dyDescent="0.25">
      <c r="C7091" s="26">
        <v>7089</v>
      </c>
    </row>
    <row r="7092" spans="3:3" x14ac:dyDescent="0.25">
      <c r="C7092" s="26">
        <v>7090</v>
      </c>
    </row>
    <row r="7093" spans="3:3" x14ac:dyDescent="0.25">
      <c r="C7093" s="26">
        <v>7091</v>
      </c>
    </row>
    <row r="7094" spans="3:3" x14ac:dyDescent="0.25">
      <c r="C7094" s="26">
        <v>7092</v>
      </c>
    </row>
    <row r="7095" spans="3:3" x14ac:dyDescent="0.25">
      <c r="C7095" s="26">
        <v>7093</v>
      </c>
    </row>
    <row r="7096" spans="3:3" x14ac:dyDescent="0.25">
      <c r="C7096" s="26">
        <v>7094</v>
      </c>
    </row>
    <row r="7097" spans="3:3" x14ac:dyDescent="0.25">
      <c r="C7097" s="26">
        <v>7095</v>
      </c>
    </row>
    <row r="7098" spans="3:3" x14ac:dyDescent="0.25">
      <c r="C7098" s="26">
        <v>7096</v>
      </c>
    </row>
    <row r="7099" spans="3:3" x14ac:dyDescent="0.25">
      <c r="C7099" s="26">
        <v>7097</v>
      </c>
    </row>
    <row r="7100" spans="3:3" x14ac:dyDescent="0.25">
      <c r="C7100" s="26">
        <v>7098</v>
      </c>
    </row>
    <row r="7101" spans="3:3" x14ac:dyDescent="0.25">
      <c r="C7101" s="26">
        <v>7099</v>
      </c>
    </row>
    <row r="7102" spans="3:3" x14ac:dyDescent="0.25">
      <c r="C7102" s="26">
        <v>7100</v>
      </c>
    </row>
    <row r="7103" spans="3:3" x14ac:dyDescent="0.25">
      <c r="C7103" s="26">
        <v>7101</v>
      </c>
    </row>
    <row r="7104" spans="3:3" x14ac:dyDescent="0.25">
      <c r="C7104" s="26">
        <v>7102</v>
      </c>
    </row>
    <row r="7105" spans="3:3" x14ac:dyDescent="0.25">
      <c r="C7105" s="26">
        <v>7103</v>
      </c>
    </row>
    <row r="7106" spans="3:3" x14ac:dyDescent="0.25">
      <c r="C7106" s="26">
        <v>7104</v>
      </c>
    </row>
    <row r="7107" spans="3:3" x14ac:dyDescent="0.25">
      <c r="C7107" s="26">
        <v>7105</v>
      </c>
    </row>
    <row r="7108" spans="3:3" x14ac:dyDescent="0.25">
      <c r="C7108" s="26">
        <v>7106</v>
      </c>
    </row>
    <row r="7109" spans="3:3" x14ac:dyDescent="0.25">
      <c r="C7109" s="26">
        <v>7107</v>
      </c>
    </row>
    <row r="7110" spans="3:3" x14ac:dyDescent="0.25">
      <c r="C7110" s="26">
        <v>7108</v>
      </c>
    </row>
    <row r="7111" spans="3:3" x14ac:dyDescent="0.25">
      <c r="C7111" s="26">
        <v>7109</v>
      </c>
    </row>
    <row r="7112" spans="3:3" x14ac:dyDescent="0.25">
      <c r="C7112" s="26">
        <v>7110</v>
      </c>
    </row>
    <row r="7113" spans="3:3" x14ac:dyDescent="0.25">
      <c r="C7113" s="26">
        <v>7111</v>
      </c>
    </row>
    <row r="7114" spans="3:3" x14ac:dyDescent="0.25">
      <c r="C7114" s="26">
        <v>7112</v>
      </c>
    </row>
    <row r="7115" spans="3:3" x14ac:dyDescent="0.25">
      <c r="C7115" s="26">
        <v>7113</v>
      </c>
    </row>
    <row r="7116" spans="3:3" x14ac:dyDescent="0.25">
      <c r="C7116" s="26">
        <v>7114</v>
      </c>
    </row>
    <row r="7117" spans="3:3" x14ac:dyDescent="0.25">
      <c r="C7117" s="26">
        <v>7115</v>
      </c>
    </row>
    <row r="7118" spans="3:3" x14ac:dyDescent="0.25">
      <c r="C7118" s="26">
        <v>7116</v>
      </c>
    </row>
    <row r="7119" spans="3:3" x14ac:dyDescent="0.25">
      <c r="C7119" s="26">
        <v>7117</v>
      </c>
    </row>
    <row r="7120" spans="3:3" x14ac:dyDescent="0.25">
      <c r="C7120" s="26">
        <v>7118</v>
      </c>
    </row>
    <row r="7121" spans="3:3" x14ac:dyDescent="0.25">
      <c r="C7121" s="26">
        <v>7119</v>
      </c>
    </row>
    <row r="7122" spans="3:3" x14ac:dyDescent="0.25">
      <c r="C7122" s="26">
        <v>7120</v>
      </c>
    </row>
    <row r="7123" spans="3:3" x14ac:dyDescent="0.25">
      <c r="C7123" s="26">
        <v>7121</v>
      </c>
    </row>
    <row r="7124" spans="3:3" x14ac:dyDescent="0.25">
      <c r="C7124" s="26">
        <v>7122</v>
      </c>
    </row>
    <row r="7125" spans="3:3" x14ac:dyDescent="0.25">
      <c r="C7125" s="26">
        <v>7123</v>
      </c>
    </row>
    <row r="7126" spans="3:3" x14ac:dyDescent="0.25">
      <c r="C7126" s="26">
        <v>7124</v>
      </c>
    </row>
    <row r="7127" spans="3:3" x14ac:dyDescent="0.25">
      <c r="C7127" s="26">
        <v>7125</v>
      </c>
    </row>
    <row r="7128" spans="3:3" x14ac:dyDescent="0.25">
      <c r="C7128" s="26">
        <v>7126</v>
      </c>
    </row>
    <row r="7129" spans="3:3" x14ac:dyDescent="0.25">
      <c r="C7129" s="26">
        <v>7127</v>
      </c>
    </row>
    <row r="7130" spans="3:3" x14ac:dyDescent="0.25">
      <c r="C7130" s="26">
        <v>7128</v>
      </c>
    </row>
    <row r="7131" spans="3:3" x14ac:dyDescent="0.25">
      <c r="C7131" s="26">
        <v>7129</v>
      </c>
    </row>
    <row r="7132" spans="3:3" x14ac:dyDescent="0.25">
      <c r="C7132" s="26">
        <v>7130</v>
      </c>
    </row>
    <row r="7133" spans="3:3" x14ac:dyDescent="0.25">
      <c r="C7133" s="26">
        <v>7131</v>
      </c>
    </row>
    <row r="7134" spans="3:3" x14ac:dyDescent="0.25">
      <c r="C7134" s="26">
        <v>7132</v>
      </c>
    </row>
    <row r="7135" spans="3:3" x14ac:dyDescent="0.25">
      <c r="C7135" s="26">
        <v>7133</v>
      </c>
    </row>
    <row r="7136" spans="3:3" x14ac:dyDescent="0.25">
      <c r="C7136" s="26">
        <v>7134</v>
      </c>
    </row>
    <row r="7137" spans="3:3" x14ac:dyDescent="0.25">
      <c r="C7137" s="26">
        <v>7135</v>
      </c>
    </row>
    <row r="7138" spans="3:3" x14ac:dyDescent="0.25">
      <c r="C7138" s="26">
        <v>7136</v>
      </c>
    </row>
    <row r="7139" spans="3:3" x14ac:dyDescent="0.25">
      <c r="C7139" s="26">
        <v>7137</v>
      </c>
    </row>
    <row r="7140" spans="3:3" x14ac:dyDescent="0.25">
      <c r="C7140" s="26">
        <v>7138</v>
      </c>
    </row>
    <row r="7141" spans="3:3" x14ac:dyDescent="0.25">
      <c r="C7141" s="26">
        <v>7139</v>
      </c>
    </row>
    <row r="7142" spans="3:3" x14ac:dyDescent="0.25">
      <c r="C7142" s="26">
        <v>7140</v>
      </c>
    </row>
    <row r="7143" spans="3:3" x14ac:dyDescent="0.25">
      <c r="C7143" s="26">
        <v>7141</v>
      </c>
    </row>
    <row r="7144" spans="3:3" x14ac:dyDescent="0.25">
      <c r="C7144" s="26">
        <v>7142</v>
      </c>
    </row>
    <row r="7145" spans="3:3" x14ac:dyDescent="0.25">
      <c r="C7145" s="26">
        <v>7143</v>
      </c>
    </row>
    <row r="7146" spans="3:3" x14ac:dyDescent="0.25">
      <c r="C7146" s="26">
        <v>7144</v>
      </c>
    </row>
    <row r="7147" spans="3:3" x14ac:dyDescent="0.25">
      <c r="C7147" s="26">
        <v>7145</v>
      </c>
    </row>
    <row r="7148" spans="3:3" x14ac:dyDescent="0.25">
      <c r="C7148" s="26">
        <v>7146</v>
      </c>
    </row>
    <row r="7149" spans="3:3" x14ac:dyDescent="0.25">
      <c r="C7149" s="26">
        <v>7147</v>
      </c>
    </row>
    <row r="7150" spans="3:3" x14ac:dyDescent="0.25">
      <c r="C7150" s="26">
        <v>7148</v>
      </c>
    </row>
    <row r="7151" spans="3:3" x14ac:dyDescent="0.25">
      <c r="C7151" s="26">
        <v>7149</v>
      </c>
    </row>
    <row r="7152" spans="3:3" x14ac:dyDescent="0.25">
      <c r="C7152" s="26">
        <v>7150</v>
      </c>
    </row>
    <row r="7153" spans="3:3" x14ac:dyDescent="0.25">
      <c r="C7153" s="26">
        <v>7151</v>
      </c>
    </row>
    <row r="7154" spans="3:3" x14ac:dyDescent="0.25">
      <c r="C7154" s="26">
        <v>7152</v>
      </c>
    </row>
    <row r="7155" spans="3:3" x14ac:dyDescent="0.25">
      <c r="C7155" s="26">
        <v>7153</v>
      </c>
    </row>
    <row r="7156" spans="3:3" x14ac:dyDescent="0.25">
      <c r="C7156" s="26">
        <v>7154</v>
      </c>
    </row>
    <row r="7157" spans="3:3" x14ac:dyDescent="0.25">
      <c r="C7157" s="26">
        <v>7155</v>
      </c>
    </row>
    <row r="7158" spans="3:3" x14ac:dyDescent="0.25">
      <c r="C7158" s="26">
        <v>7156</v>
      </c>
    </row>
    <row r="7159" spans="3:3" x14ac:dyDescent="0.25">
      <c r="C7159" s="26">
        <v>7157</v>
      </c>
    </row>
    <row r="7160" spans="3:3" x14ac:dyDescent="0.25">
      <c r="C7160" s="26">
        <v>7158</v>
      </c>
    </row>
    <row r="7161" spans="3:3" x14ac:dyDescent="0.25">
      <c r="C7161" s="26">
        <v>7159</v>
      </c>
    </row>
    <row r="7162" spans="3:3" x14ac:dyDescent="0.25">
      <c r="C7162" s="26">
        <v>7160</v>
      </c>
    </row>
    <row r="7163" spans="3:3" x14ac:dyDescent="0.25">
      <c r="C7163" s="26">
        <v>7161</v>
      </c>
    </row>
    <row r="7164" spans="3:3" x14ac:dyDescent="0.25">
      <c r="C7164" s="26">
        <v>7162</v>
      </c>
    </row>
    <row r="7165" spans="3:3" x14ac:dyDescent="0.25">
      <c r="C7165" s="26">
        <v>7163</v>
      </c>
    </row>
    <row r="7166" spans="3:3" x14ac:dyDescent="0.25">
      <c r="C7166" s="26">
        <v>7164</v>
      </c>
    </row>
    <row r="7167" spans="3:3" x14ac:dyDescent="0.25">
      <c r="C7167" s="26">
        <v>7165</v>
      </c>
    </row>
    <row r="7168" spans="3:3" x14ac:dyDescent="0.25">
      <c r="C7168" s="26">
        <v>7166</v>
      </c>
    </row>
    <row r="7169" spans="3:3" x14ac:dyDescent="0.25">
      <c r="C7169" s="26">
        <v>7167</v>
      </c>
    </row>
    <row r="7170" spans="3:3" x14ac:dyDescent="0.25">
      <c r="C7170" s="26">
        <v>7168</v>
      </c>
    </row>
    <row r="7171" spans="3:3" x14ac:dyDescent="0.25">
      <c r="C7171" s="26">
        <v>7169</v>
      </c>
    </row>
    <row r="7172" spans="3:3" x14ac:dyDescent="0.25">
      <c r="C7172" s="26">
        <v>7170</v>
      </c>
    </row>
    <row r="7173" spans="3:3" x14ac:dyDescent="0.25">
      <c r="C7173" s="26">
        <v>7171</v>
      </c>
    </row>
    <row r="7174" spans="3:3" x14ac:dyDescent="0.25">
      <c r="C7174" s="26">
        <v>7172</v>
      </c>
    </row>
    <row r="7175" spans="3:3" x14ac:dyDescent="0.25">
      <c r="C7175" s="26">
        <v>7173</v>
      </c>
    </row>
    <row r="7176" spans="3:3" x14ac:dyDescent="0.25">
      <c r="C7176" s="26">
        <v>7174</v>
      </c>
    </row>
    <row r="7177" spans="3:3" x14ac:dyDescent="0.25">
      <c r="C7177" s="26">
        <v>7175</v>
      </c>
    </row>
    <row r="7178" spans="3:3" x14ac:dyDescent="0.25">
      <c r="C7178" s="26">
        <v>7176</v>
      </c>
    </row>
    <row r="7179" spans="3:3" x14ac:dyDescent="0.25">
      <c r="C7179" s="26">
        <v>7177</v>
      </c>
    </row>
    <row r="7180" spans="3:3" x14ac:dyDescent="0.25">
      <c r="C7180" s="26">
        <v>7178</v>
      </c>
    </row>
    <row r="7181" spans="3:3" x14ac:dyDescent="0.25">
      <c r="C7181" s="26">
        <v>7179</v>
      </c>
    </row>
    <row r="7182" spans="3:3" x14ac:dyDescent="0.25">
      <c r="C7182" s="26">
        <v>7180</v>
      </c>
    </row>
    <row r="7183" spans="3:3" x14ac:dyDescent="0.25">
      <c r="C7183" s="26">
        <v>7181</v>
      </c>
    </row>
    <row r="7184" spans="3:3" x14ac:dyDescent="0.25">
      <c r="C7184" s="26">
        <v>7182</v>
      </c>
    </row>
    <row r="7185" spans="3:3" x14ac:dyDescent="0.25">
      <c r="C7185" s="26">
        <v>7183</v>
      </c>
    </row>
    <row r="7186" spans="3:3" x14ac:dyDescent="0.25">
      <c r="C7186" s="26">
        <v>7184</v>
      </c>
    </row>
    <row r="7187" spans="3:3" x14ac:dyDescent="0.25">
      <c r="C7187" s="26">
        <v>7185</v>
      </c>
    </row>
    <row r="7188" spans="3:3" x14ac:dyDescent="0.25">
      <c r="C7188" s="26">
        <v>7186</v>
      </c>
    </row>
    <row r="7189" spans="3:3" x14ac:dyDescent="0.25">
      <c r="C7189" s="26">
        <v>7187</v>
      </c>
    </row>
    <row r="7190" spans="3:3" x14ac:dyDescent="0.25">
      <c r="C7190" s="26">
        <v>7188</v>
      </c>
    </row>
    <row r="7191" spans="3:3" x14ac:dyDescent="0.25">
      <c r="C7191" s="26">
        <v>7189</v>
      </c>
    </row>
    <row r="7192" spans="3:3" x14ac:dyDescent="0.25">
      <c r="C7192" s="26">
        <v>7190</v>
      </c>
    </row>
    <row r="7193" spans="3:3" x14ac:dyDescent="0.25">
      <c r="C7193" s="26">
        <v>7191</v>
      </c>
    </row>
    <row r="7194" spans="3:3" x14ac:dyDescent="0.25">
      <c r="C7194" s="26">
        <v>7192</v>
      </c>
    </row>
    <row r="7195" spans="3:3" x14ac:dyDescent="0.25">
      <c r="C7195" s="26">
        <v>7193</v>
      </c>
    </row>
    <row r="7196" spans="3:3" x14ac:dyDescent="0.25">
      <c r="C7196" s="26">
        <v>7194</v>
      </c>
    </row>
    <row r="7197" spans="3:3" x14ac:dyDescent="0.25">
      <c r="C7197" s="26">
        <v>7195</v>
      </c>
    </row>
    <row r="7198" spans="3:3" x14ac:dyDescent="0.25">
      <c r="C7198" s="26">
        <v>7196</v>
      </c>
    </row>
    <row r="7199" spans="3:3" x14ac:dyDescent="0.25">
      <c r="C7199" s="26">
        <v>7197</v>
      </c>
    </row>
    <row r="7200" spans="3:3" x14ac:dyDescent="0.25">
      <c r="C7200" s="26">
        <v>7198</v>
      </c>
    </row>
    <row r="7201" spans="3:3" x14ac:dyDescent="0.25">
      <c r="C7201" s="26">
        <v>7199</v>
      </c>
    </row>
    <row r="7202" spans="3:3" x14ac:dyDescent="0.25">
      <c r="C7202" s="26">
        <v>7200</v>
      </c>
    </row>
    <row r="7203" spans="3:3" x14ac:dyDescent="0.25">
      <c r="C7203" s="26">
        <v>7201</v>
      </c>
    </row>
    <row r="7204" spans="3:3" x14ac:dyDescent="0.25">
      <c r="C7204" s="26">
        <v>7202</v>
      </c>
    </row>
    <row r="7205" spans="3:3" x14ac:dyDescent="0.25">
      <c r="C7205" s="26">
        <v>7203</v>
      </c>
    </row>
    <row r="7206" spans="3:3" x14ac:dyDescent="0.25">
      <c r="C7206" s="26">
        <v>7204</v>
      </c>
    </row>
    <row r="7207" spans="3:3" x14ac:dyDescent="0.25">
      <c r="C7207" s="26">
        <v>7205</v>
      </c>
    </row>
    <row r="7208" spans="3:3" x14ac:dyDescent="0.25">
      <c r="C7208" s="26">
        <v>7206</v>
      </c>
    </row>
    <row r="7209" spans="3:3" x14ac:dyDescent="0.25">
      <c r="C7209" s="26">
        <v>7207</v>
      </c>
    </row>
    <row r="7210" spans="3:3" x14ac:dyDescent="0.25">
      <c r="C7210" s="26">
        <v>7208</v>
      </c>
    </row>
    <row r="7211" spans="3:3" x14ac:dyDescent="0.25">
      <c r="C7211" s="26">
        <v>7209</v>
      </c>
    </row>
    <row r="7212" spans="3:3" x14ac:dyDescent="0.25">
      <c r="C7212" s="26">
        <v>7210</v>
      </c>
    </row>
    <row r="7213" spans="3:3" x14ac:dyDescent="0.25">
      <c r="C7213" s="26">
        <v>7211</v>
      </c>
    </row>
    <row r="7214" spans="3:3" x14ac:dyDescent="0.25">
      <c r="C7214" s="26">
        <v>7212</v>
      </c>
    </row>
    <row r="7215" spans="3:3" x14ac:dyDescent="0.25">
      <c r="C7215" s="26">
        <v>7213</v>
      </c>
    </row>
    <row r="7216" spans="3:3" x14ac:dyDescent="0.25">
      <c r="C7216" s="26">
        <v>7214</v>
      </c>
    </row>
    <row r="7217" spans="3:3" x14ac:dyDescent="0.25">
      <c r="C7217" s="26">
        <v>7215</v>
      </c>
    </row>
    <row r="7218" spans="3:3" x14ac:dyDescent="0.25">
      <c r="C7218" s="26">
        <v>7216</v>
      </c>
    </row>
    <row r="7219" spans="3:3" x14ac:dyDescent="0.25">
      <c r="C7219" s="26">
        <v>7217</v>
      </c>
    </row>
    <row r="7220" spans="3:3" x14ac:dyDescent="0.25">
      <c r="C7220" s="26">
        <v>7218</v>
      </c>
    </row>
    <row r="7221" spans="3:3" x14ac:dyDescent="0.25">
      <c r="C7221" s="26">
        <v>7219</v>
      </c>
    </row>
    <row r="7222" spans="3:3" x14ac:dyDescent="0.25">
      <c r="C7222" s="26">
        <v>7220</v>
      </c>
    </row>
    <row r="7223" spans="3:3" x14ac:dyDescent="0.25">
      <c r="C7223" s="26">
        <v>7221</v>
      </c>
    </row>
    <row r="7224" spans="3:3" x14ac:dyDescent="0.25">
      <c r="C7224" s="26">
        <v>7222</v>
      </c>
    </row>
    <row r="7225" spans="3:3" x14ac:dyDescent="0.25">
      <c r="C7225" s="26">
        <v>7223</v>
      </c>
    </row>
    <row r="7226" spans="3:3" x14ac:dyDescent="0.25">
      <c r="C7226" s="26">
        <v>7224</v>
      </c>
    </row>
    <row r="7227" spans="3:3" x14ac:dyDescent="0.25">
      <c r="C7227" s="26">
        <v>7225</v>
      </c>
    </row>
    <row r="7228" spans="3:3" x14ac:dyDescent="0.25">
      <c r="C7228" s="26">
        <v>7226</v>
      </c>
    </row>
    <row r="7229" spans="3:3" x14ac:dyDescent="0.25">
      <c r="C7229" s="26">
        <v>7227</v>
      </c>
    </row>
    <row r="7230" spans="3:3" x14ac:dyDescent="0.25">
      <c r="C7230" s="26">
        <v>7228</v>
      </c>
    </row>
    <row r="7231" spans="3:3" x14ac:dyDescent="0.25">
      <c r="C7231" s="26">
        <v>7229</v>
      </c>
    </row>
    <row r="7232" spans="3:3" x14ac:dyDescent="0.25">
      <c r="C7232" s="26">
        <v>7230</v>
      </c>
    </row>
    <row r="7233" spans="3:3" x14ac:dyDescent="0.25">
      <c r="C7233" s="26">
        <v>7231</v>
      </c>
    </row>
    <row r="7234" spans="3:3" x14ac:dyDescent="0.25">
      <c r="C7234" s="26">
        <v>7232</v>
      </c>
    </row>
    <row r="7235" spans="3:3" x14ac:dyDescent="0.25">
      <c r="C7235" s="26">
        <v>7233</v>
      </c>
    </row>
    <row r="7236" spans="3:3" x14ac:dyDescent="0.25">
      <c r="C7236" s="26">
        <v>7234</v>
      </c>
    </row>
    <row r="7237" spans="3:3" x14ac:dyDescent="0.25">
      <c r="C7237" s="26">
        <v>7235</v>
      </c>
    </row>
    <row r="7238" spans="3:3" x14ac:dyDescent="0.25">
      <c r="C7238" s="26">
        <v>7236</v>
      </c>
    </row>
    <row r="7239" spans="3:3" x14ac:dyDescent="0.25">
      <c r="C7239" s="26">
        <v>7237</v>
      </c>
    </row>
    <row r="7240" spans="3:3" x14ac:dyDescent="0.25">
      <c r="C7240" s="26">
        <v>7238</v>
      </c>
    </row>
    <row r="7241" spans="3:3" x14ac:dyDescent="0.25">
      <c r="C7241" s="26">
        <v>7239</v>
      </c>
    </row>
    <row r="7242" spans="3:3" x14ac:dyDescent="0.25">
      <c r="C7242" s="26">
        <v>7240</v>
      </c>
    </row>
    <row r="7243" spans="3:3" x14ac:dyDescent="0.25">
      <c r="C7243" s="26">
        <v>7241</v>
      </c>
    </row>
    <row r="7244" spans="3:3" x14ac:dyDescent="0.25">
      <c r="C7244" s="26">
        <v>7242</v>
      </c>
    </row>
    <row r="7245" spans="3:3" x14ac:dyDescent="0.25">
      <c r="C7245" s="26">
        <v>7243</v>
      </c>
    </row>
    <row r="7246" spans="3:3" x14ac:dyDescent="0.25">
      <c r="C7246" s="26">
        <v>7244</v>
      </c>
    </row>
    <row r="7247" spans="3:3" x14ac:dyDescent="0.25">
      <c r="C7247" s="26">
        <v>7245</v>
      </c>
    </row>
    <row r="7248" spans="3:3" x14ac:dyDescent="0.25">
      <c r="C7248" s="26">
        <v>7246</v>
      </c>
    </row>
    <row r="7249" spans="3:3" x14ac:dyDescent="0.25">
      <c r="C7249" s="26">
        <v>7247</v>
      </c>
    </row>
    <row r="7250" spans="3:3" x14ac:dyDescent="0.25">
      <c r="C7250" s="26">
        <v>7248</v>
      </c>
    </row>
    <row r="7251" spans="3:3" x14ac:dyDescent="0.25">
      <c r="C7251" s="26">
        <v>7249</v>
      </c>
    </row>
    <row r="7252" spans="3:3" x14ac:dyDescent="0.25">
      <c r="C7252" s="26">
        <v>7250</v>
      </c>
    </row>
    <row r="7253" spans="3:3" x14ac:dyDescent="0.25">
      <c r="C7253" s="26">
        <v>7251</v>
      </c>
    </row>
    <row r="7254" spans="3:3" x14ac:dyDescent="0.25">
      <c r="C7254" s="26">
        <v>7252</v>
      </c>
    </row>
    <row r="7255" spans="3:3" x14ac:dyDescent="0.25">
      <c r="C7255" s="26">
        <v>7253</v>
      </c>
    </row>
    <row r="7256" spans="3:3" x14ac:dyDescent="0.25">
      <c r="C7256" s="26">
        <v>7254</v>
      </c>
    </row>
    <row r="7257" spans="3:3" x14ac:dyDescent="0.25">
      <c r="C7257" s="26">
        <v>7255</v>
      </c>
    </row>
    <row r="7258" spans="3:3" x14ac:dyDescent="0.25">
      <c r="C7258" s="26">
        <v>7256</v>
      </c>
    </row>
    <row r="7259" spans="3:3" x14ac:dyDescent="0.25">
      <c r="C7259" s="26">
        <v>7257</v>
      </c>
    </row>
    <row r="7260" spans="3:3" x14ac:dyDescent="0.25">
      <c r="C7260" s="26">
        <v>7258</v>
      </c>
    </row>
    <row r="7261" spans="3:3" x14ac:dyDescent="0.25">
      <c r="C7261" s="26">
        <v>7259</v>
      </c>
    </row>
    <row r="7262" spans="3:3" x14ac:dyDescent="0.25">
      <c r="C7262" s="26">
        <v>7260</v>
      </c>
    </row>
    <row r="7263" spans="3:3" x14ac:dyDescent="0.25">
      <c r="C7263" s="26">
        <v>7261</v>
      </c>
    </row>
    <row r="7264" spans="3:3" x14ac:dyDescent="0.25">
      <c r="C7264" s="26">
        <v>7262</v>
      </c>
    </row>
    <row r="7265" spans="3:3" x14ac:dyDescent="0.25">
      <c r="C7265" s="26">
        <v>7263</v>
      </c>
    </row>
    <row r="7266" spans="3:3" x14ac:dyDescent="0.25">
      <c r="C7266" s="26">
        <v>7264</v>
      </c>
    </row>
    <row r="7267" spans="3:3" x14ac:dyDescent="0.25">
      <c r="C7267" s="26">
        <v>7265</v>
      </c>
    </row>
    <row r="7268" spans="3:3" x14ac:dyDescent="0.25">
      <c r="C7268" s="26">
        <v>7266</v>
      </c>
    </row>
    <row r="7269" spans="3:3" x14ac:dyDescent="0.25">
      <c r="C7269" s="26">
        <v>7267</v>
      </c>
    </row>
    <row r="7270" spans="3:3" x14ac:dyDescent="0.25">
      <c r="C7270" s="26">
        <v>7268</v>
      </c>
    </row>
    <row r="7271" spans="3:3" x14ac:dyDescent="0.25">
      <c r="C7271" s="26">
        <v>7269</v>
      </c>
    </row>
    <row r="7272" spans="3:3" x14ac:dyDescent="0.25">
      <c r="C7272" s="26">
        <v>7270</v>
      </c>
    </row>
    <row r="7273" spans="3:3" x14ac:dyDescent="0.25">
      <c r="C7273" s="26">
        <v>7271</v>
      </c>
    </row>
    <row r="7274" spans="3:3" x14ac:dyDescent="0.25">
      <c r="C7274" s="26">
        <v>7272</v>
      </c>
    </row>
    <row r="7275" spans="3:3" x14ac:dyDescent="0.25">
      <c r="C7275" s="26">
        <v>7273</v>
      </c>
    </row>
    <row r="7276" spans="3:3" x14ac:dyDescent="0.25">
      <c r="C7276" s="26">
        <v>7274</v>
      </c>
    </row>
    <row r="7277" spans="3:3" x14ac:dyDescent="0.25">
      <c r="C7277" s="26">
        <v>7275</v>
      </c>
    </row>
    <row r="7278" spans="3:3" x14ac:dyDescent="0.25">
      <c r="C7278" s="26">
        <v>7276</v>
      </c>
    </row>
    <row r="7279" spans="3:3" x14ac:dyDescent="0.25">
      <c r="C7279" s="26">
        <v>7277</v>
      </c>
    </row>
    <row r="7280" spans="3:3" x14ac:dyDescent="0.25">
      <c r="C7280" s="26">
        <v>7278</v>
      </c>
    </row>
    <row r="7281" spans="3:3" x14ac:dyDescent="0.25">
      <c r="C7281" s="26">
        <v>7279</v>
      </c>
    </row>
    <row r="7282" spans="3:3" x14ac:dyDescent="0.25">
      <c r="C7282" s="26">
        <v>7280</v>
      </c>
    </row>
    <row r="7283" spans="3:3" x14ac:dyDescent="0.25">
      <c r="C7283" s="26">
        <v>7281</v>
      </c>
    </row>
    <row r="7284" spans="3:3" x14ac:dyDescent="0.25">
      <c r="C7284" s="26">
        <v>7282</v>
      </c>
    </row>
    <row r="7285" spans="3:3" x14ac:dyDescent="0.25">
      <c r="C7285" s="26">
        <v>7283</v>
      </c>
    </row>
    <row r="7286" spans="3:3" x14ac:dyDescent="0.25">
      <c r="C7286" s="26">
        <v>7284</v>
      </c>
    </row>
    <row r="7287" spans="3:3" x14ac:dyDescent="0.25">
      <c r="C7287" s="26">
        <v>7285</v>
      </c>
    </row>
    <row r="7288" spans="3:3" x14ac:dyDescent="0.25">
      <c r="C7288" s="26">
        <v>7286</v>
      </c>
    </row>
    <row r="7289" spans="3:3" x14ac:dyDescent="0.25">
      <c r="C7289" s="26">
        <v>7287</v>
      </c>
    </row>
    <row r="7290" spans="3:3" x14ac:dyDescent="0.25">
      <c r="C7290" s="26">
        <v>7288</v>
      </c>
    </row>
    <row r="7291" spans="3:3" x14ac:dyDescent="0.25">
      <c r="C7291" s="26">
        <v>7289</v>
      </c>
    </row>
    <row r="7292" spans="3:3" x14ac:dyDescent="0.25">
      <c r="C7292" s="26">
        <v>7290</v>
      </c>
    </row>
    <row r="7293" spans="3:3" x14ac:dyDescent="0.25">
      <c r="C7293" s="26">
        <v>7291</v>
      </c>
    </row>
    <row r="7294" spans="3:3" x14ac:dyDescent="0.25">
      <c r="C7294" s="26">
        <v>7292</v>
      </c>
    </row>
    <row r="7295" spans="3:3" x14ac:dyDescent="0.25">
      <c r="C7295" s="26">
        <v>7293</v>
      </c>
    </row>
    <row r="7296" spans="3:3" x14ac:dyDescent="0.25">
      <c r="C7296" s="26">
        <v>7294</v>
      </c>
    </row>
    <row r="7297" spans="3:3" x14ac:dyDescent="0.25">
      <c r="C7297" s="26">
        <v>7295</v>
      </c>
    </row>
    <row r="7298" spans="3:3" x14ac:dyDescent="0.25">
      <c r="C7298" s="26">
        <v>7296</v>
      </c>
    </row>
    <row r="7299" spans="3:3" x14ac:dyDescent="0.25">
      <c r="C7299" s="26">
        <v>7297</v>
      </c>
    </row>
    <row r="7300" spans="3:3" x14ac:dyDescent="0.25">
      <c r="C7300" s="26">
        <v>7298</v>
      </c>
    </row>
    <row r="7301" spans="3:3" x14ac:dyDescent="0.25">
      <c r="C7301" s="26">
        <v>7299</v>
      </c>
    </row>
    <row r="7302" spans="3:3" x14ac:dyDescent="0.25">
      <c r="C7302" s="26">
        <v>7300</v>
      </c>
    </row>
    <row r="7303" spans="3:3" x14ac:dyDescent="0.25">
      <c r="C7303" s="26">
        <v>7301</v>
      </c>
    </row>
    <row r="7304" spans="3:3" x14ac:dyDescent="0.25">
      <c r="C7304" s="26">
        <v>7302</v>
      </c>
    </row>
    <row r="7305" spans="3:3" x14ac:dyDescent="0.25">
      <c r="C7305" s="26">
        <v>7303</v>
      </c>
    </row>
    <row r="7306" spans="3:3" x14ac:dyDescent="0.25">
      <c r="C7306" s="26">
        <v>7304</v>
      </c>
    </row>
    <row r="7307" spans="3:3" x14ac:dyDescent="0.25">
      <c r="C7307" s="26">
        <v>7305</v>
      </c>
    </row>
    <row r="7308" spans="3:3" x14ac:dyDescent="0.25">
      <c r="C7308" s="26">
        <v>7306</v>
      </c>
    </row>
    <row r="7309" spans="3:3" x14ac:dyDescent="0.25">
      <c r="C7309" s="26">
        <v>7307</v>
      </c>
    </row>
    <row r="7310" spans="3:3" x14ac:dyDescent="0.25">
      <c r="C7310" s="26">
        <v>7308</v>
      </c>
    </row>
    <row r="7311" spans="3:3" x14ac:dyDescent="0.25">
      <c r="C7311" s="26">
        <v>7309</v>
      </c>
    </row>
    <row r="7312" spans="3:3" x14ac:dyDescent="0.25">
      <c r="C7312" s="26">
        <v>7310</v>
      </c>
    </row>
    <row r="7313" spans="3:3" x14ac:dyDescent="0.25">
      <c r="C7313" s="26">
        <v>7311</v>
      </c>
    </row>
    <row r="7314" spans="3:3" x14ac:dyDescent="0.25">
      <c r="C7314" s="26">
        <v>7312</v>
      </c>
    </row>
    <row r="7315" spans="3:3" x14ac:dyDescent="0.25">
      <c r="C7315" s="26">
        <v>7313</v>
      </c>
    </row>
    <row r="7316" spans="3:3" x14ac:dyDescent="0.25">
      <c r="C7316" s="26">
        <v>7314</v>
      </c>
    </row>
    <row r="7317" spans="3:3" x14ac:dyDescent="0.25">
      <c r="C7317" s="26">
        <v>7315</v>
      </c>
    </row>
    <row r="7318" spans="3:3" x14ac:dyDescent="0.25">
      <c r="C7318" s="26">
        <v>7316</v>
      </c>
    </row>
    <row r="7319" spans="3:3" x14ac:dyDescent="0.25">
      <c r="C7319" s="26">
        <v>7317</v>
      </c>
    </row>
    <row r="7320" spans="3:3" x14ac:dyDescent="0.25">
      <c r="C7320" s="26">
        <v>7318</v>
      </c>
    </row>
    <row r="7321" spans="3:3" x14ac:dyDescent="0.25">
      <c r="C7321" s="26">
        <v>7319</v>
      </c>
    </row>
    <row r="7322" spans="3:3" x14ac:dyDescent="0.25">
      <c r="C7322" s="26">
        <v>7320</v>
      </c>
    </row>
    <row r="7323" spans="3:3" x14ac:dyDescent="0.25">
      <c r="C7323" s="26">
        <v>7321</v>
      </c>
    </row>
    <row r="7324" spans="3:3" x14ac:dyDescent="0.25">
      <c r="C7324" s="26">
        <v>7322</v>
      </c>
    </row>
    <row r="7325" spans="3:3" x14ac:dyDescent="0.25">
      <c r="C7325" s="26">
        <v>7323</v>
      </c>
    </row>
    <row r="7326" spans="3:3" x14ac:dyDescent="0.25">
      <c r="C7326" s="26">
        <v>7324</v>
      </c>
    </row>
    <row r="7327" spans="3:3" x14ac:dyDescent="0.25">
      <c r="C7327" s="26">
        <v>7325</v>
      </c>
    </row>
    <row r="7328" spans="3:3" x14ac:dyDescent="0.25">
      <c r="C7328" s="26">
        <v>7326</v>
      </c>
    </row>
    <row r="7329" spans="3:3" x14ac:dyDescent="0.25">
      <c r="C7329" s="26">
        <v>7327</v>
      </c>
    </row>
    <row r="7330" spans="3:3" x14ac:dyDescent="0.25">
      <c r="C7330" s="26">
        <v>7328</v>
      </c>
    </row>
    <row r="7331" spans="3:3" x14ac:dyDescent="0.25">
      <c r="C7331" s="26">
        <v>7329</v>
      </c>
    </row>
    <row r="7332" spans="3:3" x14ac:dyDescent="0.25">
      <c r="C7332" s="26">
        <v>7330</v>
      </c>
    </row>
    <row r="7333" spans="3:3" x14ac:dyDescent="0.25">
      <c r="C7333" s="26">
        <v>7331</v>
      </c>
    </row>
    <row r="7334" spans="3:3" x14ac:dyDescent="0.25">
      <c r="C7334" s="26">
        <v>7332</v>
      </c>
    </row>
    <row r="7335" spans="3:3" x14ac:dyDescent="0.25">
      <c r="C7335" s="26">
        <v>7333</v>
      </c>
    </row>
    <row r="7336" spans="3:3" x14ac:dyDescent="0.25">
      <c r="C7336" s="26">
        <v>7334</v>
      </c>
    </row>
    <row r="7337" spans="3:3" x14ac:dyDescent="0.25">
      <c r="C7337" s="26">
        <v>7335</v>
      </c>
    </row>
    <row r="7338" spans="3:3" x14ac:dyDescent="0.25">
      <c r="C7338" s="26">
        <v>7336</v>
      </c>
    </row>
    <row r="7339" spans="3:3" x14ac:dyDescent="0.25">
      <c r="C7339" s="26">
        <v>7337</v>
      </c>
    </row>
    <row r="7340" spans="3:3" x14ac:dyDescent="0.25">
      <c r="C7340" s="26">
        <v>7338</v>
      </c>
    </row>
    <row r="7341" spans="3:3" x14ac:dyDescent="0.25">
      <c r="C7341" s="26">
        <v>7339</v>
      </c>
    </row>
    <row r="7342" spans="3:3" x14ac:dyDescent="0.25">
      <c r="C7342" s="26">
        <v>7340</v>
      </c>
    </row>
    <row r="7343" spans="3:3" x14ac:dyDescent="0.25">
      <c r="C7343" s="26">
        <v>7341</v>
      </c>
    </row>
    <row r="7344" spans="3:3" x14ac:dyDescent="0.25">
      <c r="C7344" s="26">
        <v>7342</v>
      </c>
    </row>
    <row r="7345" spans="3:3" x14ac:dyDescent="0.25">
      <c r="C7345" s="26">
        <v>7343</v>
      </c>
    </row>
    <row r="7346" spans="3:3" x14ac:dyDescent="0.25">
      <c r="C7346" s="26">
        <v>7344</v>
      </c>
    </row>
    <row r="7347" spans="3:3" x14ac:dyDescent="0.25">
      <c r="C7347" s="26">
        <v>7345</v>
      </c>
    </row>
    <row r="7348" spans="3:3" x14ac:dyDescent="0.25">
      <c r="C7348" s="26">
        <v>7346</v>
      </c>
    </row>
    <row r="7349" spans="3:3" x14ac:dyDescent="0.25">
      <c r="C7349" s="26">
        <v>7347</v>
      </c>
    </row>
    <row r="7350" spans="3:3" x14ac:dyDescent="0.25">
      <c r="C7350" s="26">
        <v>7348</v>
      </c>
    </row>
    <row r="7351" spans="3:3" x14ac:dyDescent="0.25">
      <c r="C7351" s="26">
        <v>7349</v>
      </c>
    </row>
    <row r="7352" spans="3:3" x14ac:dyDescent="0.25">
      <c r="C7352" s="26">
        <v>7350</v>
      </c>
    </row>
    <row r="7353" spans="3:3" x14ac:dyDescent="0.25">
      <c r="C7353" s="26">
        <v>7351</v>
      </c>
    </row>
    <row r="7354" spans="3:3" x14ac:dyDescent="0.25">
      <c r="C7354" s="26">
        <v>7352</v>
      </c>
    </row>
    <row r="7355" spans="3:3" x14ac:dyDescent="0.25">
      <c r="C7355" s="26">
        <v>7353</v>
      </c>
    </row>
    <row r="7356" spans="3:3" x14ac:dyDescent="0.25">
      <c r="C7356" s="26">
        <v>7354</v>
      </c>
    </row>
    <row r="7357" spans="3:3" x14ac:dyDescent="0.25">
      <c r="C7357" s="26">
        <v>7355</v>
      </c>
    </row>
    <row r="7358" spans="3:3" x14ac:dyDescent="0.25">
      <c r="C7358" s="26">
        <v>7356</v>
      </c>
    </row>
    <row r="7359" spans="3:3" x14ac:dyDescent="0.25">
      <c r="C7359" s="26">
        <v>7357</v>
      </c>
    </row>
    <row r="7360" spans="3:3" x14ac:dyDescent="0.25">
      <c r="C7360" s="26">
        <v>7358</v>
      </c>
    </row>
    <row r="7361" spans="3:3" x14ac:dyDescent="0.25">
      <c r="C7361" s="26">
        <v>7359</v>
      </c>
    </row>
    <row r="7362" spans="3:3" x14ac:dyDescent="0.25">
      <c r="C7362" s="26">
        <v>7360</v>
      </c>
    </row>
    <row r="7363" spans="3:3" x14ac:dyDescent="0.25">
      <c r="C7363" s="26">
        <v>7361</v>
      </c>
    </row>
    <row r="7364" spans="3:3" x14ac:dyDescent="0.25">
      <c r="C7364" s="26">
        <v>7362</v>
      </c>
    </row>
    <row r="7365" spans="3:3" x14ac:dyDescent="0.25">
      <c r="C7365" s="26">
        <v>7363</v>
      </c>
    </row>
    <row r="7366" spans="3:3" x14ac:dyDescent="0.25">
      <c r="C7366" s="26">
        <v>7364</v>
      </c>
    </row>
    <row r="7367" spans="3:3" x14ac:dyDescent="0.25">
      <c r="C7367" s="26">
        <v>7365</v>
      </c>
    </row>
    <row r="7368" spans="3:3" x14ac:dyDescent="0.25">
      <c r="C7368" s="26">
        <v>7366</v>
      </c>
    </row>
    <row r="7369" spans="3:3" x14ac:dyDescent="0.25">
      <c r="C7369" s="26">
        <v>7367</v>
      </c>
    </row>
    <row r="7370" spans="3:3" x14ac:dyDescent="0.25">
      <c r="C7370" s="26">
        <v>7368</v>
      </c>
    </row>
    <row r="7371" spans="3:3" x14ac:dyDescent="0.25">
      <c r="C7371" s="26">
        <v>7369</v>
      </c>
    </row>
    <row r="7372" spans="3:3" x14ac:dyDescent="0.25">
      <c r="C7372" s="26">
        <v>7370</v>
      </c>
    </row>
    <row r="7373" spans="3:3" x14ac:dyDescent="0.25">
      <c r="C7373" s="26">
        <v>7371</v>
      </c>
    </row>
    <row r="7374" spans="3:3" x14ac:dyDescent="0.25">
      <c r="C7374" s="26">
        <v>7372</v>
      </c>
    </row>
    <row r="7375" spans="3:3" x14ac:dyDescent="0.25">
      <c r="C7375" s="26">
        <v>7373</v>
      </c>
    </row>
    <row r="7376" spans="3:3" x14ac:dyDescent="0.25">
      <c r="C7376" s="26">
        <v>7374</v>
      </c>
    </row>
    <row r="7377" spans="3:3" x14ac:dyDescent="0.25">
      <c r="C7377" s="26">
        <v>7375</v>
      </c>
    </row>
    <row r="7378" spans="3:3" x14ac:dyDescent="0.25">
      <c r="C7378" s="26">
        <v>7376</v>
      </c>
    </row>
    <row r="7379" spans="3:3" x14ac:dyDescent="0.25">
      <c r="C7379" s="26">
        <v>7377</v>
      </c>
    </row>
    <row r="7380" spans="3:3" x14ac:dyDescent="0.25">
      <c r="C7380" s="26">
        <v>7378</v>
      </c>
    </row>
    <row r="7381" spans="3:3" x14ac:dyDescent="0.25">
      <c r="C7381" s="26">
        <v>7379</v>
      </c>
    </row>
    <row r="7382" spans="3:3" x14ac:dyDescent="0.25">
      <c r="C7382" s="26">
        <v>7380</v>
      </c>
    </row>
    <row r="7383" spans="3:3" x14ac:dyDescent="0.25">
      <c r="C7383" s="26">
        <v>7381</v>
      </c>
    </row>
    <row r="7384" spans="3:3" x14ac:dyDescent="0.25">
      <c r="C7384" s="26">
        <v>7382</v>
      </c>
    </row>
    <row r="7385" spans="3:3" x14ac:dyDescent="0.25">
      <c r="C7385" s="26">
        <v>7383</v>
      </c>
    </row>
    <row r="7386" spans="3:3" x14ac:dyDescent="0.25">
      <c r="C7386" s="26">
        <v>7384</v>
      </c>
    </row>
    <row r="7387" spans="3:3" x14ac:dyDescent="0.25">
      <c r="C7387" s="26">
        <v>7385</v>
      </c>
    </row>
    <row r="7388" spans="3:3" x14ac:dyDescent="0.25">
      <c r="C7388" s="26">
        <v>7386</v>
      </c>
    </row>
    <row r="7389" spans="3:3" x14ac:dyDescent="0.25">
      <c r="C7389" s="26">
        <v>7387</v>
      </c>
    </row>
    <row r="7390" spans="3:3" x14ac:dyDescent="0.25">
      <c r="C7390" s="26">
        <v>7388</v>
      </c>
    </row>
    <row r="7391" spans="3:3" x14ac:dyDescent="0.25">
      <c r="C7391" s="26">
        <v>7389</v>
      </c>
    </row>
    <row r="7392" spans="3:3" x14ac:dyDescent="0.25">
      <c r="C7392" s="26">
        <v>7390</v>
      </c>
    </row>
    <row r="7393" spans="3:3" x14ac:dyDescent="0.25">
      <c r="C7393" s="26">
        <v>7391</v>
      </c>
    </row>
    <row r="7394" spans="3:3" x14ac:dyDescent="0.25">
      <c r="C7394" s="26">
        <v>7392</v>
      </c>
    </row>
    <row r="7395" spans="3:3" x14ac:dyDescent="0.25">
      <c r="C7395" s="26">
        <v>7393</v>
      </c>
    </row>
    <row r="7396" spans="3:3" x14ac:dyDescent="0.25">
      <c r="C7396" s="26">
        <v>7394</v>
      </c>
    </row>
    <row r="7397" spans="3:3" x14ac:dyDescent="0.25">
      <c r="C7397" s="26">
        <v>7395</v>
      </c>
    </row>
    <row r="7398" spans="3:3" x14ac:dyDescent="0.25">
      <c r="C7398" s="26">
        <v>7396</v>
      </c>
    </row>
    <row r="7399" spans="3:3" x14ac:dyDescent="0.25">
      <c r="C7399" s="26">
        <v>7397</v>
      </c>
    </row>
    <row r="7400" spans="3:3" x14ac:dyDescent="0.25">
      <c r="C7400" s="26">
        <v>7398</v>
      </c>
    </row>
    <row r="7401" spans="3:3" x14ac:dyDescent="0.25">
      <c r="C7401" s="26">
        <v>7399</v>
      </c>
    </row>
    <row r="7402" spans="3:3" x14ac:dyDescent="0.25">
      <c r="C7402" s="26">
        <v>7400</v>
      </c>
    </row>
    <row r="7403" spans="3:3" x14ac:dyDescent="0.25">
      <c r="C7403" s="26">
        <v>7401</v>
      </c>
    </row>
    <row r="7404" spans="3:3" x14ac:dyDescent="0.25">
      <c r="C7404" s="26">
        <v>7402</v>
      </c>
    </row>
    <row r="7405" spans="3:3" x14ac:dyDescent="0.25">
      <c r="C7405" s="26">
        <v>7403</v>
      </c>
    </row>
    <row r="7406" spans="3:3" x14ac:dyDescent="0.25">
      <c r="C7406" s="26">
        <v>7404</v>
      </c>
    </row>
    <row r="7407" spans="3:3" x14ac:dyDescent="0.25">
      <c r="C7407" s="26">
        <v>7405</v>
      </c>
    </row>
    <row r="7408" spans="3:3" x14ac:dyDescent="0.25">
      <c r="C7408" s="26">
        <v>7406</v>
      </c>
    </row>
    <row r="7409" spans="3:3" x14ac:dyDescent="0.25">
      <c r="C7409" s="26">
        <v>7407</v>
      </c>
    </row>
    <row r="7410" spans="3:3" x14ac:dyDescent="0.25">
      <c r="C7410" s="26">
        <v>7408</v>
      </c>
    </row>
    <row r="7411" spans="3:3" x14ac:dyDescent="0.25">
      <c r="C7411" s="26">
        <v>7409</v>
      </c>
    </row>
    <row r="7412" spans="3:3" x14ac:dyDescent="0.25">
      <c r="C7412" s="26">
        <v>7410</v>
      </c>
    </row>
    <row r="7413" spans="3:3" x14ac:dyDescent="0.25">
      <c r="C7413" s="26">
        <v>7411</v>
      </c>
    </row>
    <row r="7414" spans="3:3" x14ac:dyDescent="0.25">
      <c r="C7414" s="26">
        <v>7412</v>
      </c>
    </row>
    <row r="7415" spans="3:3" x14ac:dyDescent="0.25">
      <c r="C7415" s="26">
        <v>7413</v>
      </c>
    </row>
    <row r="7416" spans="3:3" x14ac:dyDescent="0.25">
      <c r="C7416" s="26">
        <v>7414</v>
      </c>
    </row>
    <row r="7417" spans="3:3" x14ac:dyDescent="0.25">
      <c r="C7417" s="26">
        <v>7415</v>
      </c>
    </row>
    <row r="7418" spans="3:3" x14ac:dyDescent="0.25">
      <c r="C7418" s="26">
        <v>7416</v>
      </c>
    </row>
    <row r="7419" spans="3:3" x14ac:dyDescent="0.25">
      <c r="C7419" s="26">
        <v>7417</v>
      </c>
    </row>
    <row r="7420" spans="3:3" x14ac:dyDescent="0.25">
      <c r="C7420" s="26">
        <v>7418</v>
      </c>
    </row>
    <row r="7421" spans="3:3" x14ac:dyDescent="0.25">
      <c r="C7421" s="26">
        <v>7419</v>
      </c>
    </row>
    <row r="7422" spans="3:3" x14ac:dyDescent="0.25">
      <c r="C7422" s="26">
        <v>7420</v>
      </c>
    </row>
    <row r="7423" spans="3:3" x14ac:dyDescent="0.25">
      <c r="C7423" s="26">
        <v>7421</v>
      </c>
    </row>
    <row r="7424" spans="3:3" x14ac:dyDescent="0.25">
      <c r="C7424" s="26">
        <v>7422</v>
      </c>
    </row>
    <row r="7425" spans="3:3" x14ac:dyDescent="0.25">
      <c r="C7425" s="26">
        <v>7423</v>
      </c>
    </row>
    <row r="7426" spans="3:3" x14ac:dyDescent="0.25">
      <c r="C7426" s="26">
        <v>7424</v>
      </c>
    </row>
    <row r="7427" spans="3:3" x14ac:dyDescent="0.25">
      <c r="C7427" s="26">
        <v>7425</v>
      </c>
    </row>
    <row r="7428" spans="3:3" x14ac:dyDescent="0.25">
      <c r="C7428" s="26">
        <v>7426</v>
      </c>
    </row>
    <row r="7429" spans="3:3" x14ac:dyDescent="0.25">
      <c r="C7429" s="26">
        <v>7427</v>
      </c>
    </row>
    <row r="7430" spans="3:3" x14ac:dyDescent="0.25">
      <c r="C7430" s="26">
        <v>7428</v>
      </c>
    </row>
    <row r="7431" spans="3:3" x14ac:dyDescent="0.25">
      <c r="C7431" s="26">
        <v>7429</v>
      </c>
    </row>
    <row r="7432" spans="3:3" x14ac:dyDescent="0.25">
      <c r="C7432" s="26">
        <v>7430</v>
      </c>
    </row>
    <row r="7433" spans="3:3" x14ac:dyDescent="0.25">
      <c r="C7433" s="26">
        <v>7431</v>
      </c>
    </row>
    <row r="7434" spans="3:3" x14ac:dyDescent="0.25">
      <c r="C7434" s="26">
        <v>7432</v>
      </c>
    </row>
    <row r="7435" spans="3:3" x14ac:dyDescent="0.25">
      <c r="C7435" s="26">
        <v>7433</v>
      </c>
    </row>
    <row r="7436" spans="3:3" x14ac:dyDescent="0.25">
      <c r="C7436" s="26">
        <v>7434</v>
      </c>
    </row>
    <row r="7437" spans="3:3" x14ac:dyDescent="0.25">
      <c r="C7437" s="26">
        <v>7435</v>
      </c>
    </row>
    <row r="7438" spans="3:3" x14ac:dyDescent="0.25">
      <c r="C7438" s="26">
        <v>7436</v>
      </c>
    </row>
    <row r="7439" spans="3:3" x14ac:dyDescent="0.25">
      <c r="C7439" s="26">
        <v>7437</v>
      </c>
    </row>
    <row r="7440" spans="3:3" x14ac:dyDescent="0.25">
      <c r="C7440" s="26">
        <v>7438</v>
      </c>
    </row>
    <row r="7441" spans="3:3" x14ac:dyDescent="0.25">
      <c r="C7441" s="26">
        <v>7439</v>
      </c>
    </row>
    <row r="7442" spans="3:3" x14ac:dyDescent="0.25">
      <c r="C7442" s="26">
        <v>7440</v>
      </c>
    </row>
    <row r="7443" spans="3:3" x14ac:dyDescent="0.25">
      <c r="C7443" s="26">
        <v>7441</v>
      </c>
    </row>
    <row r="7444" spans="3:3" x14ac:dyDescent="0.25">
      <c r="C7444" s="26">
        <v>7442</v>
      </c>
    </row>
    <row r="7445" spans="3:3" x14ac:dyDescent="0.25">
      <c r="C7445" s="26">
        <v>7443</v>
      </c>
    </row>
    <row r="7446" spans="3:3" x14ac:dyDescent="0.25">
      <c r="C7446" s="26">
        <v>7444</v>
      </c>
    </row>
    <row r="7447" spans="3:3" x14ac:dyDescent="0.25">
      <c r="C7447" s="26">
        <v>7445</v>
      </c>
    </row>
    <row r="7448" spans="3:3" x14ac:dyDescent="0.25">
      <c r="C7448" s="26">
        <v>7446</v>
      </c>
    </row>
    <row r="7449" spans="3:3" x14ac:dyDescent="0.25">
      <c r="C7449" s="26">
        <v>7447</v>
      </c>
    </row>
    <row r="7450" spans="3:3" x14ac:dyDescent="0.25">
      <c r="C7450" s="26">
        <v>7448</v>
      </c>
    </row>
    <row r="7451" spans="3:3" x14ac:dyDescent="0.25">
      <c r="C7451" s="26">
        <v>7449</v>
      </c>
    </row>
    <row r="7452" spans="3:3" x14ac:dyDescent="0.25">
      <c r="C7452" s="26">
        <v>7450</v>
      </c>
    </row>
    <row r="7453" spans="3:3" x14ac:dyDescent="0.25">
      <c r="C7453" s="26">
        <v>7451</v>
      </c>
    </row>
    <row r="7454" spans="3:3" x14ac:dyDescent="0.25">
      <c r="C7454" s="26">
        <v>7452</v>
      </c>
    </row>
    <row r="7455" spans="3:3" x14ac:dyDescent="0.25">
      <c r="C7455" s="26">
        <v>7453</v>
      </c>
    </row>
    <row r="7456" spans="3:3" x14ac:dyDescent="0.25">
      <c r="C7456" s="26">
        <v>7454</v>
      </c>
    </row>
    <row r="7457" spans="3:3" x14ac:dyDescent="0.25">
      <c r="C7457" s="26">
        <v>7455</v>
      </c>
    </row>
    <row r="7458" spans="3:3" x14ac:dyDescent="0.25">
      <c r="C7458" s="26">
        <v>7456</v>
      </c>
    </row>
    <row r="7459" spans="3:3" x14ac:dyDescent="0.25">
      <c r="C7459" s="26">
        <v>7457</v>
      </c>
    </row>
    <row r="7460" spans="3:3" x14ac:dyDescent="0.25">
      <c r="C7460" s="26">
        <v>7458</v>
      </c>
    </row>
    <row r="7461" spans="3:3" x14ac:dyDescent="0.25">
      <c r="C7461" s="26">
        <v>7459</v>
      </c>
    </row>
    <row r="7462" spans="3:3" x14ac:dyDescent="0.25">
      <c r="C7462" s="26">
        <v>7460</v>
      </c>
    </row>
    <row r="7463" spans="3:3" x14ac:dyDescent="0.25">
      <c r="C7463" s="26">
        <v>7461</v>
      </c>
    </row>
    <row r="7464" spans="3:3" x14ac:dyDescent="0.25">
      <c r="C7464" s="26">
        <v>7462</v>
      </c>
    </row>
    <row r="7465" spans="3:3" x14ac:dyDescent="0.25">
      <c r="C7465" s="26">
        <v>7463</v>
      </c>
    </row>
    <row r="7466" spans="3:3" x14ac:dyDescent="0.25">
      <c r="C7466" s="26">
        <v>7464</v>
      </c>
    </row>
    <row r="7467" spans="3:3" x14ac:dyDescent="0.25">
      <c r="C7467" s="26">
        <v>7465</v>
      </c>
    </row>
    <row r="7468" spans="3:3" x14ac:dyDescent="0.25">
      <c r="C7468" s="26">
        <v>7466</v>
      </c>
    </row>
    <row r="7469" spans="3:3" x14ac:dyDescent="0.25">
      <c r="C7469" s="26">
        <v>7467</v>
      </c>
    </row>
    <row r="7470" spans="3:3" x14ac:dyDescent="0.25">
      <c r="C7470" s="26">
        <v>7468</v>
      </c>
    </row>
    <row r="7471" spans="3:3" x14ac:dyDescent="0.25">
      <c r="C7471" s="26">
        <v>7469</v>
      </c>
    </row>
    <row r="7472" spans="3:3" x14ac:dyDescent="0.25">
      <c r="C7472" s="26">
        <v>7470</v>
      </c>
    </row>
    <row r="7473" spans="3:3" x14ac:dyDescent="0.25">
      <c r="C7473" s="26">
        <v>7471</v>
      </c>
    </row>
    <row r="7474" spans="3:3" x14ac:dyDescent="0.25">
      <c r="C7474" s="26">
        <v>7472</v>
      </c>
    </row>
    <row r="7475" spans="3:3" x14ac:dyDescent="0.25">
      <c r="C7475" s="26">
        <v>7473</v>
      </c>
    </row>
    <row r="7476" spans="3:3" x14ac:dyDescent="0.25">
      <c r="C7476" s="26">
        <v>7474</v>
      </c>
    </row>
    <row r="7477" spans="3:3" x14ac:dyDescent="0.25">
      <c r="C7477" s="26">
        <v>7475</v>
      </c>
    </row>
    <row r="7478" spans="3:3" x14ac:dyDescent="0.25">
      <c r="C7478" s="26">
        <v>7476</v>
      </c>
    </row>
    <row r="7479" spans="3:3" x14ac:dyDescent="0.25">
      <c r="C7479" s="26">
        <v>7477</v>
      </c>
    </row>
    <row r="7480" spans="3:3" x14ac:dyDescent="0.25">
      <c r="C7480" s="26">
        <v>7478</v>
      </c>
    </row>
    <row r="7481" spans="3:3" x14ac:dyDescent="0.25">
      <c r="C7481" s="26">
        <v>7479</v>
      </c>
    </row>
    <row r="7482" spans="3:3" x14ac:dyDescent="0.25">
      <c r="C7482" s="26">
        <v>7480</v>
      </c>
    </row>
    <row r="7483" spans="3:3" x14ac:dyDescent="0.25">
      <c r="C7483" s="26">
        <v>7481</v>
      </c>
    </row>
    <row r="7484" spans="3:3" x14ac:dyDescent="0.25">
      <c r="C7484" s="26">
        <v>7482</v>
      </c>
    </row>
    <row r="7485" spans="3:3" x14ac:dyDescent="0.25">
      <c r="C7485" s="26">
        <v>7483</v>
      </c>
    </row>
    <row r="7486" spans="3:3" x14ac:dyDescent="0.25">
      <c r="C7486" s="26">
        <v>7484</v>
      </c>
    </row>
    <row r="7487" spans="3:3" x14ac:dyDescent="0.25">
      <c r="C7487" s="26">
        <v>7485</v>
      </c>
    </row>
    <row r="7488" spans="3:3" x14ac:dyDescent="0.25">
      <c r="C7488" s="26">
        <v>7486</v>
      </c>
    </row>
    <row r="7489" spans="3:3" x14ac:dyDescent="0.25">
      <c r="C7489" s="26">
        <v>7487</v>
      </c>
    </row>
    <row r="7490" spans="3:3" x14ac:dyDescent="0.25">
      <c r="C7490" s="26">
        <v>7488</v>
      </c>
    </row>
    <row r="7491" spans="3:3" x14ac:dyDescent="0.25">
      <c r="C7491" s="26">
        <v>7489</v>
      </c>
    </row>
    <row r="7492" spans="3:3" x14ac:dyDescent="0.25">
      <c r="C7492" s="26">
        <v>7490</v>
      </c>
    </row>
    <row r="7493" spans="3:3" x14ac:dyDescent="0.25">
      <c r="C7493" s="26">
        <v>7491</v>
      </c>
    </row>
    <row r="7494" spans="3:3" x14ac:dyDescent="0.25">
      <c r="C7494" s="26">
        <v>7492</v>
      </c>
    </row>
    <row r="7495" spans="3:3" x14ac:dyDescent="0.25">
      <c r="C7495" s="26">
        <v>7493</v>
      </c>
    </row>
    <row r="7496" spans="3:3" x14ac:dyDescent="0.25">
      <c r="C7496" s="26">
        <v>7494</v>
      </c>
    </row>
    <row r="7497" spans="3:3" x14ac:dyDescent="0.25">
      <c r="C7497" s="26">
        <v>7495</v>
      </c>
    </row>
    <row r="7498" spans="3:3" x14ac:dyDescent="0.25">
      <c r="C7498" s="26">
        <v>7496</v>
      </c>
    </row>
    <row r="7499" spans="3:3" x14ac:dyDescent="0.25">
      <c r="C7499" s="26">
        <v>7497</v>
      </c>
    </row>
    <row r="7500" spans="3:3" x14ac:dyDescent="0.25">
      <c r="C7500" s="26">
        <v>7498</v>
      </c>
    </row>
    <row r="7501" spans="3:3" x14ac:dyDescent="0.25">
      <c r="C7501" s="26">
        <v>7499</v>
      </c>
    </row>
    <row r="7502" spans="3:3" x14ac:dyDescent="0.25">
      <c r="C7502" s="26">
        <v>7500</v>
      </c>
    </row>
    <row r="7503" spans="3:3" x14ac:dyDescent="0.25">
      <c r="C7503" s="26">
        <v>7501</v>
      </c>
    </row>
    <row r="7504" spans="3:3" x14ac:dyDescent="0.25">
      <c r="C7504" s="26">
        <v>7502</v>
      </c>
    </row>
    <row r="7505" spans="3:3" x14ac:dyDescent="0.25">
      <c r="C7505" s="26">
        <v>7503</v>
      </c>
    </row>
    <row r="7506" spans="3:3" x14ac:dyDescent="0.25">
      <c r="C7506" s="26">
        <v>7504</v>
      </c>
    </row>
    <row r="7507" spans="3:3" x14ac:dyDescent="0.25">
      <c r="C7507" s="26">
        <v>7505</v>
      </c>
    </row>
    <row r="7508" spans="3:3" x14ac:dyDescent="0.25">
      <c r="C7508" s="26">
        <v>7506</v>
      </c>
    </row>
    <row r="7509" spans="3:3" x14ac:dyDescent="0.25">
      <c r="C7509" s="26">
        <v>7507</v>
      </c>
    </row>
    <row r="7510" spans="3:3" x14ac:dyDescent="0.25">
      <c r="C7510" s="26">
        <v>7508</v>
      </c>
    </row>
    <row r="7511" spans="3:3" x14ac:dyDescent="0.25">
      <c r="C7511" s="26">
        <v>7509</v>
      </c>
    </row>
    <row r="7512" spans="3:3" x14ac:dyDescent="0.25">
      <c r="C7512" s="26">
        <v>7510</v>
      </c>
    </row>
    <row r="7513" spans="3:3" x14ac:dyDescent="0.25">
      <c r="C7513" s="26">
        <v>7511</v>
      </c>
    </row>
    <row r="7514" spans="3:3" x14ac:dyDescent="0.25">
      <c r="C7514" s="26">
        <v>7512</v>
      </c>
    </row>
    <row r="7515" spans="3:3" x14ac:dyDescent="0.25">
      <c r="C7515" s="26">
        <v>7513</v>
      </c>
    </row>
    <row r="7516" spans="3:3" x14ac:dyDescent="0.25">
      <c r="C7516" s="26">
        <v>7514</v>
      </c>
    </row>
    <row r="7517" spans="3:3" x14ac:dyDescent="0.25">
      <c r="C7517" s="26">
        <v>7515</v>
      </c>
    </row>
    <row r="7518" spans="3:3" x14ac:dyDescent="0.25">
      <c r="C7518" s="26">
        <v>7516</v>
      </c>
    </row>
    <row r="7519" spans="3:3" x14ac:dyDescent="0.25">
      <c r="C7519" s="26">
        <v>7517</v>
      </c>
    </row>
    <row r="7520" spans="3:3" x14ac:dyDescent="0.25">
      <c r="C7520" s="26">
        <v>7518</v>
      </c>
    </row>
    <row r="7521" spans="3:3" x14ac:dyDescent="0.25">
      <c r="C7521" s="26">
        <v>7519</v>
      </c>
    </row>
    <row r="7522" spans="3:3" x14ac:dyDescent="0.25">
      <c r="C7522" s="26">
        <v>7520</v>
      </c>
    </row>
    <row r="7523" spans="3:3" x14ac:dyDescent="0.25">
      <c r="C7523" s="26">
        <v>7521</v>
      </c>
    </row>
    <row r="7524" spans="3:3" x14ac:dyDescent="0.25">
      <c r="C7524" s="26">
        <v>7522</v>
      </c>
    </row>
    <row r="7525" spans="3:3" x14ac:dyDescent="0.25">
      <c r="C7525" s="26">
        <v>7523</v>
      </c>
    </row>
    <row r="7526" spans="3:3" x14ac:dyDescent="0.25">
      <c r="C7526" s="26">
        <v>7524</v>
      </c>
    </row>
    <row r="7527" spans="3:3" x14ac:dyDescent="0.25">
      <c r="C7527" s="26">
        <v>7525</v>
      </c>
    </row>
    <row r="7528" spans="3:3" x14ac:dyDescent="0.25">
      <c r="C7528" s="26">
        <v>7526</v>
      </c>
    </row>
    <row r="7529" spans="3:3" x14ac:dyDescent="0.25">
      <c r="C7529" s="26">
        <v>7527</v>
      </c>
    </row>
    <row r="7530" spans="3:3" x14ac:dyDescent="0.25">
      <c r="C7530" s="26">
        <v>7528</v>
      </c>
    </row>
    <row r="7531" spans="3:3" x14ac:dyDescent="0.25">
      <c r="C7531" s="26">
        <v>7529</v>
      </c>
    </row>
    <row r="7532" spans="3:3" x14ac:dyDescent="0.25">
      <c r="C7532" s="26">
        <v>7530</v>
      </c>
    </row>
    <row r="7533" spans="3:3" x14ac:dyDescent="0.25">
      <c r="C7533" s="26">
        <v>7531</v>
      </c>
    </row>
    <row r="7534" spans="3:3" x14ac:dyDescent="0.25">
      <c r="C7534" s="26">
        <v>7532</v>
      </c>
    </row>
    <row r="7535" spans="3:3" x14ac:dyDescent="0.25">
      <c r="C7535" s="26">
        <v>7533</v>
      </c>
    </row>
    <row r="7536" spans="3:3" x14ac:dyDescent="0.25">
      <c r="C7536" s="26">
        <v>7534</v>
      </c>
    </row>
    <row r="7537" spans="3:3" x14ac:dyDescent="0.25">
      <c r="C7537" s="26">
        <v>7535</v>
      </c>
    </row>
    <row r="7538" spans="3:3" x14ac:dyDescent="0.25">
      <c r="C7538" s="26">
        <v>7536</v>
      </c>
    </row>
    <row r="7539" spans="3:3" x14ac:dyDescent="0.25">
      <c r="C7539" s="26">
        <v>7537</v>
      </c>
    </row>
    <row r="7540" spans="3:3" x14ac:dyDescent="0.25">
      <c r="C7540" s="26">
        <v>7538</v>
      </c>
    </row>
    <row r="7541" spans="3:3" x14ac:dyDescent="0.25">
      <c r="C7541" s="26">
        <v>7539</v>
      </c>
    </row>
    <row r="7542" spans="3:3" x14ac:dyDescent="0.25">
      <c r="C7542" s="26">
        <v>7540</v>
      </c>
    </row>
    <row r="7543" spans="3:3" x14ac:dyDescent="0.25">
      <c r="C7543" s="26">
        <v>7541</v>
      </c>
    </row>
    <row r="7544" spans="3:3" x14ac:dyDescent="0.25">
      <c r="C7544" s="26">
        <v>7542</v>
      </c>
    </row>
    <row r="7545" spans="3:3" x14ac:dyDescent="0.25">
      <c r="C7545" s="26">
        <v>7543</v>
      </c>
    </row>
    <row r="7546" spans="3:3" x14ac:dyDescent="0.25">
      <c r="C7546" s="26">
        <v>7544</v>
      </c>
    </row>
    <row r="7547" spans="3:3" x14ac:dyDescent="0.25">
      <c r="C7547" s="26">
        <v>7545</v>
      </c>
    </row>
    <row r="7548" spans="3:3" x14ac:dyDescent="0.25">
      <c r="C7548" s="26">
        <v>7546</v>
      </c>
    </row>
    <row r="7549" spans="3:3" x14ac:dyDescent="0.25">
      <c r="C7549" s="26">
        <v>7547</v>
      </c>
    </row>
    <row r="7550" spans="3:3" x14ac:dyDescent="0.25">
      <c r="C7550" s="26">
        <v>7548</v>
      </c>
    </row>
    <row r="7551" spans="3:3" x14ac:dyDescent="0.25">
      <c r="C7551" s="26">
        <v>7549</v>
      </c>
    </row>
    <row r="7552" spans="3:3" x14ac:dyDescent="0.25">
      <c r="C7552" s="26">
        <v>7550</v>
      </c>
    </row>
    <row r="7553" spans="3:3" x14ac:dyDescent="0.25">
      <c r="C7553" s="26">
        <v>7551</v>
      </c>
    </row>
    <row r="7554" spans="3:3" x14ac:dyDescent="0.25">
      <c r="C7554" s="26">
        <v>7552</v>
      </c>
    </row>
    <row r="7555" spans="3:3" x14ac:dyDescent="0.25">
      <c r="C7555" s="26">
        <v>7553</v>
      </c>
    </row>
    <row r="7556" spans="3:3" x14ac:dyDescent="0.25">
      <c r="C7556" s="26">
        <v>7554</v>
      </c>
    </row>
    <row r="7557" spans="3:3" x14ac:dyDescent="0.25">
      <c r="C7557" s="26">
        <v>7555</v>
      </c>
    </row>
    <row r="7558" spans="3:3" x14ac:dyDescent="0.25">
      <c r="C7558" s="26">
        <v>7556</v>
      </c>
    </row>
    <row r="7559" spans="3:3" x14ac:dyDescent="0.25">
      <c r="C7559" s="26">
        <v>7557</v>
      </c>
    </row>
    <row r="7560" spans="3:3" x14ac:dyDescent="0.25">
      <c r="C7560" s="26">
        <v>7558</v>
      </c>
    </row>
    <row r="7561" spans="3:3" x14ac:dyDescent="0.25">
      <c r="C7561" s="26">
        <v>7559</v>
      </c>
    </row>
    <row r="7562" spans="3:3" x14ac:dyDescent="0.25">
      <c r="C7562" s="26">
        <v>7560</v>
      </c>
    </row>
    <row r="7563" spans="3:3" x14ac:dyDescent="0.25">
      <c r="C7563" s="26">
        <v>7561</v>
      </c>
    </row>
    <row r="7564" spans="3:3" x14ac:dyDescent="0.25">
      <c r="C7564" s="26">
        <v>7562</v>
      </c>
    </row>
    <row r="7565" spans="3:3" x14ac:dyDescent="0.25">
      <c r="C7565" s="26">
        <v>7563</v>
      </c>
    </row>
    <row r="7566" spans="3:3" x14ac:dyDescent="0.25">
      <c r="C7566" s="26">
        <v>7564</v>
      </c>
    </row>
    <row r="7567" spans="3:3" x14ac:dyDescent="0.25">
      <c r="C7567" s="26">
        <v>7565</v>
      </c>
    </row>
    <row r="7568" spans="3:3" x14ac:dyDescent="0.25">
      <c r="C7568" s="26">
        <v>7566</v>
      </c>
    </row>
    <row r="7569" spans="3:3" x14ac:dyDescent="0.25">
      <c r="C7569" s="26">
        <v>7567</v>
      </c>
    </row>
    <row r="7570" spans="3:3" x14ac:dyDescent="0.25">
      <c r="C7570" s="26">
        <v>7568</v>
      </c>
    </row>
    <row r="7571" spans="3:3" x14ac:dyDescent="0.25">
      <c r="C7571" s="26">
        <v>7569</v>
      </c>
    </row>
    <row r="7572" spans="3:3" x14ac:dyDescent="0.25">
      <c r="C7572" s="26">
        <v>7570</v>
      </c>
    </row>
    <row r="7573" spans="3:3" x14ac:dyDescent="0.25">
      <c r="C7573" s="26">
        <v>7571</v>
      </c>
    </row>
    <row r="7574" spans="3:3" x14ac:dyDescent="0.25">
      <c r="C7574" s="26">
        <v>7572</v>
      </c>
    </row>
    <row r="7575" spans="3:3" x14ac:dyDescent="0.25">
      <c r="C7575" s="26">
        <v>7573</v>
      </c>
    </row>
    <row r="7576" spans="3:3" x14ac:dyDescent="0.25">
      <c r="C7576" s="26">
        <v>7574</v>
      </c>
    </row>
    <row r="7577" spans="3:3" x14ac:dyDescent="0.25">
      <c r="C7577" s="26">
        <v>7575</v>
      </c>
    </row>
    <row r="7578" spans="3:3" x14ac:dyDescent="0.25">
      <c r="C7578" s="26">
        <v>7576</v>
      </c>
    </row>
    <row r="7579" spans="3:3" x14ac:dyDescent="0.25">
      <c r="C7579" s="26">
        <v>7577</v>
      </c>
    </row>
    <row r="7580" spans="3:3" x14ac:dyDescent="0.25">
      <c r="C7580" s="26">
        <v>7578</v>
      </c>
    </row>
    <row r="7581" spans="3:3" x14ac:dyDescent="0.25">
      <c r="C7581" s="26">
        <v>7579</v>
      </c>
    </row>
    <row r="7582" spans="3:3" x14ac:dyDescent="0.25">
      <c r="C7582" s="26">
        <v>7580</v>
      </c>
    </row>
    <row r="7583" spans="3:3" x14ac:dyDescent="0.25">
      <c r="C7583" s="26">
        <v>7581</v>
      </c>
    </row>
    <row r="7584" spans="3:3" x14ac:dyDescent="0.25">
      <c r="C7584" s="26">
        <v>7582</v>
      </c>
    </row>
    <row r="7585" spans="3:3" x14ac:dyDescent="0.25">
      <c r="C7585" s="26">
        <v>7583</v>
      </c>
    </row>
    <row r="7586" spans="3:3" x14ac:dyDescent="0.25">
      <c r="C7586" s="26">
        <v>7584</v>
      </c>
    </row>
    <row r="7587" spans="3:3" x14ac:dyDescent="0.25">
      <c r="C7587" s="26">
        <v>7585</v>
      </c>
    </row>
    <row r="7588" spans="3:3" x14ac:dyDescent="0.25">
      <c r="C7588" s="26">
        <v>7586</v>
      </c>
    </row>
    <row r="7589" spans="3:3" x14ac:dyDescent="0.25">
      <c r="C7589" s="26">
        <v>7587</v>
      </c>
    </row>
    <row r="7590" spans="3:3" x14ac:dyDescent="0.25">
      <c r="C7590" s="26">
        <v>7588</v>
      </c>
    </row>
    <row r="7591" spans="3:3" x14ac:dyDescent="0.25">
      <c r="C7591" s="26">
        <v>7589</v>
      </c>
    </row>
    <row r="7592" spans="3:3" x14ac:dyDescent="0.25">
      <c r="C7592" s="26">
        <v>7590</v>
      </c>
    </row>
    <row r="7593" spans="3:3" x14ac:dyDescent="0.25">
      <c r="C7593" s="26">
        <v>7591</v>
      </c>
    </row>
    <row r="7594" spans="3:3" x14ac:dyDescent="0.25">
      <c r="C7594" s="26">
        <v>7592</v>
      </c>
    </row>
    <row r="7595" spans="3:3" x14ac:dyDescent="0.25">
      <c r="C7595" s="26">
        <v>7593</v>
      </c>
    </row>
    <row r="7596" spans="3:3" x14ac:dyDescent="0.25">
      <c r="C7596" s="26">
        <v>7594</v>
      </c>
    </row>
    <row r="7597" spans="3:3" x14ac:dyDescent="0.25">
      <c r="C7597" s="26">
        <v>7595</v>
      </c>
    </row>
    <row r="7598" spans="3:3" x14ac:dyDescent="0.25">
      <c r="C7598" s="26">
        <v>7596</v>
      </c>
    </row>
    <row r="7599" spans="3:3" x14ac:dyDescent="0.25">
      <c r="C7599" s="26">
        <v>7597</v>
      </c>
    </row>
    <row r="7600" spans="3:3" x14ac:dyDescent="0.25">
      <c r="C7600" s="26">
        <v>7598</v>
      </c>
    </row>
    <row r="7601" spans="3:3" x14ac:dyDescent="0.25">
      <c r="C7601" s="26">
        <v>7599</v>
      </c>
    </row>
    <row r="7602" spans="3:3" x14ac:dyDescent="0.25">
      <c r="C7602" s="26">
        <v>7600</v>
      </c>
    </row>
    <row r="7603" spans="3:3" x14ac:dyDescent="0.25">
      <c r="C7603" s="26">
        <v>7601</v>
      </c>
    </row>
    <row r="7604" spans="3:3" x14ac:dyDescent="0.25">
      <c r="C7604" s="26">
        <v>7602</v>
      </c>
    </row>
    <row r="7605" spans="3:3" x14ac:dyDescent="0.25">
      <c r="C7605" s="26">
        <v>7603</v>
      </c>
    </row>
    <row r="7606" spans="3:3" x14ac:dyDescent="0.25">
      <c r="C7606" s="26">
        <v>7604</v>
      </c>
    </row>
    <row r="7607" spans="3:3" x14ac:dyDescent="0.25">
      <c r="C7607" s="26">
        <v>7605</v>
      </c>
    </row>
    <row r="7608" spans="3:3" x14ac:dyDescent="0.25">
      <c r="C7608" s="26">
        <v>7606</v>
      </c>
    </row>
    <row r="7609" spans="3:3" x14ac:dyDescent="0.25">
      <c r="C7609" s="26">
        <v>7607</v>
      </c>
    </row>
    <row r="7610" spans="3:3" x14ac:dyDescent="0.25">
      <c r="C7610" s="26">
        <v>7608</v>
      </c>
    </row>
    <row r="7611" spans="3:3" x14ac:dyDescent="0.25">
      <c r="C7611" s="26">
        <v>7609</v>
      </c>
    </row>
    <row r="7612" spans="3:3" x14ac:dyDescent="0.25">
      <c r="C7612" s="26">
        <v>7610</v>
      </c>
    </row>
    <row r="7613" spans="3:3" x14ac:dyDescent="0.25">
      <c r="C7613" s="26">
        <v>7611</v>
      </c>
    </row>
    <row r="7614" spans="3:3" x14ac:dyDescent="0.25">
      <c r="C7614" s="26">
        <v>7612</v>
      </c>
    </row>
    <row r="7615" spans="3:3" x14ac:dyDescent="0.25">
      <c r="C7615" s="26">
        <v>7613</v>
      </c>
    </row>
    <row r="7616" spans="3:3" x14ac:dyDescent="0.25">
      <c r="C7616" s="26">
        <v>7614</v>
      </c>
    </row>
    <row r="7617" spans="3:3" x14ac:dyDescent="0.25">
      <c r="C7617" s="26">
        <v>7615</v>
      </c>
    </row>
    <row r="7618" spans="3:3" x14ac:dyDescent="0.25">
      <c r="C7618" s="26">
        <v>7616</v>
      </c>
    </row>
    <row r="7619" spans="3:3" x14ac:dyDescent="0.25">
      <c r="C7619" s="26">
        <v>7617</v>
      </c>
    </row>
    <row r="7620" spans="3:3" x14ac:dyDescent="0.25">
      <c r="C7620" s="26">
        <v>7618</v>
      </c>
    </row>
    <row r="7621" spans="3:3" x14ac:dyDescent="0.25">
      <c r="C7621" s="26">
        <v>7619</v>
      </c>
    </row>
    <row r="7622" spans="3:3" x14ac:dyDescent="0.25">
      <c r="C7622" s="26">
        <v>7620</v>
      </c>
    </row>
    <row r="7623" spans="3:3" x14ac:dyDescent="0.25">
      <c r="C7623" s="26">
        <v>7621</v>
      </c>
    </row>
    <row r="7624" spans="3:3" x14ac:dyDescent="0.25">
      <c r="C7624" s="26">
        <v>7622</v>
      </c>
    </row>
    <row r="7625" spans="3:3" x14ac:dyDescent="0.25">
      <c r="C7625" s="26">
        <v>7623</v>
      </c>
    </row>
    <row r="7626" spans="3:3" x14ac:dyDescent="0.25">
      <c r="C7626" s="26">
        <v>7624</v>
      </c>
    </row>
    <row r="7627" spans="3:3" x14ac:dyDescent="0.25">
      <c r="C7627" s="26">
        <v>7625</v>
      </c>
    </row>
    <row r="7628" spans="3:3" x14ac:dyDescent="0.25">
      <c r="C7628" s="26">
        <v>7626</v>
      </c>
    </row>
    <row r="7629" spans="3:3" x14ac:dyDescent="0.25">
      <c r="C7629" s="26">
        <v>7627</v>
      </c>
    </row>
    <row r="7630" spans="3:3" x14ac:dyDescent="0.25">
      <c r="C7630" s="26">
        <v>7628</v>
      </c>
    </row>
    <row r="7631" spans="3:3" x14ac:dyDescent="0.25">
      <c r="C7631" s="26">
        <v>7629</v>
      </c>
    </row>
    <row r="7632" spans="3:3" x14ac:dyDescent="0.25">
      <c r="C7632" s="26">
        <v>7630</v>
      </c>
    </row>
    <row r="7633" spans="3:3" x14ac:dyDescent="0.25">
      <c r="C7633" s="26">
        <v>7631</v>
      </c>
    </row>
    <row r="7634" spans="3:3" x14ac:dyDescent="0.25">
      <c r="C7634" s="26">
        <v>7632</v>
      </c>
    </row>
    <row r="7635" spans="3:3" x14ac:dyDescent="0.25">
      <c r="C7635" s="26">
        <v>7633</v>
      </c>
    </row>
    <row r="7636" spans="3:3" x14ac:dyDescent="0.25">
      <c r="C7636" s="26">
        <v>7634</v>
      </c>
    </row>
    <row r="7637" spans="3:3" x14ac:dyDescent="0.25">
      <c r="C7637" s="26">
        <v>7635</v>
      </c>
    </row>
    <row r="7638" spans="3:3" x14ac:dyDescent="0.25">
      <c r="C7638" s="26">
        <v>7636</v>
      </c>
    </row>
    <row r="7639" spans="3:3" x14ac:dyDescent="0.25">
      <c r="C7639" s="26">
        <v>7637</v>
      </c>
    </row>
    <row r="7640" spans="3:3" x14ac:dyDescent="0.25">
      <c r="C7640" s="26">
        <v>7638</v>
      </c>
    </row>
    <row r="7641" spans="3:3" x14ac:dyDescent="0.25">
      <c r="C7641" s="26">
        <v>7639</v>
      </c>
    </row>
    <row r="7642" spans="3:3" x14ac:dyDescent="0.25">
      <c r="C7642" s="26">
        <v>7640</v>
      </c>
    </row>
    <row r="7643" spans="3:3" x14ac:dyDescent="0.25">
      <c r="C7643" s="26">
        <v>7641</v>
      </c>
    </row>
    <row r="7644" spans="3:3" x14ac:dyDescent="0.25">
      <c r="C7644" s="26">
        <v>7642</v>
      </c>
    </row>
    <row r="7645" spans="3:3" x14ac:dyDescent="0.25">
      <c r="C7645" s="26">
        <v>7643</v>
      </c>
    </row>
    <row r="7646" spans="3:3" x14ac:dyDescent="0.25">
      <c r="C7646" s="26">
        <v>7644</v>
      </c>
    </row>
    <row r="7647" spans="3:3" x14ac:dyDescent="0.25">
      <c r="C7647" s="26">
        <v>7645</v>
      </c>
    </row>
    <row r="7648" spans="3:3" x14ac:dyDescent="0.25">
      <c r="C7648" s="26">
        <v>7646</v>
      </c>
    </row>
    <row r="7649" spans="3:3" x14ac:dyDescent="0.25">
      <c r="C7649" s="26">
        <v>7647</v>
      </c>
    </row>
    <row r="7650" spans="3:3" x14ac:dyDescent="0.25">
      <c r="C7650" s="26">
        <v>7648</v>
      </c>
    </row>
    <row r="7651" spans="3:3" x14ac:dyDescent="0.25">
      <c r="C7651" s="26">
        <v>7649</v>
      </c>
    </row>
    <row r="7652" spans="3:3" x14ac:dyDescent="0.25">
      <c r="C7652" s="26">
        <v>7650</v>
      </c>
    </row>
    <row r="7653" spans="3:3" x14ac:dyDescent="0.25">
      <c r="C7653" s="26">
        <v>7651</v>
      </c>
    </row>
    <row r="7654" spans="3:3" x14ac:dyDescent="0.25">
      <c r="C7654" s="26">
        <v>7652</v>
      </c>
    </row>
    <row r="7655" spans="3:3" x14ac:dyDescent="0.25">
      <c r="C7655" s="26">
        <v>7653</v>
      </c>
    </row>
    <row r="7656" spans="3:3" x14ac:dyDescent="0.25">
      <c r="C7656" s="26">
        <v>7654</v>
      </c>
    </row>
    <row r="7657" spans="3:3" x14ac:dyDescent="0.25">
      <c r="C7657" s="26">
        <v>7655</v>
      </c>
    </row>
    <row r="7658" spans="3:3" x14ac:dyDescent="0.25">
      <c r="C7658" s="26">
        <v>7656</v>
      </c>
    </row>
    <row r="7659" spans="3:3" x14ac:dyDescent="0.25">
      <c r="C7659" s="26">
        <v>7657</v>
      </c>
    </row>
    <row r="7660" spans="3:3" x14ac:dyDescent="0.25">
      <c r="C7660" s="26">
        <v>7658</v>
      </c>
    </row>
    <row r="7661" spans="3:3" x14ac:dyDescent="0.25">
      <c r="C7661" s="26">
        <v>7659</v>
      </c>
    </row>
    <row r="7662" spans="3:3" x14ac:dyDescent="0.25">
      <c r="C7662" s="26">
        <v>7660</v>
      </c>
    </row>
    <row r="7663" spans="3:3" x14ac:dyDescent="0.25">
      <c r="C7663" s="26">
        <v>7661</v>
      </c>
    </row>
    <row r="7664" spans="3:3" x14ac:dyDescent="0.25">
      <c r="C7664" s="26">
        <v>7662</v>
      </c>
    </row>
    <row r="7665" spans="3:3" x14ac:dyDescent="0.25">
      <c r="C7665" s="26">
        <v>7663</v>
      </c>
    </row>
    <row r="7666" spans="3:3" x14ac:dyDescent="0.25">
      <c r="C7666" s="26">
        <v>7664</v>
      </c>
    </row>
    <row r="7667" spans="3:3" x14ac:dyDescent="0.25">
      <c r="C7667" s="26">
        <v>7665</v>
      </c>
    </row>
    <row r="7668" spans="3:3" x14ac:dyDescent="0.25">
      <c r="C7668" s="26">
        <v>7666</v>
      </c>
    </row>
    <row r="7669" spans="3:3" x14ac:dyDescent="0.25">
      <c r="C7669" s="26">
        <v>7667</v>
      </c>
    </row>
    <row r="7670" spans="3:3" x14ac:dyDescent="0.25">
      <c r="C7670" s="26">
        <v>7668</v>
      </c>
    </row>
    <row r="7671" spans="3:3" x14ac:dyDescent="0.25">
      <c r="C7671" s="26">
        <v>7669</v>
      </c>
    </row>
    <row r="7672" spans="3:3" x14ac:dyDescent="0.25">
      <c r="C7672" s="26">
        <v>7670</v>
      </c>
    </row>
    <row r="7673" spans="3:3" x14ac:dyDescent="0.25">
      <c r="C7673" s="26">
        <v>7671</v>
      </c>
    </row>
    <row r="7674" spans="3:3" x14ac:dyDescent="0.25">
      <c r="C7674" s="26">
        <v>7672</v>
      </c>
    </row>
    <row r="7675" spans="3:3" x14ac:dyDescent="0.25">
      <c r="C7675" s="26">
        <v>7673</v>
      </c>
    </row>
    <row r="7676" spans="3:3" x14ac:dyDescent="0.25">
      <c r="C7676" s="26">
        <v>7674</v>
      </c>
    </row>
    <row r="7677" spans="3:3" x14ac:dyDescent="0.25">
      <c r="C7677" s="26">
        <v>7675</v>
      </c>
    </row>
    <row r="7678" spans="3:3" x14ac:dyDescent="0.25">
      <c r="C7678" s="26">
        <v>7676</v>
      </c>
    </row>
    <row r="7679" spans="3:3" x14ac:dyDescent="0.25">
      <c r="C7679" s="26">
        <v>7677</v>
      </c>
    </row>
    <row r="7680" spans="3:3" x14ac:dyDescent="0.25">
      <c r="C7680" s="26">
        <v>7678</v>
      </c>
    </row>
    <row r="7681" spans="3:3" x14ac:dyDescent="0.25">
      <c r="C7681" s="26">
        <v>7679</v>
      </c>
    </row>
    <row r="7682" spans="3:3" x14ac:dyDescent="0.25">
      <c r="C7682" s="26">
        <v>7680</v>
      </c>
    </row>
    <row r="7683" spans="3:3" x14ac:dyDescent="0.25">
      <c r="C7683" s="26">
        <v>7681</v>
      </c>
    </row>
    <row r="7684" spans="3:3" x14ac:dyDescent="0.25">
      <c r="C7684" s="26">
        <v>7682</v>
      </c>
    </row>
    <row r="7685" spans="3:3" x14ac:dyDescent="0.25">
      <c r="C7685" s="26">
        <v>7683</v>
      </c>
    </row>
    <row r="7686" spans="3:3" x14ac:dyDescent="0.25">
      <c r="C7686" s="26">
        <v>7684</v>
      </c>
    </row>
    <row r="7687" spans="3:3" x14ac:dyDescent="0.25">
      <c r="C7687" s="26">
        <v>7685</v>
      </c>
    </row>
    <row r="7688" spans="3:3" x14ac:dyDescent="0.25">
      <c r="C7688" s="26">
        <v>7686</v>
      </c>
    </row>
    <row r="7689" spans="3:3" x14ac:dyDescent="0.25">
      <c r="C7689" s="26">
        <v>7687</v>
      </c>
    </row>
    <row r="7690" spans="3:3" x14ac:dyDescent="0.25">
      <c r="C7690" s="26">
        <v>7688</v>
      </c>
    </row>
    <row r="7691" spans="3:3" x14ac:dyDescent="0.25">
      <c r="C7691" s="26">
        <v>7689</v>
      </c>
    </row>
    <row r="7692" spans="3:3" x14ac:dyDescent="0.25">
      <c r="C7692" s="26">
        <v>7690</v>
      </c>
    </row>
    <row r="7693" spans="3:3" x14ac:dyDescent="0.25">
      <c r="C7693" s="26">
        <v>7691</v>
      </c>
    </row>
    <row r="7694" spans="3:3" x14ac:dyDescent="0.25">
      <c r="C7694" s="26">
        <v>7692</v>
      </c>
    </row>
    <row r="7695" spans="3:3" x14ac:dyDescent="0.25">
      <c r="C7695" s="26">
        <v>7693</v>
      </c>
    </row>
    <row r="7696" spans="3:3" x14ac:dyDescent="0.25">
      <c r="C7696" s="26">
        <v>7694</v>
      </c>
    </row>
    <row r="7697" spans="3:3" x14ac:dyDescent="0.25">
      <c r="C7697" s="26">
        <v>7695</v>
      </c>
    </row>
    <row r="7698" spans="3:3" x14ac:dyDescent="0.25">
      <c r="C7698" s="26">
        <v>7696</v>
      </c>
    </row>
    <row r="7699" spans="3:3" x14ac:dyDescent="0.25">
      <c r="C7699" s="26">
        <v>7697</v>
      </c>
    </row>
    <row r="7700" spans="3:3" x14ac:dyDescent="0.25">
      <c r="C7700" s="26">
        <v>7698</v>
      </c>
    </row>
    <row r="7701" spans="3:3" x14ac:dyDescent="0.25">
      <c r="C7701" s="26">
        <v>7699</v>
      </c>
    </row>
    <row r="7702" spans="3:3" x14ac:dyDescent="0.25">
      <c r="C7702" s="26">
        <v>7700</v>
      </c>
    </row>
    <row r="7703" spans="3:3" x14ac:dyDescent="0.25">
      <c r="C7703" s="26">
        <v>7701</v>
      </c>
    </row>
    <row r="7704" spans="3:3" x14ac:dyDescent="0.25">
      <c r="C7704" s="26">
        <v>7702</v>
      </c>
    </row>
    <row r="7705" spans="3:3" x14ac:dyDescent="0.25">
      <c r="C7705" s="26">
        <v>7703</v>
      </c>
    </row>
    <row r="7706" spans="3:3" x14ac:dyDescent="0.25">
      <c r="C7706" s="26">
        <v>7704</v>
      </c>
    </row>
    <row r="7707" spans="3:3" x14ac:dyDescent="0.25">
      <c r="C7707" s="26">
        <v>7705</v>
      </c>
    </row>
    <row r="7708" spans="3:3" x14ac:dyDescent="0.25">
      <c r="C7708" s="26">
        <v>7706</v>
      </c>
    </row>
    <row r="7709" spans="3:3" x14ac:dyDescent="0.25">
      <c r="C7709" s="26">
        <v>7707</v>
      </c>
    </row>
    <row r="7710" spans="3:3" x14ac:dyDescent="0.25">
      <c r="C7710" s="26">
        <v>7708</v>
      </c>
    </row>
    <row r="7711" spans="3:3" x14ac:dyDescent="0.25">
      <c r="C7711" s="26">
        <v>7709</v>
      </c>
    </row>
    <row r="7712" spans="3:3" x14ac:dyDescent="0.25">
      <c r="C7712" s="26">
        <v>7710</v>
      </c>
    </row>
    <row r="7713" spans="3:3" x14ac:dyDescent="0.25">
      <c r="C7713" s="26">
        <v>7711</v>
      </c>
    </row>
    <row r="7714" spans="3:3" x14ac:dyDescent="0.25">
      <c r="C7714" s="26">
        <v>7712</v>
      </c>
    </row>
    <row r="7715" spans="3:3" x14ac:dyDescent="0.25">
      <c r="C7715" s="26">
        <v>7713</v>
      </c>
    </row>
    <row r="7716" spans="3:3" x14ac:dyDescent="0.25">
      <c r="C7716" s="26">
        <v>7714</v>
      </c>
    </row>
    <row r="7717" spans="3:3" x14ac:dyDescent="0.25">
      <c r="C7717" s="26">
        <v>7715</v>
      </c>
    </row>
    <row r="7718" spans="3:3" x14ac:dyDescent="0.25">
      <c r="C7718" s="26">
        <v>7716</v>
      </c>
    </row>
    <row r="7719" spans="3:3" x14ac:dyDescent="0.25">
      <c r="C7719" s="26">
        <v>7717</v>
      </c>
    </row>
    <row r="7720" spans="3:3" x14ac:dyDescent="0.25">
      <c r="C7720" s="26">
        <v>7718</v>
      </c>
    </row>
    <row r="7721" spans="3:3" x14ac:dyDescent="0.25">
      <c r="C7721" s="26">
        <v>7719</v>
      </c>
    </row>
    <row r="7722" spans="3:3" x14ac:dyDescent="0.25">
      <c r="C7722" s="26">
        <v>7720</v>
      </c>
    </row>
    <row r="7723" spans="3:3" x14ac:dyDescent="0.25">
      <c r="C7723" s="26">
        <v>7721</v>
      </c>
    </row>
    <row r="7724" spans="3:3" x14ac:dyDescent="0.25">
      <c r="C7724" s="26">
        <v>7722</v>
      </c>
    </row>
    <row r="7725" spans="3:3" x14ac:dyDescent="0.25">
      <c r="C7725" s="26">
        <v>7723</v>
      </c>
    </row>
    <row r="7726" spans="3:3" x14ac:dyDescent="0.25">
      <c r="C7726" s="26">
        <v>7724</v>
      </c>
    </row>
    <row r="7727" spans="3:3" x14ac:dyDescent="0.25">
      <c r="C7727" s="26">
        <v>7725</v>
      </c>
    </row>
    <row r="7728" spans="3:3" x14ac:dyDescent="0.25">
      <c r="C7728" s="26">
        <v>7726</v>
      </c>
    </row>
    <row r="7729" spans="3:3" x14ac:dyDescent="0.25">
      <c r="C7729" s="26">
        <v>7727</v>
      </c>
    </row>
    <row r="7730" spans="3:3" x14ac:dyDescent="0.25">
      <c r="C7730" s="26">
        <v>7728</v>
      </c>
    </row>
    <row r="7731" spans="3:3" x14ac:dyDescent="0.25">
      <c r="C7731" s="26">
        <v>7729</v>
      </c>
    </row>
    <row r="7732" spans="3:3" x14ac:dyDescent="0.25">
      <c r="C7732" s="26">
        <v>7730</v>
      </c>
    </row>
    <row r="7733" spans="3:3" x14ac:dyDescent="0.25">
      <c r="C7733" s="26">
        <v>7731</v>
      </c>
    </row>
    <row r="7734" spans="3:3" x14ac:dyDescent="0.25">
      <c r="C7734" s="26">
        <v>7732</v>
      </c>
    </row>
    <row r="7735" spans="3:3" x14ac:dyDescent="0.25">
      <c r="C7735" s="26">
        <v>7733</v>
      </c>
    </row>
    <row r="7736" spans="3:3" x14ac:dyDescent="0.25">
      <c r="C7736" s="26">
        <v>7734</v>
      </c>
    </row>
    <row r="7737" spans="3:3" x14ac:dyDescent="0.25">
      <c r="C7737" s="26">
        <v>7735</v>
      </c>
    </row>
    <row r="7738" spans="3:3" x14ac:dyDescent="0.25">
      <c r="C7738" s="26">
        <v>7736</v>
      </c>
    </row>
    <row r="7739" spans="3:3" x14ac:dyDescent="0.25">
      <c r="C7739" s="26">
        <v>7737</v>
      </c>
    </row>
    <row r="7740" spans="3:3" x14ac:dyDescent="0.25">
      <c r="C7740" s="26">
        <v>7738</v>
      </c>
    </row>
    <row r="7741" spans="3:3" x14ac:dyDescent="0.25">
      <c r="C7741" s="26">
        <v>7739</v>
      </c>
    </row>
    <row r="7742" spans="3:3" x14ac:dyDescent="0.25">
      <c r="C7742" s="26">
        <v>7740</v>
      </c>
    </row>
    <row r="7743" spans="3:3" x14ac:dyDescent="0.25">
      <c r="C7743" s="26">
        <v>7741</v>
      </c>
    </row>
    <row r="7744" spans="3:3" x14ac:dyDescent="0.25">
      <c r="C7744" s="26">
        <v>7742</v>
      </c>
    </row>
    <row r="7745" spans="3:3" x14ac:dyDescent="0.25">
      <c r="C7745" s="26">
        <v>7743</v>
      </c>
    </row>
    <row r="7746" spans="3:3" x14ac:dyDescent="0.25">
      <c r="C7746" s="26">
        <v>7744</v>
      </c>
    </row>
    <row r="7747" spans="3:3" x14ac:dyDescent="0.25">
      <c r="C7747" s="26">
        <v>7745</v>
      </c>
    </row>
    <row r="7748" spans="3:3" x14ac:dyDescent="0.25">
      <c r="C7748" s="26">
        <v>7746</v>
      </c>
    </row>
    <row r="7749" spans="3:3" x14ac:dyDescent="0.25">
      <c r="C7749" s="26">
        <v>7747</v>
      </c>
    </row>
    <row r="7750" spans="3:3" x14ac:dyDescent="0.25">
      <c r="C7750" s="26">
        <v>7748</v>
      </c>
    </row>
    <row r="7751" spans="3:3" x14ac:dyDescent="0.25">
      <c r="C7751" s="26">
        <v>7749</v>
      </c>
    </row>
    <row r="7752" spans="3:3" x14ac:dyDescent="0.25">
      <c r="C7752" s="26">
        <v>7750</v>
      </c>
    </row>
    <row r="7753" spans="3:3" x14ac:dyDescent="0.25">
      <c r="C7753" s="26">
        <v>7751</v>
      </c>
    </row>
    <row r="7754" spans="3:3" x14ac:dyDescent="0.25">
      <c r="C7754" s="26">
        <v>7752</v>
      </c>
    </row>
    <row r="7755" spans="3:3" x14ac:dyDescent="0.25">
      <c r="C7755" s="26">
        <v>7753</v>
      </c>
    </row>
    <row r="7756" spans="3:3" x14ac:dyDescent="0.25">
      <c r="C7756" s="26">
        <v>7754</v>
      </c>
    </row>
    <row r="7757" spans="3:3" x14ac:dyDescent="0.25">
      <c r="C7757" s="26">
        <v>7755</v>
      </c>
    </row>
    <row r="7758" spans="3:3" x14ac:dyDescent="0.25">
      <c r="C7758" s="26">
        <v>7756</v>
      </c>
    </row>
    <row r="7759" spans="3:3" x14ac:dyDescent="0.25">
      <c r="C7759" s="26">
        <v>7757</v>
      </c>
    </row>
    <row r="7760" spans="3:3" x14ac:dyDescent="0.25">
      <c r="C7760" s="26">
        <v>7758</v>
      </c>
    </row>
    <row r="7761" spans="3:3" x14ac:dyDescent="0.25">
      <c r="C7761" s="26">
        <v>7759</v>
      </c>
    </row>
    <row r="7762" spans="3:3" x14ac:dyDescent="0.25">
      <c r="C7762" s="26">
        <v>7760</v>
      </c>
    </row>
    <row r="7763" spans="3:3" x14ac:dyDescent="0.25">
      <c r="C7763" s="26">
        <v>7761</v>
      </c>
    </row>
    <row r="7764" spans="3:3" x14ac:dyDescent="0.25">
      <c r="C7764" s="26">
        <v>7762</v>
      </c>
    </row>
    <row r="7765" spans="3:3" x14ac:dyDescent="0.25">
      <c r="C7765" s="26">
        <v>7763</v>
      </c>
    </row>
    <row r="7766" spans="3:3" x14ac:dyDescent="0.25">
      <c r="C7766" s="26">
        <v>7764</v>
      </c>
    </row>
    <row r="7767" spans="3:3" x14ac:dyDescent="0.25">
      <c r="C7767" s="26">
        <v>7765</v>
      </c>
    </row>
    <row r="7768" spans="3:3" x14ac:dyDescent="0.25">
      <c r="C7768" s="26">
        <v>7766</v>
      </c>
    </row>
    <row r="7769" spans="3:3" x14ac:dyDescent="0.25">
      <c r="C7769" s="26">
        <v>7767</v>
      </c>
    </row>
    <row r="7770" spans="3:3" x14ac:dyDescent="0.25">
      <c r="C7770" s="26">
        <v>7768</v>
      </c>
    </row>
    <row r="7771" spans="3:3" x14ac:dyDescent="0.25">
      <c r="C7771" s="26">
        <v>7769</v>
      </c>
    </row>
    <row r="7772" spans="3:3" x14ac:dyDescent="0.25">
      <c r="C7772" s="26">
        <v>7770</v>
      </c>
    </row>
    <row r="7773" spans="3:3" x14ac:dyDescent="0.25">
      <c r="C7773" s="26">
        <v>7771</v>
      </c>
    </row>
    <row r="7774" spans="3:3" x14ac:dyDescent="0.25">
      <c r="C7774" s="26">
        <v>7772</v>
      </c>
    </row>
    <row r="7775" spans="3:3" x14ac:dyDescent="0.25">
      <c r="C7775" s="26">
        <v>7773</v>
      </c>
    </row>
    <row r="7776" spans="3:3" x14ac:dyDescent="0.25">
      <c r="C7776" s="26">
        <v>7774</v>
      </c>
    </row>
    <row r="7777" spans="3:3" x14ac:dyDescent="0.25">
      <c r="C7777" s="26">
        <v>7775</v>
      </c>
    </row>
    <row r="7778" spans="3:3" x14ac:dyDescent="0.25">
      <c r="C7778" s="26">
        <v>7776</v>
      </c>
    </row>
    <row r="7779" spans="3:3" x14ac:dyDescent="0.25">
      <c r="C7779" s="26">
        <v>7777</v>
      </c>
    </row>
    <row r="7780" spans="3:3" x14ac:dyDescent="0.25">
      <c r="C7780" s="26">
        <v>7778</v>
      </c>
    </row>
    <row r="7781" spans="3:3" x14ac:dyDescent="0.25">
      <c r="C7781" s="26">
        <v>7779</v>
      </c>
    </row>
    <row r="7782" spans="3:3" x14ac:dyDescent="0.25">
      <c r="C7782" s="26">
        <v>7780</v>
      </c>
    </row>
    <row r="7783" spans="3:3" x14ac:dyDescent="0.25">
      <c r="C7783" s="26">
        <v>7781</v>
      </c>
    </row>
    <row r="7784" spans="3:3" x14ac:dyDescent="0.25">
      <c r="C7784" s="26">
        <v>7782</v>
      </c>
    </row>
    <row r="7785" spans="3:3" x14ac:dyDescent="0.25">
      <c r="C7785" s="26">
        <v>7783</v>
      </c>
    </row>
    <row r="7786" spans="3:3" x14ac:dyDescent="0.25">
      <c r="C7786" s="26">
        <v>7784</v>
      </c>
    </row>
    <row r="7787" spans="3:3" x14ac:dyDescent="0.25">
      <c r="C7787" s="26">
        <v>7785</v>
      </c>
    </row>
    <row r="7788" spans="3:3" x14ac:dyDescent="0.25">
      <c r="C7788" s="26">
        <v>7786</v>
      </c>
    </row>
    <row r="7789" spans="3:3" x14ac:dyDescent="0.25">
      <c r="C7789" s="26">
        <v>7787</v>
      </c>
    </row>
    <row r="7790" spans="3:3" x14ac:dyDescent="0.25">
      <c r="C7790" s="26">
        <v>7788</v>
      </c>
    </row>
    <row r="7791" spans="3:3" x14ac:dyDescent="0.25">
      <c r="C7791" s="26">
        <v>7789</v>
      </c>
    </row>
    <row r="7792" spans="3:3" x14ac:dyDescent="0.25">
      <c r="C7792" s="26">
        <v>7790</v>
      </c>
    </row>
    <row r="7793" spans="3:3" x14ac:dyDescent="0.25">
      <c r="C7793" s="26">
        <v>7791</v>
      </c>
    </row>
    <row r="7794" spans="3:3" x14ac:dyDescent="0.25">
      <c r="C7794" s="26">
        <v>7792</v>
      </c>
    </row>
    <row r="7795" spans="3:3" x14ac:dyDescent="0.25">
      <c r="C7795" s="26">
        <v>7793</v>
      </c>
    </row>
    <row r="7796" spans="3:3" x14ac:dyDescent="0.25">
      <c r="C7796" s="26">
        <v>7794</v>
      </c>
    </row>
    <row r="7797" spans="3:3" x14ac:dyDescent="0.25">
      <c r="C7797" s="26">
        <v>7795</v>
      </c>
    </row>
    <row r="7798" spans="3:3" x14ac:dyDescent="0.25">
      <c r="C7798" s="26">
        <v>7796</v>
      </c>
    </row>
    <row r="7799" spans="3:3" x14ac:dyDescent="0.25">
      <c r="C7799" s="26">
        <v>7797</v>
      </c>
    </row>
    <row r="7800" spans="3:3" x14ac:dyDescent="0.25">
      <c r="C7800" s="26">
        <v>7798</v>
      </c>
    </row>
    <row r="7801" spans="3:3" x14ac:dyDescent="0.25">
      <c r="C7801" s="26">
        <v>7799</v>
      </c>
    </row>
    <row r="7802" spans="3:3" x14ac:dyDescent="0.25">
      <c r="C7802" s="26">
        <v>7800</v>
      </c>
    </row>
    <row r="7803" spans="3:3" x14ac:dyDescent="0.25">
      <c r="C7803" s="26">
        <v>7801</v>
      </c>
    </row>
    <row r="7804" spans="3:3" x14ac:dyDescent="0.25">
      <c r="C7804" s="26">
        <v>7802</v>
      </c>
    </row>
    <row r="7805" spans="3:3" x14ac:dyDescent="0.25">
      <c r="C7805" s="26">
        <v>7803</v>
      </c>
    </row>
    <row r="7806" spans="3:3" x14ac:dyDescent="0.25">
      <c r="C7806" s="26">
        <v>7804</v>
      </c>
    </row>
    <row r="7807" spans="3:3" x14ac:dyDescent="0.25">
      <c r="C7807" s="26">
        <v>7805</v>
      </c>
    </row>
    <row r="7808" spans="3:3" x14ac:dyDescent="0.25">
      <c r="C7808" s="26">
        <v>7806</v>
      </c>
    </row>
    <row r="7809" spans="3:3" x14ac:dyDescent="0.25">
      <c r="C7809" s="26">
        <v>7807</v>
      </c>
    </row>
    <row r="7810" spans="3:3" x14ac:dyDescent="0.25">
      <c r="C7810" s="26">
        <v>7808</v>
      </c>
    </row>
    <row r="7811" spans="3:3" x14ac:dyDescent="0.25">
      <c r="C7811" s="26">
        <v>7809</v>
      </c>
    </row>
    <row r="7812" spans="3:3" x14ac:dyDescent="0.25">
      <c r="C7812" s="26">
        <v>7810</v>
      </c>
    </row>
    <row r="7813" spans="3:3" x14ac:dyDescent="0.25">
      <c r="C7813" s="26">
        <v>7811</v>
      </c>
    </row>
    <row r="7814" spans="3:3" x14ac:dyDescent="0.25">
      <c r="C7814" s="26">
        <v>7812</v>
      </c>
    </row>
    <row r="7815" spans="3:3" x14ac:dyDescent="0.25">
      <c r="C7815" s="26">
        <v>7813</v>
      </c>
    </row>
    <row r="7816" spans="3:3" x14ac:dyDescent="0.25">
      <c r="C7816" s="26">
        <v>7814</v>
      </c>
    </row>
    <row r="7817" spans="3:3" x14ac:dyDescent="0.25">
      <c r="C7817" s="26">
        <v>7815</v>
      </c>
    </row>
    <row r="7818" spans="3:3" x14ac:dyDescent="0.25">
      <c r="C7818" s="26">
        <v>7816</v>
      </c>
    </row>
    <row r="7819" spans="3:3" x14ac:dyDescent="0.25">
      <c r="C7819" s="26">
        <v>7817</v>
      </c>
    </row>
    <row r="7820" spans="3:3" x14ac:dyDescent="0.25">
      <c r="C7820" s="26">
        <v>7818</v>
      </c>
    </row>
    <row r="7821" spans="3:3" x14ac:dyDescent="0.25">
      <c r="C7821" s="26">
        <v>7819</v>
      </c>
    </row>
    <row r="7822" spans="3:3" x14ac:dyDescent="0.25">
      <c r="C7822" s="26">
        <v>7820</v>
      </c>
    </row>
    <row r="7823" spans="3:3" x14ac:dyDescent="0.25">
      <c r="C7823" s="26">
        <v>7821</v>
      </c>
    </row>
    <row r="7824" spans="3:3" x14ac:dyDescent="0.25">
      <c r="C7824" s="26">
        <v>7822</v>
      </c>
    </row>
    <row r="7825" spans="3:3" x14ac:dyDescent="0.25">
      <c r="C7825" s="26">
        <v>7823</v>
      </c>
    </row>
    <row r="7826" spans="3:3" x14ac:dyDescent="0.25">
      <c r="C7826" s="26">
        <v>7824</v>
      </c>
    </row>
    <row r="7827" spans="3:3" x14ac:dyDescent="0.25">
      <c r="C7827" s="26">
        <v>7825</v>
      </c>
    </row>
    <row r="7828" spans="3:3" x14ac:dyDescent="0.25">
      <c r="C7828" s="26">
        <v>7826</v>
      </c>
    </row>
    <row r="7829" spans="3:3" x14ac:dyDescent="0.25">
      <c r="C7829" s="26">
        <v>7827</v>
      </c>
    </row>
    <row r="7830" spans="3:3" x14ac:dyDescent="0.25">
      <c r="C7830" s="26">
        <v>7828</v>
      </c>
    </row>
    <row r="7831" spans="3:3" x14ac:dyDescent="0.25">
      <c r="C7831" s="26">
        <v>7829</v>
      </c>
    </row>
    <row r="7832" spans="3:3" x14ac:dyDescent="0.25">
      <c r="C7832" s="26">
        <v>7830</v>
      </c>
    </row>
    <row r="7833" spans="3:3" x14ac:dyDescent="0.25">
      <c r="C7833" s="26">
        <v>7831</v>
      </c>
    </row>
    <row r="7834" spans="3:3" x14ac:dyDescent="0.25">
      <c r="C7834" s="26">
        <v>7832</v>
      </c>
    </row>
    <row r="7835" spans="3:3" x14ac:dyDescent="0.25">
      <c r="C7835" s="26">
        <v>7833</v>
      </c>
    </row>
    <row r="7836" spans="3:3" x14ac:dyDescent="0.25">
      <c r="C7836" s="26">
        <v>7834</v>
      </c>
    </row>
    <row r="7837" spans="3:3" x14ac:dyDescent="0.25">
      <c r="C7837" s="26">
        <v>7835</v>
      </c>
    </row>
    <row r="7838" spans="3:3" x14ac:dyDescent="0.25">
      <c r="C7838" s="26">
        <v>7836</v>
      </c>
    </row>
    <row r="7839" spans="3:3" x14ac:dyDescent="0.25">
      <c r="C7839" s="26">
        <v>7837</v>
      </c>
    </row>
    <row r="7840" spans="3:3" x14ac:dyDescent="0.25">
      <c r="C7840" s="26">
        <v>7838</v>
      </c>
    </row>
    <row r="7841" spans="3:3" x14ac:dyDescent="0.25">
      <c r="C7841" s="26">
        <v>7839</v>
      </c>
    </row>
    <row r="7842" spans="3:3" x14ac:dyDescent="0.25">
      <c r="C7842" s="26">
        <v>7840</v>
      </c>
    </row>
    <row r="7843" spans="3:3" x14ac:dyDescent="0.25">
      <c r="C7843" s="26">
        <v>7841</v>
      </c>
    </row>
    <row r="7844" spans="3:3" x14ac:dyDescent="0.25">
      <c r="C7844" s="26">
        <v>7842</v>
      </c>
    </row>
    <row r="7845" spans="3:3" x14ac:dyDescent="0.25">
      <c r="C7845" s="26">
        <v>7843</v>
      </c>
    </row>
    <row r="7846" spans="3:3" x14ac:dyDescent="0.25">
      <c r="C7846" s="26">
        <v>7844</v>
      </c>
    </row>
    <row r="7847" spans="3:3" x14ac:dyDescent="0.25">
      <c r="C7847" s="26">
        <v>7845</v>
      </c>
    </row>
    <row r="7848" spans="3:3" x14ac:dyDescent="0.25">
      <c r="C7848" s="26">
        <v>7846</v>
      </c>
    </row>
    <row r="7849" spans="3:3" x14ac:dyDescent="0.25">
      <c r="C7849" s="26">
        <v>7847</v>
      </c>
    </row>
    <row r="7850" spans="3:3" x14ac:dyDescent="0.25">
      <c r="C7850" s="26">
        <v>7848</v>
      </c>
    </row>
    <row r="7851" spans="3:3" x14ac:dyDescent="0.25">
      <c r="C7851" s="26">
        <v>7849</v>
      </c>
    </row>
    <row r="7852" spans="3:3" x14ac:dyDescent="0.25">
      <c r="C7852" s="26">
        <v>7850</v>
      </c>
    </row>
    <row r="7853" spans="3:3" x14ac:dyDescent="0.25">
      <c r="C7853" s="26">
        <v>7851</v>
      </c>
    </row>
    <row r="7854" spans="3:3" x14ac:dyDescent="0.25">
      <c r="C7854" s="26">
        <v>7852</v>
      </c>
    </row>
    <row r="7855" spans="3:3" x14ac:dyDescent="0.25">
      <c r="C7855" s="26">
        <v>7853</v>
      </c>
    </row>
    <row r="7856" spans="3:3" x14ac:dyDescent="0.25">
      <c r="C7856" s="26">
        <v>7854</v>
      </c>
    </row>
    <row r="7857" spans="3:3" x14ac:dyDescent="0.25">
      <c r="C7857" s="26">
        <v>7855</v>
      </c>
    </row>
    <row r="7858" spans="3:3" x14ac:dyDescent="0.25">
      <c r="C7858" s="26">
        <v>7856</v>
      </c>
    </row>
    <row r="7859" spans="3:3" x14ac:dyDescent="0.25">
      <c r="C7859" s="26">
        <v>7857</v>
      </c>
    </row>
    <row r="7860" spans="3:3" x14ac:dyDescent="0.25">
      <c r="C7860" s="26">
        <v>7858</v>
      </c>
    </row>
    <row r="7861" spans="3:3" x14ac:dyDescent="0.25">
      <c r="C7861" s="26">
        <v>7859</v>
      </c>
    </row>
    <row r="7862" spans="3:3" x14ac:dyDescent="0.25">
      <c r="C7862" s="26">
        <v>7860</v>
      </c>
    </row>
    <row r="7863" spans="3:3" x14ac:dyDescent="0.25">
      <c r="C7863" s="26">
        <v>7861</v>
      </c>
    </row>
    <row r="7864" spans="3:3" x14ac:dyDescent="0.25">
      <c r="C7864" s="26">
        <v>7862</v>
      </c>
    </row>
    <row r="7865" spans="3:3" x14ac:dyDescent="0.25">
      <c r="C7865" s="26">
        <v>7863</v>
      </c>
    </row>
    <row r="7866" spans="3:3" x14ac:dyDescent="0.25">
      <c r="C7866" s="26">
        <v>7864</v>
      </c>
    </row>
    <row r="7867" spans="3:3" x14ac:dyDescent="0.25">
      <c r="C7867" s="26">
        <v>7865</v>
      </c>
    </row>
    <row r="7868" spans="3:3" x14ac:dyDescent="0.25">
      <c r="C7868" s="26">
        <v>7866</v>
      </c>
    </row>
    <row r="7869" spans="3:3" x14ac:dyDescent="0.25">
      <c r="C7869" s="26">
        <v>7867</v>
      </c>
    </row>
    <row r="7870" spans="3:3" x14ac:dyDescent="0.25">
      <c r="C7870" s="26">
        <v>7868</v>
      </c>
    </row>
    <row r="7871" spans="3:3" x14ac:dyDescent="0.25">
      <c r="C7871" s="26">
        <v>7869</v>
      </c>
    </row>
    <row r="7872" spans="3:3" x14ac:dyDescent="0.25">
      <c r="C7872" s="26">
        <v>7870</v>
      </c>
    </row>
    <row r="7873" spans="3:3" x14ac:dyDescent="0.25">
      <c r="C7873" s="26">
        <v>7871</v>
      </c>
    </row>
    <row r="7874" spans="3:3" x14ac:dyDescent="0.25">
      <c r="C7874" s="26">
        <v>7872</v>
      </c>
    </row>
    <row r="7875" spans="3:3" x14ac:dyDescent="0.25">
      <c r="C7875" s="26">
        <v>7873</v>
      </c>
    </row>
    <row r="7876" spans="3:3" x14ac:dyDescent="0.25">
      <c r="C7876" s="26">
        <v>7874</v>
      </c>
    </row>
    <row r="7877" spans="3:3" x14ac:dyDescent="0.25">
      <c r="C7877" s="26">
        <v>7875</v>
      </c>
    </row>
    <row r="7878" spans="3:3" x14ac:dyDescent="0.25">
      <c r="C7878" s="26">
        <v>7876</v>
      </c>
    </row>
    <row r="7879" spans="3:3" x14ac:dyDescent="0.25">
      <c r="C7879" s="26">
        <v>7877</v>
      </c>
    </row>
    <row r="7880" spans="3:3" x14ac:dyDescent="0.25">
      <c r="C7880" s="26">
        <v>7878</v>
      </c>
    </row>
    <row r="7881" spans="3:3" x14ac:dyDescent="0.25">
      <c r="C7881" s="26">
        <v>7879</v>
      </c>
    </row>
    <row r="7882" spans="3:3" x14ac:dyDescent="0.25">
      <c r="C7882" s="26">
        <v>7880</v>
      </c>
    </row>
    <row r="7883" spans="3:3" x14ac:dyDescent="0.25">
      <c r="C7883" s="26">
        <v>7881</v>
      </c>
    </row>
    <row r="7884" spans="3:3" x14ac:dyDescent="0.25">
      <c r="C7884" s="26">
        <v>7882</v>
      </c>
    </row>
    <row r="7885" spans="3:3" x14ac:dyDescent="0.25">
      <c r="C7885" s="26">
        <v>7883</v>
      </c>
    </row>
    <row r="7886" spans="3:3" x14ac:dyDescent="0.25">
      <c r="C7886" s="26">
        <v>7884</v>
      </c>
    </row>
    <row r="7887" spans="3:3" x14ac:dyDescent="0.25">
      <c r="C7887" s="26">
        <v>7885</v>
      </c>
    </row>
    <row r="7888" spans="3:3" x14ac:dyDescent="0.25">
      <c r="C7888" s="26">
        <v>7886</v>
      </c>
    </row>
    <row r="7889" spans="3:3" x14ac:dyDescent="0.25">
      <c r="C7889" s="26">
        <v>7887</v>
      </c>
    </row>
    <row r="7890" spans="3:3" x14ac:dyDescent="0.25">
      <c r="C7890" s="26">
        <v>7888</v>
      </c>
    </row>
    <row r="7891" spans="3:3" x14ac:dyDescent="0.25">
      <c r="C7891" s="26">
        <v>7889</v>
      </c>
    </row>
    <row r="7892" spans="3:3" x14ac:dyDescent="0.25">
      <c r="C7892" s="26">
        <v>7890</v>
      </c>
    </row>
    <row r="7893" spans="3:3" x14ac:dyDescent="0.25">
      <c r="C7893" s="26">
        <v>7891</v>
      </c>
    </row>
    <row r="7894" spans="3:3" x14ac:dyDescent="0.25">
      <c r="C7894" s="26">
        <v>7892</v>
      </c>
    </row>
    <row r="7895" spans="3:3" x14ac:dyDescent="0.25">
      <c r="C7895" s="26">
        <v>7893</v>
      </c>
    </row>
    <row r="7896" spans="3:3" x14ac:dyDescent="0.25">
      <c r="C7896" s="26">
        <v>7894</v>
      </c>
    </row>
    <row r="7897" spans="3:3" x14ac:dyDescent="0.25">
      <c r="C7897" s="26">
        <v>7895</v>
      </c>
    </row>
    <row r="7898" spans="3:3" x14ac:dyDescent="0.25">
      <c r="C7898" s="26">
        <v>7896</v>
      </c>
    </row>
    <row r="7899" spans="3:3" x14ac:dyDescent="0.25">
      <c r="C7899" s="26">
        <v>7897</v>
      </c>
    </row>
    <row r="7900" spans="3:3" x14ac:dyDescent="0.25">
      <c r="C7900" s="26">
        <v>7898</v>
      </c>
    </row>
    <row r="7901" spans="3:3" x14ac:dyDescent="0.25">
      <c r="C7901" s="26">
        <v>7899</v>
      </c>
    </row>
    <row r="7902" spans="3:3" x14ac:dyDescent="0.25">
      <c r="C7902" s="26">
        <v>7900</v>
      </c>
    </row>
    <row r="7903" spans="3:3" x14ac:dyDescent="0.25">
      <c r="C7903" s="26">
        <v>7901</v>
      </c>
    </row>
    <row r="7904" spans="3:3" x14ac:dyDescent="0.25">
      <c r="C7904" s="26">
        <v>7902</v>
      </c>
    </row>
    <row r="7905" spans="3:3" x14ac:dyDescent="0.25">
      <c r="C7905" s="26">
        <v>7903</v>
      </c>
    </row>
    <row r="7906" spans="3:3" x14ac:dyDescent="0.25">
      <c r="C7906" s="26">
        <v>7904</v>
      </c>
    </row>
    <row r="7907" spans="3:3" x14ac:dyDescent="0.25">
      <c r="C7907" s="26">
        <v>7905</v>
      </c>
    </row>
    <row r="7908" spans="3:3" x14ac:dyDescent="0.25">
      <c r="C7908" s="26">
        <v>7906</v>
      </c>
    </row>
    <row r="7909" spans="3:3" x14ac:dyDescent="0.25">
      <c r="C7909" s="26">
        <v>7907</v>
      </c>
    </row>
    <row r="7910" spans="3:3" x14ac:dyDescent="0.25">
      <c r="C7910" s="26">
        <v>7908</v>
      </c>
    </row>
    <row r="7911" spans="3:3" x14ac:dyDescent="0.25">
      <c r="C7911" s="26">
        <v>7909</v>
      </c>
    </row>
    <row r="7912" spans="3:3" x14ac:dyDescent="0.25">
      <c r="C7912" s="26">
        <v>7910</v>
      </c>
    </row>
    <row r="7913" spans="3:3" x14ac:dyDescent="0.25">
      <c r="C7913" s="26">
        <v>7911</v>
      </c>
    </row>
    <row r="7914" spans="3:3" x14ac:dyDescent="0.25">
      <c r="C7914" s="26">
        <v>7912</v>
      </c>
    </row>
    <row r="7915" spans="3:3" x14ac:dyDescent="0.25">
      <c r="C7915" s="26">
        <v>7913</v>
      </c>
    </row>
    <row r="7916" spans="3:3" x14ac:dyDescent="0.25">
      <c r="C7916" s="26">
        <v>7914</v>
      </c>
    </row>
    <row r="7917" spans="3:3" x14ac:dyDescent="0.25">
      <c r="C7917" s="26">
        <v>7915</v>
      </c>
    </row>
    <row r="7918" spans="3:3" x14ac:dyDescent="0.25">
      <c r="C7918" s="26">
        <v>7916</v>
      </c>
    </row>
    <row r="7919" spans="3:3" x14ac:dyDescent="0.25">
      <c r="C7919" s="26">
        <v>7917</v>
      </c>
    </row>
    <row r="7920" spans="3:3" x14ac:dyDescent="0.25">
      <c r="C7920" s="26">
        <v>7918</v>
      </c>
    </row>
    <row r="7921" spans="3:3" x14ac:dyDescent="0.25">
      <c r="C7921" s="26">
        <v>7919</v>
      </c>
    </row>
    <row r="7922" spans="3:3" x14ac:dyDescent="0.25">
      <c r="C7922" s="26">
        <v>7920</v>
      </c>
    </row>
    <row r="7923" spans="3:3" x14ac:dyDescent="0.25">
      <c r="C7923" s="26">
        <v>7921</v>
      </c>
    </row>
    <row r="7924" spans="3:3" x14ac:dyDescent="0.25">
      <c r="C7924" s="26">
        <v>7922</v>
      </c>
    </row>
    <row r="7925" spans="3:3" x14ac:dyDescent="0.25">
      <c r="C7925" s="26">
        <v>7923</v>
      </c>
    </row>
    <row r="7926" spans="3:3" x14ac:dyDescent="0.25">
      <c r="C7926" s="26">
        <v>7924</v>
      </c>
    </row>
    <row r="7927" spans="3:3" x14ac:dyDescent="0.25">
      <c r="C7927" s="26">
        <v>7925</v>
      </c>
    </row>
    <row r="7928" spans="3:3" x14ac:dyDescent="0.25">
      <c r="C7928" s="26">
        <v>7926</v>
      </c>
    </row>
    <row r="7929" spans="3:3" x14ac:dyDescent="0.25">
      <c r="C7929" s="26">
        <v>7927</v>
      </c>
    </row>
    <row r="7930" spans="3:3" x14ac:dyDescent="0.25">
      <c r="C7930" s="26">
        <v>7928</v>
      </c>
    </row>
    <row r="7931" spans="3:3" x14ac:dyDescent="0.25">
      <c r="C7931" s="26">
        <v>7929</v>
      </c>
    </row>
    <row r="7932" spans="3:3" x14ac:dyDescent="0.25">
      <c r="C7932" s="26">
        <v>7930</v>
      </c>
    </row>
    <row r="7933" spans="3:3" x14ac:dyDescent="0.25">
      <c r="C7933" s="26">
        <v>7931</v>
      </c>
    </row>
    <row r="7934" spans="3:3" x14ac:dyDescent="0.25">
      <c r="C7934" s="26">
        <v>7932</v>
      </c>
    </row>
    <row r="7935" spans="3:3" x14ac:dyDescent="0.25">
      <c r="C7935" s="26">
        <v>7933</v>
      </c>
    </row>
    <row r="7936" spans="3:3" x14ac:dyDescent="0.25">
      <c r="C7936" s="26">
        <v>7934</v>
      </c>
    </row>
    <row r="7937" spans="3:3" x14ac:dyDescent="0.25">
      <c r="C7937" s="26">
        <v>7935</v>
      </c>
    </row>
    <row r="7938" spans="3:3" x14ac:dyDescent="0.25">
      <c r="C7938" s="26">
        <v>7936</v>
      </c>
    </row>
    <row r="7939" spans="3:3" x14ac:dyDescent="0.25">
      <c r="C7939" s="26">
        <v>7937</v>
      </c>
    </row>
    <row r="7940" spans="3:3" x14ac:dyDescent="0.25">
      <c r="C7940" s="26">
        <v>7938</v>
      </c>
    </row>
    <row r="7941" spans="3:3" x14ac:dyDescent="0.25">
      <c r="C7941" s="26">
        <v>7939</v>
      </c>
    </row>
    <row r="7942" spans="3:3" x14ac:dyDescent="0.25">
      <c r="C7942" s="26">
        <v>7940</v>
      </c>
    </row>
    <row r="7943" spans="3:3" x14ac:dyDescent="0.25">
      <c r="C7943" s="26">
        <v>7941</v>
      </c>
    </row>
    <row r="7944" spans="3:3" x14ac:dyDescent="0.25">
      <c r="C7944" s="26">
        <v>7942</v>
      </c>
    </row>
    <row r="7945" spans="3:3" x14ac:dyDescent="0.25">
      <c r="C7945" s="26">
        <v>7943</v>
      </c>
    </row>
    <row r="7946" spans="3:3" x14ac:dyDescent="0.25">
      <c r="C7946" s="26">
        <v>7944</v>
      </c>
    </row>
    <row r="7947" spans="3:3" x14ac:dyDescent="0.25">
      <c r="C7947" s="26">
        <v>7945</v>
      </c>
    </row>
    <row r="7948" spans="3:3" x14ac:dyDescent="0.25">
      <c r="C7948" s="26">
        <v>7946</v>
      </c>
    </row>
    <row r="7949" spans="3:3" x14ac:dyDescent="0.25">
      <c r="C7949" s="26">
        <v>7947</v>
      </c>
    </row>
    <row r="7950" spans="3:3" x14ac:dyDescent="0.25">
      <c r="C7950" s="26">
        <v>7948</v>
      </c>
    </row>
    <row r="7951" spans="3:3" x14ac:dyDescent="0.25">
      <c r="C7951" s="26">
        <v>7949</v>
      </c>
    </row>
    <row r="7952" spans="3:3" x14ac:dyDescent="0.25">
      <c r="C7952" s="26">
        <v>7950</v>
      </c>
    </row>
    <row r="7953" spans="3:3" x14ac:dyDescent="0.25">
      <c r="C7953" s="26">
        <v>7951</v>
      </c>
    </row>
    <row r="7954" spans="3:3" x14ac:dyDescent="0.25">
      <c r="C7954" s="26">
        <v>7952</v>
      </c>
    </row>
    <row r="7955" spans="3:3" x14ac:dyDescent="0.25">
      <c r="C7955" s="26">
        <v>7953</v>
      </c>
    </row>
    <row r="7956" spans="3:3" x14ac:dyDescent="0.25">
      <c r="C7956" s="26">
        <v>7954</v>
      </c>
    </row>
    <row r="7957" spans="3:3" x14ac:dyDescent="0.25">
      <c r="C7957" s="26">
        <v>7955</v>
      </c>
    </row>
    <row r="7958" spans="3:3" x14ac:dyDescent="0.25">
      <c r="C7958" s="26">
        <v>7956</v>
      </c>
    </row>
    <row r="7959" spans="3:3" x14ac:dyDescent="0.25">
      <c r="C7959" s="26">
        <v>7957</v>
      </c>
    </row>
    <row r="7960" spans="3:3" x14ac:dyDescent="0.25">
      <c r="C7960" s="26">
        <v>7958</v>
      </c>
    </row>
    <row r="7961" spans="3:3" x14ac:dyDescent="0.25">
      <c r="C7961" s="26">
        <v>7959</v>
      </c>
    </row>
    <row r="7962" spans="3:3" x14ac:dyDescent="0.25">
      <c r="C7962" s="26">
        <v>7960</v>
      </c>
    </row>
    <row r="7963" spans="3:3" x14ac:dyDescent="0.25">
      <c r="C7963" s="26">
        <v>7961</v>
      </c>
    </row>
    <row r="7964" spans="3:3" x14ac:dyDescent="0.25">
      <c r="C7964" s="26">
        <v>7962</v>
      </c>
    </row>
    <row r="7965" spans="3:3" x14ac:dyDescent="0.25">
      <c r="C7965" s="26">
        <v>7963</v>
      </c>
    </row>
    <row r="7966" spans="3:3" x14ac:dyDescent="0.25">
      <c r="C7966" s="26">
        <v>7964</v>
      </c>
    </row>
    <row r="7967" spans="3:3" x14ac:dyDescent="0.25">
      <c r="C7967" s="26">
        <v>7965</v>
      </c>
    </row>
    <row r="7968" spans="3:3" x14ac:dyDescent="0.25">
      <c r="C7968" s="26">
        <v>7966</v>
      </c>
    </row>
    <row r="7969" spans="3:3" x14ac:dyDescent="0.25">
      <c r="C7969" s="26">
        <v>7967</v>
      </c>
    </row>
    <row r="7970" spans="3:3" x14ac:dyDescent="0.25">
      <c r="C7970" s="26">
        <v>7968</v>
      </c>
    </row>
    <row r="7971" spans="3:3" x14ac:dyDescent="0.25">
      <c r="C7971" s="26">
        <v>7969</v>
      </c>
    </row>
    <row r="7972" spans="3:3" x14ac:dyDescent="0.25">
      <c r="C7972" s="26">
        <v>7970</v>
      </c>
    </row>
    <row r="7973" spans="3:3" x14ac:dyDescent="0.25">
      <c r="C7973" s="26">
        <v>7971</v>
      </c>
    </row>
    <row r="7974" spans="3:3" x14ac:dyDescent="0.25">
      <c r="C7974" s="26">
        <v>7972</v>
      </c>
    </row>
    <row r="7975" spans="3:3" x14ac:dyDescent="0.25">
      <c r="C7975" s="26">
        <v>7973</v>
      </c>
    </row>
    <row r="7976" spans="3:3" x14ac:dyDescent="0.25">
      <c r="C7976" s="26">
        <v>7974</v>
      </c>
    </row>
    <row r="7977" spans="3:3" x14ac:dyDescent="0.25">
      <c r="C7977" s="26">
        <v>7975</v>
      </c>
    </row>
    <row r="7978" spans="3:3" x14ac:dyDescent="0.25">
      <c r="C7978" s="26">
        <v>7976</v>
      </c>
    </row>
    <row r="7979" spans="3:3" x14ac:dyDescent="0.25">
      <c r="C7979" s="26">
        <v>7977</v>
      </c>
    </row>
    <row r="7980" spans="3:3" x14ac:dyDescent="0.25">
      <c r="C7980" s="26">
        <v>7978</v>
      </c>
    </row>
    <row r="7981" spans="3:3" x14ac:dyDescent="0.25">
      <c r="C7981" s="26">
        <v>7979</v>
      </c>
    </row>
    <row r="7982" spans="3:3" x14ac:dyDescent="0.25">
      <c r="C7982" s="26">
        <v>7980</v>
      </c>
    </row>
    <row r="7983" spans="3:3" x14ac:dyDescent="0.25">
      <c r="C7983" s="26">
        <v>7981</v>
      </c>
    </row>
    <row r="7984" spans="3:3" x14ac:dyDescent="0.25">
      <c r="C7984" s="26">
        <v>7982</v>
      </c>
    </row>
    <row r="7985" spans="3:3" x14ac:dyDescent="0.25">
      <c r="C7985" s="26">
        <v>7983</v>
      </c>
    </row>
    <row r="7986" spans="3:3" x14ac:dyDescent="0.25">
      <c r="C7986" s="26">
        <v>7984</v>
      </c>
    </row>
    <row r="7987" spans="3:3" x14ac:dyDescent="0.25">
      <c r="C7987" s="26">
        <v>7985</v>
      </c>
    </row>
    <row r="7988" spans="3:3" x14ac:dyDescent="0.25">
      <c r="C7988" s="26">
        <v>7986</v>
      </c>
    </row>
    <row r="7989" spans="3:3" x14ac:dyDescent="0.25">
      <c r="C7989" s="26">
        <v>7987</v>
      </c>
    </row>
    <row r="7990" spans="3:3" x14ac:dyDescent="0.25">
      <c r="C7990" s="26">
        <v>7988</v>
      </c>
    </row>
    <row r="7991" spans="3:3" x14ac:dyDescent="0.25">
      <c r="C7991" s="26">
        <v>7989</v>
      </c>
    </row>
    <row r="7992" spans="3:3" x14ac:dyDescent="0.25">
      <c r="C7992" s="26">
        <v>7990</v>
      </c>
    </row>
    <row r="7993" spans="3:3" x14ac:dyDescent="0.25">
      <c r="C7993" s="26">
        <v>7991</v>
      </c>
    </row>
    <row r="7994" spans="3:3" x14ac:dyDescent="0.25">
      <c r="C7994" s="26">
        <v>7992</v>
      </c>
    </row>
    <row r="7995" spans="3:3" x14ac:dyDescent="0.25">
      <c r="C7995" s="26">
        <v>7993</v>
      </c>
    </row>
    <row r="7996" spans="3:3" x14ac:dyDescent="0.25">
      <c r="C7996" s="26">
        <v>7994</v>
      </c>
    </row>
    <row r="7997" spans="3:3" x14ac:dyDescent="0.25">
      <c r="C7997" s="26">
        <v>7995</v>
      </c>
    </row>
    <row r="7998" spans="3:3" x14ac:dyDescent="0.25">
      <c r="C7998" s="26">
        <v>7996</v>
      </c>
    </row>
    <row r="7999" spans="3:3" x14ac:dyDescent="0.25">
      <c r="C7999" s="26">
        <v>7997</v>
      </c>
    </row>
    <row r="8000" spans="3:3" x14ac:dyDescent="0.25">
      <c r="C8000" s="26">
        <v>7998</v>
      </c>
    </row>
    <row r="8001" spans="3:3" x14ac:dyDescent="0.25">
      <c r="C8001" s="26">
        <v>7999</v>
      </c>
    </row>
    <row r="8002" spans="3:3" x14ac:dyDescent="0.25">
      <c r="C8002" s="26">
        <v>8000</v>
      </c>
    </row>
    <row r="8003" spans="3:3" x14ac:dyDescent="0.25">
      <c r="C8003" s="26">
        <v>8001</v>
      </c>
    </row>
    <row r="8004" spans="3:3" x14ac:dyDescent="0.25">
      <c r="C8004" s="26">
        <v>8002</v>
      </c>
    </row>
    <row r="8005" spans="3:3" x14ac:dyDescent="0.25">
      <c r="C8005" s="26">
        <v>8003</v>
      </c>
    </row>
    <row r="8006" spans="3:3" x14ac:dyDescent="0.25">
      <c r="C8006" s="26">
        <v>8004</v>
      </c>
    </row>
    <row r="8007" spans="3:3" x14ac:dyDescent="0.25">
      <c r="C8007" s="26">
        <v>8005</v>
      </c>
    </row>
    <row r="8008" spans="3:3" x14ac:dyDescent="0.25">
      <c r="C8008" s="26">
        <v>8006</v>
      </c>
    </row>
    <row r="8009" spans="3:3" x14ac:dyDescent="0.25">
      <c r="C8009" s="26">
        <v>8007</v>
      </c>
    </row>
    <row r="8010" spans="3:3" x14ac:dyDescent="0.25">
      <c r="C8010" s="26">
        <v>8008</v>
      </c>
    </row>
    <row r="8011" spans="3:3" x14ac:dyDescent="0.25">
      <c r="C8011" s="26">
        <v>8009</v>
      </c>
    </row>
    <row r="8012" spans="3:3" x14ac:dyDescent="0.25">
      <c r="C8012" s="26">
        <v>8010</v>
      </c>
    </row>
    <row r="8013" spans="3:3" x14ac:dyDescent="0.25">
      <c r="C8013" s="26">
        <v>8011</v>
      </c>
    </row>
    <row r="8014" spans="3:3" x14ac:dyDescent="0.25">
      <c r="C8014" s="26">
        <v>8012</v>
      </c>
    </row>
    <row r="8015" spans="3:3" x14ac:dyDescent="0.25">
      <c r="C8015" s="26">
        <v>8013</v>
      </c>
    </row>
    <row r="8016" spans="3:3" x14ac:dyDescent="0.25">
      <c r="C8016" s="26">
        <v>8014</v>
      </c>
    </row>
    <row r="8017" spans="3:3" x14ac:dyDescent="0.25">
      <c r="C8017" s="26">
        <v>8015</v>
      </c>
    </row>
    <row r="8018" spans="3:3" x14ac:dyDescent="0.25">
      <c r="C8018" s="26">
        <v>8016</v>
      </c>
    </row>
    <row r="8019" spans="3:3" x14ac:dyDescent="0.25">
      <c r="C8019" s="26">
        <v>8017</v>
      </c>
    </row>
    <row r="8020" spans="3:3" x14ac:dyDescent="0.25">
      <c r="C8020" s="26">
        <v>8018</v>
      </c>
    </row>
    <row r="8021" spans="3:3" x14ac:dyDescent="0.25">
      <c r="C8021" s="26">
        <v>8019</v>
      </c>
    </row>
    <row r="8022" spans="3:3" x14ac:dyDescent="0.25">
      <c r="C8022" s="26">
        <v>8020</v>
      </c>
    </row>
    <row r="8023" spans="3:3" x14ac:dyDescent="0.25">
      <c r="C8023" s="26">
        <v>8021</v>
      </c>
    </row>
    <row r="8024" spans="3:3" x14ac:dyDescent="0.25">
      <c r="C8024" s="26">
        <v>8022</v>
      </c>
    </row>
    <row r="8025" spans="3:3" x14ac:dyDescent="0.25">
      <c r="C8025" s="26">
        <v>8023</v>
      </c>
    </row>
    <row r="8026" spans="3:3" x14ac:dyDescent="0.25">
      <c r="C8026" s="26">
        <v>8024</v>
      </c>
    </row>
    <row r="8027" spans="3:3" x14ac:dyDescent="0.25">
      <c r="C8027" s="26">
        <v>8025</v>
      </c>
    </row>
    <row r="8028" spans="3:3" x14ac:dyDescent="0.25">
      <c r="C8028" s="26">
        <v>8026</v>
      </c>
    </row>
    <row r="8029" spans="3:3" x14ac:dyDescent="0.25">
      <c r="C8029" s="26">
        <v>8027</v>
      </c>
    </row>
    <row r="8030" spans="3:3" x14ac:dyDescent="0.25">
      <c r="C8030" s="26">
        <v>8028</v>
      </c>
    </row>
    <row r="8031" spans="3:3" x14ac:dyDescent="0.25">
      <c r="C8031" s="26">
        <v>8029</v>
      </c>
    </row>
    <row r="8032" spans="3:3" x14ac:dyDescent="0.25">
      <c r="C8032" s="26">
        <v>8030</v>
      </c>
    </row>
    <row r="8033" spans="3:3" x14ac:dyDescent="0.25">
      <c r="C8033" s="26">
        <v>8031</v>
      </c>
    </row>
    <row r="8034" spans="3:3" x14ac:dyDescent="0.25">
      <c r="C8034" s="26">
        <v>8032</v>
      </c>
    </row>
    <row r="8035" spans="3:3" x14ac:dyDescent="0.25">
      <c r="C8035" s="26">
        <v>8033</v>
      </c>
    </row>
    <row r="8036" spans="3:3" x14ac:dyDescent="0.25">
      <c r="C8036" s="26">
        <v>8034</v>
      </c>
    </row>
    <row r="8037" spans="3:3" x14ac:dyDescent="0.25">
      <c r="C8037" s="26">
        <v>8035</v>
      </c>
    </row>
    <row r="8038" spans="3:3" x14ac:dyDescent="0.25">
      <c r="C8038" s="26">
        <v>8036</v>
      </c>
    </row>
    <row r="8039" spans="3:3" x14ac:dyDescent="0.25">
      <c r="C8039" s="26">
        <v>8037</v>
      </c>
    </row>
    <row r="8040" spans="3:3" x14ac:dyDescent="0.25">
      <c r="C8040" s="26">
        <v>8038</v>
      </c>
    </row>
    <row r="8041" spans="3:3" x14ac:dyDescent="0.25">
      <c r="C8041" s="26">
        <v>8039</v>
      </c>
    </row>
    <row r="8042" spans="3:3" x14ac:dyDescent="0.25">
      <c r="C8042" s="26">
        <v>8040</v>
      </c>
    </row>
    <row r="8043" spans="3:3" x14ac:dyDescent="0.25">
      <c r="C8043" s="26">
        <v>8041</v>
      </c>
    </row>
    <row r="8044" spans="3:3" x14ac:dyDescent="0.25">
      <c r="C8044" s="26">
        <v>8042</v>
      </c>
    </row>
    <row r="8045" spans="3:3" x14ac:dyDescent="0.25">
      <c r="C8045" s="26">
        <v>8043</v>
      </c>
    </row>
    <row r="8046" spans="3:3" x14ac:dyDescent="0.25">
      <c r="C8046" s="26">
        <v>8044</v>
      </c>
    </row>
    <row r="8047" spans="3:3" x14ac:dyDescent="0.25">
      <c r="C8047" s="26">
        <v>8045</v>
      </c>
    </row>
    <row r="8048" spans="3:3" x14ac:dyDescent="0.25">
      <c r="C8048" s="26">
        <v>8046</v>
      </c>
    </row>
    <row r="8049" spans="3:3" x14ac:dyDescent="0.25">
      <c r="C8049" s="26">
        <v>8047</v>
      </c>
    </row>
    <row r="8050" spans="3:3" x14ac:dyDescent="0.25">
      <c r="C8050" s="26">
        <v>8048</v>
      </c>
    </row>
    <row r="8051" spans="3:3" x14ac:dyDescent="0.25">
      <c r="C8051" s="26">
        <v>8049</v>
      </c>
    </row>
    <row r="8052" spans="3:3" x14ac:dyDescent="0.25">
      <c r="C8052" s="26">
        <v>8050</v>
      </c>
    </row>
    <row r="8053" spans="3:3" x14ac:dyDescent="0.25">
      <c r="C8053" s="26">
        <v>8051</v>
      </c>
    </row>
    <row r="8054" spans="3:3" x14ac:dyDescent="0.25">
      <c r="C8054" s="26">
        <v>8052</v>
      </c>
    </row>
    <row r="8055" spans="3:3" x14ac:dyDescent="0.25">
      <c r="C8055" s="26">
        <v>8053</v>
      </c>
    </row>
    <row r="8056" spans="3:3" x14ac:dyDescent="0.25">
      <c r="C8056" s="26">
        <v>8054</v>
      </c>
    </row>
    <row r="8057" spans="3:3" x14ac:dyDescent="0.25">
      <c r="C8057" s="26">
        <v>8055</v>
      </c>
    </row>
    <row r="8058" spans="3:3" x14ac:dyDescent="0.25">
      <c r="C8058" s="26">
        <v>8056</v>
      </c>
    </row>
    <row r="8059" spans="3:3" x14ac:dyDescent="0.25">
      <c r="C8059" s="26">
        <v>8057</v>
      </c>
    </row>
    <row r="8060" spans="3:3" x14ac:dyDescent="0.25">
      <c r="C8060" s="26">
        <v>8058</v>
      </c>
    </row>
    <row r="8061" spans="3:3" x14ac:dyDescent="0.25">
      <c r="C8061" s="26">
        <v>8059</v>
      </c>
    </row>
    <row r="8062" spans="3:3" x14ac:dyDescent="0.25">
      <c r="C8062" s="26">
        <v>8060</v>
      </c>
    </row>
    <row r="8063" spans="3:3" x14ac:dyDescent="0.25">
      <c r="C8063" s="26">
        <v>8061</v>
      </c>
    </row>
    <row r="8064" spans="3:3" x14ac:dyDescent="0.25">
      <c r="C8064" s="26">
        <v>8062</v>
      </c>
    </row>
    <row r="8065" spans="3:3" x14ac:dyDescent="0.25">
      <c r="C8065" s="26">
        <v>8063</v>
      </c>
    </row>
    <row r="8066" spans="3:3" x14ac:dyDescent="0.25">
      <c r="C8066" s="26">
        <v>8064</v>
      </c>
    </row>
    <row r="8067" spans="3:3" x14ac:dyDescent="0.25">
      <c r="C8067" s="26">
        <v>8065</v>
      </c>
    </row>
    <row r="8068" spans="3:3" x14ac:dyDescent="0.25">
      <c r="C8068" s="26">
        <v>8066</v>
      </c>
    </row>
    <row r="8069" spans="3:3" x14ac:dyDescent="0.25">
      <c r="C8069" s="26">
        <v>8067</v>
      </c>
    </row>
    <row r="8070" spans="3:3" x14ac:dyDescent="0.25">
      <c r="C8070" s="26">
        <v>8068</v>
      </c>
    </row>
    <row r="8071" spans="3:3" x14ac:dyDescent="0.25">
      <c r="C8071" s="26">
        <v>8069</v>
      </c>
    </row>
    <row r="8072" spans="3:3" x14ac:dyDescent="0.25">
      <c r="C8072" s="26">
        <v>8070</v>
      </c>
    </row>
    <row r="8073" spans="3:3" x14ac:dyDescent="0.25">
      <c r="C8073" s="26">
        <v>8071</v>
      </c>
    </row>
    <row r="8074" spans="3:3" x14ac:dyDescent="0.25">
      <c r="C8074" s="26">
        <v>8072</v>
      </c>
    </row>
    <row r="8075" spans="3:3" x14ac:dyDescent="0.25">
      <c r="C8075" s="26">
        <v>8073</v>
      </c>
    </row>
    <row r="8076" spans="3:3" x14ac:dyDescent="0.25">
      <c r="C8076" s="26">
        <v>8074</v>
      </c>
    </row>
    <row r="8077" spans="3:3" x14ac:dyDescent="0.25">
      <c r="C8077" s="26">
        <v>8075</v>
      </c>
    </row>
    <row r="8078" spans="3:3" x14ac:dyDescent="0.25">
      <c r="C8078" s="26">
        <v>8076</v>
      </c>
    </row>
    <row r="8079" spans="3:3" x14ac:dyDescent="0.25">
      <c r="C8079" s="26">
        <v>8077</v>
      </c>
    </row>
    <row r="8080" spans="3:3" x14ac:dyDescent="0.25">
      <c r="C8080" s="26">
        <v>8078</v>
      </c>
    </row>
    <row r="8081" spans="3:3" x14ac:dyDescent="0.25">
      <c r="C8081" s="26">
        <v>8079</v>
      </c>
    </row>
    <row r="8082" spans="3:3" x14ac:dyDescent="0.25">
      <c r="C8082" s="26">
        <v>8080</v>
      </c>
    </row>
    <row r="8083" spans="3:3" x14ac:dyDescent="0.25">
      <c r="C8083" s="26">
        <v>8081</v>
      </c>
    </row>
    <row r="8084" spans="3:3" x14ac:dyDescent="0.25">
      <c r="C8084" s="26">
        <v>8082</v>
      </c>
    </row>
    <row r="8085" spans="3:3" x14ac:dyDescent="0.25">
      <c r="C8085" s="26">
        <v>8083</v>
      </c>
    </row>
    <row r="8086" spans="3:3" x14ac:dyDescent="0.25">
      <c r="C8086" s="26">
        <v>8084</v>
      </c>
    </row>
    <row r="8087" spans="3:3" x14ac:dyDescent="0.25">
      <c r="C8087" s="26">
        <v>8085</v>
      </c>
    </row>
    <row r="8088" spans="3:3" x14ac:dyDescent="0.25">
      <c r="C8088" s="26">
        <v>8086</v>
      </c>
    </row>
    <row r="8089" spans="3:3" x14ac:dyDescent="0.25">
      <c r="C8089" s="26">
        <v>8087</v>
      </c>
    </row>
    <row r="8090" spans="3:3" x14ac:dyDescent="0.25">
      <c r="C8090" s="26">
        <v>8088</v>
      </c>
    </row>
    <row r="8091" spans="3:3" x14ac:dyDescent="0.25">
      <c r="C8091" s="26">
        <v>8089</v>
      </c>
    </row>
    <row r="8092" spans="3:3" x14ac:dyDescent="0.25">
      <c r="C8092" s="26">
        <v>8090</v>
      </c>
    </row>
    <row r="8093" spans="3:3" x14ac:dyDescent="0.25">
      <c r="C8093" s="26">
        <v>8091</v>
      </c>
    </row>
    <row r="8094" spans="3:3" x14ac:dyDescent="0.25">
      <c r="C8094" s="26">
        <v>8092</v>
      </c>
    </row>
    <row r="8095" spans="3:3" x14ac:dyDescent="0.25">
      <c r="C8095" s="26">
        <v>8093</v>
      </c>
    </row>
    <row r="8096" spans="3:3" x14ac:dyDescent="0.25">
      <c r="C8096" s="26">
        <v>8094</v>
      </c>
    </row>
    <row r="8097" spans="3:3" x14ac:dyDescent="0.25">
      <c r="C8097" s="26">
        <v>8095</v>
      </c>
    </row>
    <row r="8098" spans="3:3" x14ac:dyDescent="0.25">
      <c r="C8098" s="26">
        <v>8096</v>
      </c>
    </row>
    <row r="8099" spans="3:3" x14ac:dyDescent="0.25">
      <c r="C8099" s="26">
        <v>8097</v>
      </c>
    </row>
    <row r="8100" spans="3:3" x14ac:dyDescent="0.25">
      <c r="C8100" s="26">
        <v>8098</v>
      </c>
    </row>
    <row r="8101" spans="3:3" x14ac:dyDescent="0.25">
      <c r="C8101" s="26">
        <v>8099</v>
      </c>
    </row>
    <row r="8102" spans="3:3" x14ac:dyDescent="0.25">
      <c r="C8102" s="26">
        <v>8100</v>
      </c>
    </row>
    <row r="8103" spans="3:3" x14ac:dyDescent="0.25">
      <c r="C8103" s="26">
        <v>8101</v>
      </c>
    </row>
    <row r="8104" spans="3:3" x14ac:dyDescent="0.25">
      <c r="C8104" s="26">
        <v>8102</v>
      </c>
    </row>
    <row r="8105" spans="3:3" x14ac:dyDescent="0.25">
      <c r="C8105" s="26">
        <v>8103</v>
      </c>
    </row>
    <row r="8106" spans="3:3" x14ac:dyDescent="0.25">
      <c r="C8106" s="26">
        <v>8104</v>
      </c>
    </row>
    <row r="8107" spans="3:3" x14ac:dyDescent="0.25">
      <c r="C8107" s="26">
        <v>8105</v>
      </c>
    </row>
    <row r="8108" spans="3:3" x14ac:dyDescent="0.25">
      <c r="C8108" s="26">
        <v>8106</v>
      </c>
    </row>
    <row r="8109" spans="3:3" x14ac:dyDescent="0.25">
      <c r="C8109" s="26">
        <v>8107</v>
      </c>
    </row>
    <row r="8110" spans="3:3" x14ac:dyDescent="0.25">
      <c r="C8110" s="26">
        <v>8108</v>
      </c>
    </row>
    <row r="8111" spans="3:3" x14ac:dyDescent="0.25">
      <c r="C8111" s="26">
        <v>8109</v>
      </c>
    </row>
    <row r="8112" spans="3:3" x14ac:dyDescent="0.25">
      <c r="C8112" s="26">
        <v>8110</v>
      </c>
    </row>
    <row r="8113" spans="3:3" x14ac:dyDescent="0.25">
      <c r="C8113" s="26">
        <v>8111</v>
      </c>
    </row>
    <row r="8114" spans="3:3" x14ac:dyDescent="0.25">
      <c r="C8114" s="26">
        <v>8112</v>
      </c>
    </row>
    <row r="8115" spans="3:3" x14ac:dyDescent="0.25">
      <c r="C8115" s="26">
        <v>8113</v>
      </c>
    </row>
    <row r="8116" spans="3:3" x14ac:dyDescent="0.25">
      <c r="C8116" s="26">
        <v>8114</v>
      </c>
    </row>
    <row r="8117" spans="3:3" x14ac:dyDescent="0.25">
      <c r="C8117" s="26">
        <v>8115</v>
      </c>
    </row>
    <row r="8118" spans="3:3" x14ac:dyDescent="0.25">
      <c r="C8118" s="26">
        <v>8116</v>
      </c>
    </row>
    <row r="8119" spans="3:3" x14ac:dyDescent="0.25">
      <c r="C8119" s="26">
        <v>8117</v>
      </c>
    </row>
    <row r="8120" spans="3:3" x14ac:dyDescent="0.25">
      <c r="C8120" s="26">
        <v>8118</v>
      </c>
    </row>
    <row r="8121" spans="3:3" x14ac:dyDescent="0.25">
      <c r="C8121" s="26">
        <v>8119</v>
      </c>
    </row>
    <row r="8122" spans="3:3" x14ac:dyDescent="0.25">
      <c r="C8122" s="26">
        <v>8120</v>
      </c>
    </row>
    <row r="8123" spans="3:3" x14ac:dyDescent="0.25">
      <c r="C8123" s="26">
        <v>8121</v>
      </c>
    </row>
    <row r="8124" spans="3:3" x14ac:dyDescent="0.25">
      <c r="C8124" s="26">
        <v>8122</v>
      </c>
    </row>
    <row r="8125" spans="3:3" x14ac:dyDescent="0.25">
      <c r="C8125" s="26">
        <v>8123</v>
      </c>
    </row>
    <row r="8126" spans="3:3" x14ac:dyDescent="0.25">
      <c r="C8126" s="26">
        <v>8124</v>
      </c>
    </row>
    <row r="8127" spans="3:3" x14ac:dyDescent="0.25">
      <c r="C8127" s="26">
        <v>8125</v>
      </c>
    </row>
    <row r="8128" spans="3:3" x14ac:dyDescent="0.25">
      <c r="C8128" s="26">
        <v>8126</v>
      </c>
    </row>
    <row r="8129" spans="3:3" x14ac:dyDescent="0.25">
      <c r="C8129" s="26">
        <v>8127</v>
      </c>
    </row>
    <row r="8130" spans="3:3" x14ac:dyDescent="0.25">
      <c r="C8130" s="26">
        <v>8128</v>
      </c>
    </row>
    <row r="8131" spans="3:3" x14ac:dyDescent="0.25">
      <c r="C8131" s="26">
        <v>8129</v>
      </c>
    </row>
    <row r="8132" spans="3:3" x14ac:dyDescent="0.25">
      <c r="C8132" s="26">
        <v>8130</v>
      </c>
    </row>
    <row r="8133" spans="3:3" x14ac:dyDescent="0.25">
      <c r="C8133" s="26">
        <v>8131</v>
      </c>
    </row>
    <row r="8134" spans="3:3" x14ac:dyDescent="0.25">
      <c r="C8134" s="26">
        <v>8132</v>
      </c>
    </row>
    <row r="8135" spans="3:3" x14ac:dyDescent="0.25">
      <c r="C8135" s="26">
        <v>8133</v>
      </c>
    </row>
    <row r="8136" spans="3:3" x14ac:dyDescent="0.25">
      <c r="C8136" s="26">
        <v>8134</v>
      </c>
    </row>
    <row r="8137" spans="3:3" x14ac:dyDescent="0.25">
      <c r="C8137" s="26">
        <v>8135</v>
      </c>
    </row>
    <row r="8138" spans="3:3" x14ac:dyDescent="0.25">
      <c r="C8138" s="26">
        <v>8136</v>
      </c>
    </row>
    <row r="8139" spans="3:3" x14ac:dyDescent="0.25">
      <c r="C8139" s="26">
        <v>8137</v>
      </c>
    </row>
    <row r="8140" spans="3:3" x14ac:dyDescent="0.25">
      <c r="C8140" s="26">
        <v>8138</v>
      </c>
    </row>
    <row r="8141" spans="3:3" x14ac:dyDescent="0.25">
      <c r="C8141" s="26">
        <v>8139</v>
      </c>
    </row>
    <row r="8142" spans="3:3" x14ac:dyDescent="0.25">
      <c r="C8142" s="26">
        <v>8140</v>
      </c>
    </row>
    <row r="8143" spans="3:3" x14ac:dyDescent="0.25">
      <c r="C8143" s="26">
        <v>8141</v>
      </c>
    </row>
    <row r="8144" spans="3:3" x14ac:dyDescent="0.25">
      <c r="C8144" s="26">
        <v>8142</v>
      </c>
    </row>
    <row r="8145" spans="3:3" x14ac:dyDescent="0.25">
      <c r="C8145" s="26">
        <v>8143</v>
      </c>
    </row>
    <row r="8146" spans="3:3" x14ac:dyDescent="0.25">
      <c r="C8146" s="26">
        <v>8144</v>
      </c>
    </row>
    <row r="8147" spans="3:3" x14ac:dyDescent="0.25">
      <c r="C8147" s="26">
        <v>8145</v>
      </c>
    </row>
    <row r="8148" spans="3:3" x14ac:dyDescent="0.25">
      <c r="C8148" s="26">
        <v>8146</v>
      </c>
    </row>
    <row r="8149" spans="3:3" x14ac:dyDescent="0.25">
      <c r="C8149" s="26">
        <v>8147</v>
      </c>
    </row>
    <row r="8150" spans="3:3" x14ac:dyDescent="0.25">
      <c r="C8150" s="26">
        <v>8148</v>
      </c>
    </row>
    <row r="8151" spans="3:3" x14ac:dyDescent="0.25">
      <c r="C8151" s="26">
        <v>8149</v>
      </c>
    </row>
    <row r="8152" spans="3:3" x14ac:dyDescent="0.25">
      <c r="C8152" s="26">
        <v>8150</v>
      </c>
    </row>
    <row r="8153" spans="3:3" x14ac:dyDescent="0.25">
      <c r="C8153" s="26">
        <v>8151</v>
      </c>
    </row>
    <row r="8154" spans="3:3" x14ac:dyDescent="0.25">
      <c r="C8154" s="26">
        <v>8152</v>
      </c>
    </row>
    <row r="8155" spans="3:3" x14ac:dyDescent="0.25">
      <c r="C8155" s="26">
        <v>8153</v>
      </c>
    </row>
    <row r="8156" spans="3:3" x14ac:dyDescent="0.25">
      <c r="C8156" s="26">
        <v>8154</v>
      </c>
    </row>
    <row r="8157" spans="3:3" x14ac:dyDescent="0.25">
      <c r="C8157" s="26">
        <v>8155</v>
      </c>
    </row>
    <row r="8158" spans="3:3" x14ac:dyDescent="0.25">
      <c r="C8158" s="26">
        <v>8156</v>
      </c>
    </row>
    <row r="8159" spans="3:3" x14ac:dyDescent="0.25">
      <c r="C8159" s="26">
        <v>8157</v>
      </c>
    </row>
    <row r="8160" spans="3:3" x14ac:dyDescent="0.25">
      <c r="C8160" s="26">
        <v>8158</v>
      </c>
    </row>
    <row r="8161" spans="3:3" x14ac:dyDescent="0.25">
      <c r="C8161" s="26">
        <v>8159</v>
      </c>
    </row>
    <row r="8162" spans="3:3" x14ac:dyDescent="0.25">
      <c r="C8162" s="26">
        <v>8160</v>
      </c>
    </row>
    <row r="8163" spans="3:3" x14ac:dyDescent="0.25">
      <c r="C8163" s="26">
        <v>8161</v>
      </c>
    </row>
    <row r="8164" spans="3:3" x14ac:dyDescent="0.25">
      <c r="C8164" s="26">
        <v>8162</v>
      </c>
    </row>
    <row r="8165" spans="3:3" x14ac:dyDescent="0.25">
      <c r="C8165" s="26">
        <v>8163</v>
      </c>
    </row>
    <row r="8166" spans="3:3" x14ac:dyDescent="0.25">
      <c r="C8166" s="26">
        <v>8164</v>
      </c>
    </row>
    <row r="8167" spans="3:3" x14ac:dyDescent="0.25">
      <c r="C8167" s="26">
        <v>8165</v>
      </c>
    </row>
    <row r="8168" spans="3:3" x14ac:dyDescent="0.25">
      <c r="C8168" s="26">
        <v>8166</v>
      </c>
    </row>
    <row r="8169" spans="3:3" x14ac:dyDescent="0.25">
      <c r="C8169" s="26">
        <v>8167</v>
      </c>
    </row>
    <row r="8170" spans="3:3" x14ac:dyDescent="0.25">
      <c r="C8170" s="26">
        <v>8168</v>
      </c>
    </row>
    <row r="8171" spans="3:3" x14ac:dyDescent="0.25">
      <c r="C8171" s="26">
        <v>8169</v>
      </c>
    </row>
    <row r="8172" spans="3:3" x14ac:dyDescent="0.25">
      <c r="C8172" s="26">
        <v>8170</v>
      </c>
    </row>
    <row r="8173" spans="3:3" x14ac:dyDescent="0.25">
      <c r="C8173" s="26">
        <v>8171</v>
      </c>
    </row>
    <row r="8174" spans="3:3" x14ac:dyDescent="0.25">
      <c r="C8174" s="26">
        <v>8172</v>
      </c>
    </row>
    <row r="8175" spans="3:3" x14ac:dyDescent="0.25">
      <c r="C8175" s="26">
        <v>8173</v>
      </c>
    </row>
    <row r="8176" spans="3:3" x14ac:dyDescent="0.25">
      <c r="C8176" s="26">
        <v>8174</v>
      </c>
    </row>
    <row r="8177" spans="3:3" x14ac:dyDescent="0.25">
      <c r="C8177" s="26">
        <v>8175</v>
      </c>
    </row>
    <row r="8178" spans="3:3" x14ac:dyDescent="0.25">
      <c r="C8178" s="26">
        <v>8176</v>
      </c>
    </row>
    <row r="8179" spans="3:3" x14ac:dyDescent="0.25">
      <c r="C8179" s="26">
        <v>8177</v>
      </c>
    </row>
    <row r="8180" spans="3:3" x14ac:dyDescent="0.25">
      <c r="C8180" s="26">
        <v>8178</v>
      </c>
    </row>
    <row r="8181" spans="3:3" x14ac:dyDescent="0.25">
      <c r="C8181" s="26">
        <v>8179</v>
      </c>
    </row>
    <row r="8182" spans="3:3" x14ac:dyDescent="0.25">
      <c r="C8182" s="26">
        <v>8180</v>
      </c>
    </row>
    <row r="8183" spans="3:3" x14ac:dyDescent="0.25">
      <c r="C8183" s="26">
        <v>8181</v>
      </c>
    </row>
    <row r="8184" spans="3:3" x14ac:dyDescent="0.25">
      <c r="C8184" s="26">
        <v>8182</v>
      </c>
    </row>
    <row r="8185" spans="3:3" x14ac:dyDescent="0.25">
      <c r="C8185" s="26">
        <v>8183</v>
      </c>
    </row>
    <row r="8186" spans="3:3" x14ac:dyDescent="0.25">
      <c r="C8186" s="26">
        <v>8184</v>
      </c>
    </row>
    <row r="8187" spans="3:3" x14ac:dyDescent="0.25">
      <c r="C8187" s="26">
        <v>8185</v>
      </c>
    </row>
    <row r="8188" spans="3:3" x14ac:dyDescent="0.25">
      <c r="C8188" s="26">
        <v>8186</v>
      </c>
    </row>
    <row r="8189" spans="3:3" x14ac:dyDescent="0.25">
      <c r="C8189" s="26">
        <v>8187</v>
      </c>
    </row>
    <row r="8190" spans="3:3" x14ac:dyDescent="0.25">
      <c r="C8190" s="26">
        <v>8188</v>
      </c>
    </row>
    <row r="8191" spans="3:3" x14ac:dyDescent="0.25">
      <c r="C8191" s="26">
        <v>8189</v>
      </c>
    </row>
    <row r="8192" spans="3:3" x14ac:dyDescent="0.25">
      <c r="C8192" s="26">
        <v>8190</v>
      </c>
    </row>
    <row r="8193" spans="3:3" x14ac:dyDescent="0.25">
      <c r="C8193" s="26">
        <v>8191</v>
      </c>
    </row>
    <row r="8194" spans="3:3" x14ac:dyDescent="0.25">
      <c r="C8194" s="26">
        <v>8192</v>
      </c>
    </row>
    <row r="8195" spans="3:3" x14ac:dyDescent="0.25">
      <c r="C8195" s="26">
        <v>8193</v>
      </c>
    </row>
    <row r="8196" spans="3:3" x14ac:dyDescent="0.25">
      <c r="C8196" s="26">
        <v>8194</v>
      </c>
    </row>
    <row r="8197" spans="3:3" x14ac:dyDescent="0.25">
      <c r="C8197" s="26">
        <v>8195</v>
      </c>
    </row>
    <row r="8198" spans="3:3" x14ac:dyDescent="0.25">
      <c r="C8198" s="26">
        <v>8196</v>
      </c>
    </row>
    <row r="8199" spans="3:3" x14ac:dyDescent="0.25">
      <c r="C8199" s="26">
        <v>8197</v>
      </c>
    </row>
    <row r="8200" spans="3:3" x14ac:dyDescent="0.25">
      <c r="C8200" s="26">
        <v>8198</v>
      </c>
    </row>
    <row r="8201" spans="3:3" x14ac:dyDescent="0.25">
      <c r="C8201" s="26">
        <v>8199</v>
      </c>
    </row>
    <row r="8202" spans="3:3" x14ac:dyDescent="0.25">
      <c r="C8202" s="26">
        <v>8200</v>
      </c>
    </row>
    <row r="8203" spans="3:3" x14ac:dyDescent="0.25">
      <c r="C8203" s="26">
        <v>8201</v>
      </c>
    </row>
    <row r="8204" spans="3:3" x14ac:dyDescent="0.25">
      <c r="C8204" s="26">
        <v>8202</v>
      </c>
    </row>
    <row r="8205" spans="3:3" x14ac:dyDescent="0.25">
      <c r="C8205" s="26">
        <v>8203</v>
      </c>
    </row>
    <row r="8206" spans="3:3" x14ac:dyDescent="0.25">
      <c r="C8206" s="26">
        <v>8204</v>
      </c>
    </row>
    <row r="8207" spans="3:3" x14ac:dyDescent="0.25">
      <c r="C8207" s="26">
        <v>8205</v>
      </c>
    </row>
    <row r="8208" spans="3:3" x14ac:dyDescent="0.25">
      <c r="C8208" s="26">
        <v>8206</v>
      </c>
    </row>
    <row r="8209" spans="3:3" x14ac:dyDescent="0.25">
      <c r="C8209" s="26">
        <v>8207</v>
      </c>
    </row>
    <row r="8210" spans="3:3" x14ac:dyDescent="0.25">
      <c r="C8210" s="26">
        <v>8208</v>
      </c>
    </row>
    <row r="8211" spans="3:3" x14ac:dyDescent="0.25">
      <c r="C8211" s="26">
        <v>8209</v>
      </c>
    </row>
    <row r="8212" spans="3:3" x14ac:dyDescent="0.25">
      <c r="C8212" s="26">
        <v>8210</v>
      </c>
    </row>
    <row r="8213" spans="3:3" x14ac:dyDescent="0.25">
      <c r="C8213" s="26">
        <v>8211</v>
      </c>
    </row>
    <row r="8214" spans="3:3" x14ac:dyDescent="0.25">
      <c r="C8214" s="26">
        <v>8212</v>
      </c>
    </row>
    <row r="8215" spans="3:3" x14ac:dyDescent="0.25">
      <c r="C8215" s="26">
        <v>8213</v>
      </c>
    </row>
    <row r="8216" spans="3:3" x14ac:dyDescent="0.25">
      <c r="C8216" s="26">
        <v>8214</v>
      </c>
    </row>
    <row r="8217" spans="3:3" x14ac:dyDescent="0.25">
      <c r="C8217" s="26">
        <v>8215</v>
      </c>
    </row>
    <row r="8218" spans="3:3" x14ac:dyDescent="0.25">
      <c r="C8218" s="26">
        <v>8216</v>
      </c>
    </row>
    <row r="8219" spans="3:3" x14ac:dyDescent="0.25">
      <c r="C8219" s="26">
        <v>8217</v>
      </c>
    </row>
    <row r="8220" spans="3:3" x14ac:dyDescent="0.25">
      <c r="C8220" s="26">
        <v>8218</v>
      </c>
    </row>
    <row r="8221" spans="3:3" x14ac:dyDescent="0.25">
      <c r="C8221" s="26">
        <v>8219</v>
      </c>
    </row>
    <row r="8222" spans="3:3" x14ac:dyDescent="0.25">
      <c r="C8222" s="26">
        <v>8220</v>
      </c>
    </row>
    <row r="8223" spans="3:3" x14ac:dyDescent="0.25">
      <c r="C8223" s="26">
        <v>8221</v>
      </c>
    </row>
    <row r="8224" spans="3:3" x14ac:dyDescent="0.25">
      <c r="C8224" s="26">
        <v>8222</v>
      </c>
    </row>
    <row r="8225" spans="3:3" x14ac:dyDescent="0.25">
      <c r="C8225" s="26">
        <v>8223</v>
      </c>
    </row>
    <row r="8226" spans="3:3" x14ac:dyDescent="0.25">
      <c r="C8226" s="26">
        <v>8224</v>
      </c>
    </row>
    <row r="8227" spans="3:3" x14ac:dyDescent="0.25">
      <c r="C8227" s="26">
        <v>8225</v>
      </c>
    </row>
    <row r="8228" spans="3:3" x14ac:dyDescent="0.25">
      <c r="C8228" s="26">
        <v>8226</v>
      </c>
    </row>
    <row r="8229" spans="3:3" x14ac:dyDescent="0.25">
      <c r="C8229" s="26">
        <v>8227</v>
      </c>
    </row>
    <row r="8230" spans="3:3" x14ac:dyDescent="0.25">
      <c r="C8230" s="26">
        <v>8228</v>
      </c>
    </row>
    <row r="8231" spans="3:3" x14ac:dyDescent="0.25">
      <c r="C8231" s="26">
        <v>8229</v>
      </c>
    </row>
    <row r="8232" spans="3:3" x14ac:dyDescent="0.25">
      <c r="C8232" s="26">
        <v>8230</v>
      </c>
    </row>
    <row r="8233" spans="3:3" x14ac:dyDescent="0.25">
      <c r="C8233" s="26">
        <v>8231</v>
      </c>
    </row>
    <row r="8234" spans="3:3" x14ac:dyDescent="0.25">
      <c r="C8234" s="26">
        <v>8232</v>
      </c>
    </row>
    <row r="8235" spans="3:3" x14ac:dyDescent="0.25">
      <c r="C8235" s="26">
        <v>8233</v>
      </c>
    </row>
    <row r="8236" spans="3:3" x14ac:dyDescent="0.25">
      <c r="C8236" s="26">
        <v>8234</v>
      </c>
    </row>
    <row r="8237" spans="3:3" x14ac:dyDescent="0.25">
      <c r="C8237" s="26">
        <v>8235</v>
      </c>
    </row>
    <row r="8238" spans="3:3" x14ac:dyDescent="0.25">
      <c r="C8238" s="26">
        <v>8236</v>
      </c>
    </row>
    <row r="8239" spans="3:3" x14ac:dyDescent="0.25">
      <c r="C8239" s="26">
        <v>8237</v>
      </c>
    </row>
    <row r="8240" spans="3:3" x14ac:dyDescent="0.25">
      <c r="C8240" s="26">
        <v>8238</v>
      </c>
    </row>
    <row r="8241" spans="3:3" x14ac:dyDescent="0.25">
      <c r="C8241" s="26">
        <v>8239</v>
      </c>
    </row>
    <row r="8242" spans="3:3" x14ac:dyDescent="0.25">
      <c r="C8242" s="26">
        <v>8240</v>
      </c>
    </row>
    <row r="8243" spans="3:3" x14ac:dyDescent="0.25">
      <c r="C8243" s="26">
        <v>8241</v>
      </c>
    </row>
    <row r="8244" spans="3:3" x14ac:dyDescent="0.25">
      <c r="C8244" s="26">
        <v>8242</v>
      </c>
    </row>
    <row r="8245" spans="3:3" x14ac:dyDescent="0.25">
      <c r="C8245" s="26">
        <v>8243</v>
      </c>
    </row>
    <row r="8246" spans="3:3" x14ac:dyDescent="0.25">
      <c r="C8246" s="26">
        <v>8244</v>
      </c>
    </row>
    <row r="8247" spans="3:3" x14ac:dyDescent="0.25">
      <c r="C8247" s="26">
        <v>8245</v>
      </c>
    </row>
    <row r="8248" spans="3:3" x14ac:dyDescent="0.25">
      <c r="C8248" s="26">
        <v>8246</v>
      </c>
    </row>
    <row r="8249" spans="3:3" x14ac:dyDescent="0.25">
      <c r="C8249" s="26">
        <v>8247</v>
      </c>
    </row>
    <row r="8250" spans="3:3" x14ac:dyDescent="0.25">
      <c r="C8250" s="26">
        <v>8248</v>
      </c>
    </row>
    <row r="8251" spans="3:3" x14ac:dyDescent="0.25">
      <c r="C8251" s="26">
        <v>8249</v>
      </c>
    </row>
    <row r="8252" spans="3:3" x14ac:dyDescent="0.25">
      <c r="C8252" s="26">
        <v>8250</v>
      </c>
    </row>
    <row r="8253" spans="3:3" x14ac:dyDescent="0.25">
      <c r="C8253" s="26">
        <v>8251</v>
      </c>
    </row>
    <row r="8254" spans="3:3" x14ac:dyDescent="0.25">
      <c r="C8254" s="26">
        <v>8252</v>
      </c>
    </row>
    <row r="8255" spans="3:3" x14ac:dyDescent="0.25">
      <c r="C8255" s="26">
        <v>8253</v>
      </c>
    </row>
    <row r="8256" spans="3:3" x14ac:dyDescent="0.25">
      <c r="C8256" s="26">
        <v>8254</v>
      </c>
    </row>
    <row r="8257" spans="3:3" x14ac:dyDescent="0.25">
      <c r="C8257" s="26">
        <v>8255</v>
      </c>
    </row>
    <row r="8258" spans="3:3" x14ac:dyDescent="0.25">
      <c r="C8258" s="26">
        <v>8256</v>
      </c>
    </row>
    <row r="8259" spans="3:3" x14ac:dyDescent="0.25">
      <c r="C8259" s="26">
        <v>8257</v>
      </c>
    </row>
    <row r="8260" spans="3:3" x14ac:dyDescent="0.25">
      <c r="C8260" s="26">
        <v>8258</v>
      </c>
    </row>
    <row r="8261" spans="3:3" x14ac:dyDescent="0.25">
      <c r="C8261" s="26">
        <v>8259</v>
      </c>
    </row>
    <row r="8262" spans="3:3" x14ac:dyDescent="0.25">
      <c r="C8262" s="26">
        <v>8260</v>
      </c>
    </row>
    <row r="8263" spans="3:3" x14ac:dyDescent="0.25">
      <c r="C8263" s="26">
        <v>8261</v>
      </c>
    </row>
    <row r="8264" spans="3:3" x14ac:dyDescent="0.25">
      <c r="C8264" s="26">
        <v>8262</v>
      </c>
    </row>
    <row r="8265" spans="3:3" x14ac:dyDescent="0.25">
      <c r="C8265" s="26">
        <v>8263</v>
      </c>
    </row>
    <row r="8266" spans="3:3" x14ac:dyDescent="0.25">
      <c r="C8266" s="26">
        <v>8264</v>
      </c>
    </row>
    <row r="8267" spans="3:3" x14ac:dyDescent="0.25">
      <c r="C8267" s="26">
        <v>8265</v>
      </c>
    </row>
    <row r="8268" spans="3:3" x14ac:dyDescent="0.25">
      <c r="C8268" s="26">
        <v>8266</v>
      </c>
    </row>
    <row r="8269" spans="3:3" x14ac:dyDescent="0.25">
      <c r="C8269" s="26">
        <v>8267</v>
      </c>
    </row>
    <row r="8270" spans="3:3" x14ac:dyDescent="0.25">
      <c r="C8270" s="26">
        <v>8268</v>
      </c>
    </row>
    <row r="8271" spans="3:3" x14ac:dyDescent="0.25">
      <c r="C8271" s="26">
        <v>8269</v>
      </c>
    </row>
    <row r="8272" spans="3:3" x14ac:dyDescent="0.25">
      <c r="C8272" s="26">
        <v>8270</v>
      </c>
    </row>
    <row r="8273" spans="3:3" x14ac:dyDescent="0.25">
      <c r="C8273" s="26">
        <v>8271</v>
      </c>
    </row>
    <row r="8274" spans="3:3" x14ac:dyDescent="0.25">
      <c r="C8274" s="26">
        <v>8272</v>
      </c>
    </row>
    <row r="8275" spans="3:3" x14ac:dyDescent="0.25">
      <c r="C8275" s="26">
        <v>8273</v>
      </c>
    </row>
    <row r="8276" spans="3:3" x14ac:dyDescent="0.25">
      <c r="C8276" s="26">
        <v>8274</v>
      </c>
    </row>
    <row r="8277" spans="3:3" x14ac:dyDescent="0.25">
      <c r="C8277" s="26">
        <v>8275</v>
      </c>
    </row>
    <row r="8278" spans="3:3" x14ac:dyDescent="0.25">
      <c r="C8278" s="26">
        <v>8276</v>
      </c>
    </row>
    <row r="8279" spans="3:3" x14ac:dyDescent="0.25">
      <c r="C8279" s="26">
        <v>8277</v>
      </c>
    </row>
    <row r="8280" spans="3:3" x14ac:dyDescent="0.25">
      <c r="C8280" s="26">
        <v>8278</v>
      </c>
    </row>
    <row r="8281" spans="3:3" x14ac:dyDescent="0.25">
      <c r="C8281" s="26">
        <v>8279</v>
      </c>
    </row>
    <row r="8282" spans="3:3" x14ac:dyDescent="0.25">
      <c r="C8282" s="26">
        <v>8280</v>
      </c>
    </row>
    <row r="8283" spans="3:3" x14ac:dyDescent="0.25">
      <c r="C8283" s="26">
        <v>8281</v>
      </c>
    </row>
    <row r="8284" spans="3:3" x14ac:dyDescent="0.25">
      <c r="C8284" s="26">
        <v>8282</v>
      </c>
    </row>
    <row r="8285" spans="3:3" x14ac:dyDescent="0.25">
      <c r="C8285" s="26">
        <v>8283</v>
      </c>
    </row>
    <row r="8286" spans="3:3" x14ac:dyDescent="0.25">
      <c r="C8286" s="26">
        <v>8284</v>
      </c>
    </row>
    <row r="8287" spans="3:3" x14ac:dyDescent="0.25">
      <c r="C8287" s="26">
        <v>8285</v>
      </c>
    </row>
    <row r="8288" spans="3:3" x14ac:dyDescent="0.25">
      <c r="C8288" s="26">
        <v>8286</v>
      </c>
    </row>
    <row r="8289" spans="3:3" x14ac:dyDescent="0.25">
      <c r="C8289" s="26">
        <v>8287</v>
      </c>
    </row>
    <row r="8290" spans="3:3" x14ac:dyDescent="0.25">
      <c r="C8290" s="26">
        <v>8288</v>
      </c>
    </row>
    <row r="8291" spans="3:3" x14ac:dyDescent="0.25">
      <c r="C8291" s="26">
        <v>8289</v>
      </c>
    </row>
    <row r="8292" spans="3:3" x14ac:dyDescent="0.25">
      <c r="C8292" s="26">
        <v>8290</v>
      </c>
    </row>
    <row r="8293" spans="3:3" x14ac:dyDescent="0.25">
      <c r="C8293" s="26">
        <v>8291</v>
      </c>
    </row>
    <row r="8294" spans="3:3" x14ac:dyDescent="0.25">
      <c r="C8294" s="26">
        <v>8292</v>
      </c>
    </row>
    <row r="8295" spans="3:3" x14ac:dyDescent="0.25">
      <c r="C8295" s="26">
        <v>8293</v>
      </c>
    </row>
    <row r="8296" spans="3:3" x14ac:dyDescent="0.25">
      <c r="C8296" s="26">
        <v>8294</v>
      </c>
    </row>
    <row r="8297" spans="3:3" x14ac:dyDescent="0.25">
      <c r="C8297" s="26">
        <v>8295</v>
      </c>
    </row>
    <row r="8298" spans="3:3" x14ac:dyDescent="0.25">
      <c r="C8298" s="26">
        <v>8296</v>
      </c>
    </row>
    <row r="8299" spans="3:3" x14ac:dyDescent="0.25">
      <c r="C8299" s="26">
        <v>8297</v>
      </c>
    </row>
    <row r="8300" spans="3:3" x14ac:dyDescent="0.25">
      <c r="C8300" s="26">
        <v>8298</v>
      </c>
    </row>
    <row r="8301" spans="3:3" x14ac:dyDescent="0.25">
      <c r="C8301" s="26">
        <v>8299</v>
      </c>
    </row>
    <row r="8302" spans="3:3" x14ac:dyDescent="0.25">
      <c r="C8302" s="26">
        <v>8300</v>
      </c>
    </row>
    <row r="8303" spans="3:3" x14ac:dyDescent="0.25">
      <c r="C8303" s="26">
        <v>8301</v>
      </c>
    </row>
    <row r="8304" spans="3:3" x14ac:dyDescent="0.25">
      <c r="C8304" s="26">
        <v>8302</v>
      </c>
    </row>
    <row r="8305" spans="3:3" x14ac:dyDescent="0.25">
      <c r="C8305" s="26">
        <v>8303</v>
      </c>
    </row>
    <row r="8306" spans="3:3" x14ac:dyDescent="0.25">
      <c r="C8306" s="26">
        <v>8304</v>
      </c>
    </row>
    <row r="8307" spans="3:3" x14ac:dyDescent="0.25">
      <c r="C8307" s="26">
        <v>8305</v>
      </c>
    </row>
    <row r="8308" spans="3:3" x14ac:dyDescent="0.25">
      <c r="C8308" s="26">
        <v>8306</v>
      </c>
    </row>
    <row r="8309" spans="3:3" x14ac:dyDescent="0.25">
      <c r="C8309" s="26">
        <v>8307</v>
      </c>
    </row>
    <row r="8310" spans="3:3" x14ac:dyDescent="0.25">
      <c r="C8310" s="26">
        <v>8308</v>
      </c>
    </row>
    <row r="8311" spans="3:3" x14ac:dyDescent="0.25">
      <c r="C8311" s="26">
        <v>8309</v>
      </c>
    </row>
    <row r="8312" spans="3:3" x14ac:dyDescent="0.25">
      <c r="C8312" s="26">
        <v>8310</v>
      </c>
    </row>
    <row r="8313" spans="3:3" x14ac:dyDescent="0.25">
      <c r="C8313" s="26">
        <v>8311</v>
      </c>
    </row>
    <row r="8314" spans="3:3" x14ac:dyDescent="0.25">
      <c r="C8314" s="26">
        <v>8312</v>
      </c>
    </row>
    <row r="8315" spans="3:3" x14ac:dyDescent="0.25">
      <c r="C8315" s="26">
        <v>8313</v>
      </c>
    </row>
    <row r="8316" spans="3:3" x14ac:dyDescent="0.25">
      <c r="C8316" s="26">
        <v>8314</v>
      </c>
    </row>
    <row r="8317" spans="3:3" x14ac:dyDescent="0.25">
      <c r="C8317" s="26">
        <v>8315</v>
      </c>
    </row>
    <row r="8318" spans="3:3" x14ac:dyDescent="0.25">
      <c r="C8318" s="26">
        <v>8316</v>
      </c>
    </row>
    <row r="8319" spans="3:3" x14ac:dyDescent="0.25">
      <c r="C8319" s="26">
        <v>8317</v>
      </c>
    </row>
    <row r="8320" spans="3:3" x14ac:dyDescent="0.25">
      <c r="C8320" s="26">
        <v>8318</v>
      </c>
    </row>
    <row r="8321" spans="3:3" x14ac:dyDescent="0.25">
      <c r="C8321" s="26">
        <v>8319</v>
      </c>
    </row>
    <row r="8322" spans="3:3" x14ac:dyDescent="0.25">
      <c r="C8322" s="26">
        <v>8320</v>
      </c>
    </row>
    <row r="8323" spans="3:3" x14ac:dyDescent="0.25">
      <c r="C8323" s="26">
        <v>8321</v>
      </c>
    </row>
    <row r="8324" spans="3:3" x14ac:dyDescent="0.25">
      <c r="C8324" s="26">
        <v>8322</v>
      </c>
    </row>
    <row r="8325" spans="3:3" x14ac:dyDescent="0.25">
      <c r="C8325" s="26">
        <v>8323</v>
      </c>
    </row>
    <row r="8326" spans="3:3" x14ac:dyDescent="0.25">
      <c r="C8326" s="26">
        <v>8324</v>
      </c>
    </row>
    <row r="8327" spans="3:3" x14ac:dyDescent="0.25">
      <c r="C8327" s="26">
        <v>8325</v>
      </c>
    </row>
    <row r="8328" spans="3:3" x14ac:dyDescent="0.25">
      <c r="C8328" s="26">
        <v>8326</v>
      </c>
    </row>
    <row r="8329" spans="3:3" x14ac:dyDescent="0.25">
      <c r="C8329" s="26">
        <v>8327</v>
      </c>
    </row>
    <row r="8330" spans="3:3" x14ac:dyDescent="0.25">
      <c r="C8330" s="26">
        <v>8328</v>
      </c>
    </row>
    <row r="8331" spans="3:3" x14ac:dyDescent="0.25">
      <c r="C8331" s="26">
        <v>8329</v>
      </c>
    </row>
    <row r="8332" spans="3:3" x14ac:dyDescent="0.25">
      <c r="C8332" s="26">
        <v>8330</v>
      </c>
    </row>
    <row r="8333" spans="3:3" x14ac:dyDescent="0.25">
      <c r="C8333" s="26">
        <v>8331</v>
      </c>
    </row>
    <row r="8334" spans="3:3" x14ac:dyDescent="0.25">
      <c r="C8334" s="26">
        <v>8332</v>
      </c>
    </row>
    <row r="8335" spans="3:3" x14ac:dyDescent="0.25">
      <c r="C8335" s="26">
        <v>8333</v>
      </c>
    </row>
    <row r="8336" spans="3:3" x14ac:dyDescent="0.25">
      <c r="C8336" s="26">
        <v>8334</v>
      </c>
    </row>
    <row r="8337" spans="3:3" x14ac:dyDescent="0.25">
      <c r="C8337" s="26">
        <v>8335</v>
      </c>
    </row>
    <row r="8338" spans="3:3" x14ac:dyDescent="0.25">
      <c r="C8338" s="26">
        <v>8336</v>
      </c>
    </row>
    <row r="8339" spans="3:3" x14ac:dyDescent="0.25">
      <c r="C8339" s="26">
        <v>8337</v>
      </c>
    </row>
    <row r="8340" spans="3:3" x14ac:dyDescent="0.25">
      <c r="C8340" s="26">
        <v>8338</v>
      </c>
    </row>
    <row r="8341" spans="3:3" x14ac:dyDescent="0.25">
      <c r="C8341" s="26">
        <v>8339</v>
      </c>
    </row>
    <row r="8342" spans="3:3" x14ac:dyDescent="0.25">
      <c r="C8342" s="26">
        <v>8340</v>
      </c>
    </row>
    <row r="8343" spans="3:3" x14ac:dyDescent="0.25">
      <c r="C8343" s="26">
        <v>8341</v>
      </c>
    </row>
    <row r="8344" spans="3:3" x14ac:dyDescent="0.25">
      <c r="C8344" s="26">
        <v>8342</v>
      </c>
    </row>
    <row r="8345" spans="3:3" x14ac:dyDescent="0.25">
      <c r="C8345" s="26">
        <v>8343</v>
      </c>
    </row>
    <row r="8346" spans="3:3" x14ac:dyDescent="0.25">
      <c r="C8346" s="26">
        <v>8344</v>
      </c>
    </row>
    <row r="8347" spans="3:3" x14ac:dyDescent="0.25">
      <c r="C8347" s="26">
        <v>8345</v>
      </c>
    </row>
    <row r="8348" spans="3:3" x14ac:dyDescent="0.25">
      <c r="C8348" s="26">
        <v>8346</v>
      </c>
    </row>
    <row r="8349" spans="3:3" x14ac:dyDescent="0.25">
      <c r="C8349" s="26">
        <v>8347</v>
      </c>
    </row>
    <row r="8350" spans="3:3" x14ac:dyDescent="0.25">
      <c r="C8350" s="26">
        <v>8348</v>
      </c>
    </row>
    <row r="8351" spans="3:3" x14ac:dyDescent="0.25">
      <c r="C8351" s="26">
        <v>8349</v>
      </c>
    </row>
    <row r="8352" spans="3:3" x14ac:dyDescent="0.25">
      <c r="C8352" s="26">
        <v>8350</v>
      </c>
    </row>
    <row r="8353" spans="3:3" x14ac:dyDescent="0.25">
      <c r="C8353" s="26">
        <v>8351</v>
      </c>
    </row>
    <row r="8354" spans="3:3" x14ac:dyDescent="0.25">
      <c r="C8354" s="26">
        <v>8352</v>
      </c>
    </row>
    <row r="8355" spans="3:3" x14ac:dyDescent="0.25">
      <c r="C8355" s="26">
        <v>8353</v>
      </c>
    </row>
    <row r="8356" spans="3:3" x14ac:dyDescent="0.25">
      <c r="C8356" s="26">
        <v>8354</v>
      </c>
    </row>
    <row r="8357" spans="3:3" x14ac:dyDescent="0.25">
      <c r="C8357" s="26">
        <v>8355</v>
      </c>
    </row>
    <row r="8358" spans="3:3" x14ac:dyDescent="0.25">
      <c r="C8358" s="26">
        <v>8356</v>
      </c>
    </row>
    <row r="8359" spans="3:3" x14ac:dyDescent="0.25">
      <c r="C8359" s="26">
        <v>8357</v>
      </c>
    </row>
    <row r="8360" spans="3:3" x14ac:dyDescent="0.25">
      <c r="C8360" s="26">
        <v>8358</v>
      </c>
    </row>
    <row r="8361" spans="3:3" x14ac:dyDescent="0.25">
      <c r="C8361" s="26">
        <v>8359</v>
      </c>
    </row>
    <row r="8362" spans="3:3" x14ac:dyDescent="0.25">
      <c r="C8362" s="26">
        <v>8360</v>
      </c>
    </row>
    <row r="8363" spans="3:3" x14ac:dyDescent="0.25">
      <c r="C8363" s="26">
        <v>8361</v>
      </c>
    </row>
    <row r="8364" spans="3:3" x14ac:dyDescent="0.25">
      <c r="C8364" s="26">
        <v>8362</v>
      </c>
    </row>
    <row r="8365" spans="3:3" x14ac:dyDescent="0.25">
      <c r="C8365" s="26">
        <v>8363</v>
      </c>
    </row>
    <row r="8366" spans="3:3" x14ac:dyDescent="0.25">
      <c r="C8366" s="26">
        <v>8364</v>
      </c>
    </row>
    <row r="8367" spans="3:3" x14ac:dyDescent="0.25">
      <c r="C8367" s="26">
        <v>8365</v>
      </c>
    </row>
    <row r="8368" spans="3:3" x14ac:dyDescent="0.25">
      <c r="C8368" s="26">
        <v>8366</v>
      </c>
    </row>
    <row r="8369" spans="3:3" x14ac:dyDescent="0.25">
      <c r="C8369" s="26">
        <v>8367</v>
      </c>
    </row>
    <row r="8370" spans="3:3" x14ac:dyDescent="0.25">
      <c r="C8370" s="26">
        <v>8368</v>
      </c>
    </row>
    <row r="8371" spans="3:3" x14ac:dyDescent="0.25">
      <c r="C8371" s="26">
        <v>8369</v>
      </c>
    </row>
    <row r="8372" spans="3:3" x14ac:dyDescent="0.25">
      <c r="C8372" s="26">
        <v>8370</v>
      </c>
    </row>
    <row r="8373" spans="3:3" x14ac:dyDescent="0.25">
      <c r="C8373" s="26">
        <v>8371</v>
      </c>
    </row>
    <row r="8374" spans="3:3" x14ac:dyDescent="0.25">
      <c r="C8374" s="26">
        <v>8372</v>
      </c>
    </row>
    <row r="8375" spans="3:3" x14ac:dyDescent="0.25">
      <c r="C8375" s="26">
        <v>8373</v>
      </c>
    </row>
    <row r="8376" spans="3:3" x14ac:dyDescent="0.25">
      <c r="C8376" s="26">
        <v>8374</v>
      </c>
    </row>
    <row r="8377" spans="3:3" x14ac:dyDescent="0.25">
      <c r="C8377" s="26">
        <v>8375</v>
      </c>
    </row>
    <row r="8378" spans="3:3" x14ac:dyDescent="0.25">
      <c r="C8378" s="26">
        <v>8376</v>
      </c>
    </row>
    <row r="8379" spans="3:3" x14ac:dyDescent="0.25">
      <c r="C8379" s="26">
        <v>8377</v>
      </c>
    </row>
    <row r="8380" spans="3:3" x14ac:dyDescent="0.25">
      <c r="C8380" s="26">
        <v>8378</v>
      </c>
    </row>
    <row r="8381" spans="3:3" x14ac:dyDescent="0.25">
      <c r="C8381" s="26">
        <v>8379</v>
      </c>
    </row>
    <row r="8382" spans="3:3" x14ac:dyDescent="0.25">
      <c r="C8382" s="26">
        <v>8380</v>
      </c>
    </row>
    <row r="8383" spans="3:3" x14ac:dyDescent="0.25">
      <c r="C8383" s="26">
        <v>8381</v>
      </c>
    </row>
    <row r="8384" spans="3:3" x14ac:dyDescent="0.25">
      <c r="C8384" s="26">
        <v>8382</v>
      </c>
    </row>
    <row r="8385" spans="3:3" x14ac:dyDescent="0.25">
      <c r="C8385" s="26">
        <v>8383</v>
      </c>
    </row>
    <row r="8386" spans="3:3" x14ac:dyDescent="0.25">
      <c r="C8386" s="26">
        <v>8384</v>
      </c>
    </row>
    <row r="8387" spans="3:3" x14ac:dyDescent="0.25">
      <c r="C8387" s="26">
        <v>8385</v>
      </c>
    </row>
    <row r="8388" spans="3:3" x14ac:dyDescent="0.25">
      <c r="C8388" s="26">
        <v>8386</v>
      </c>
    </row>
    <row r="8389" spans="3:3" x14ac:dyDescent="0.25">
      <c r="C8389" s="26">
        <v>8387</v>
      </c>
    </row>
    <row r="8390" spans="3:3" x14ac:dyDescent="0.25">
      <c r="C8390" s="26">
        <v>8388</v>
      </c>
    </row>
    <row r="8391" spans="3:3" x14ac:dyDescent="0.25">
      <c r="C8391" s="26">
        <v>8389</v>
      </c>
    </row>
    <row r="8392" spans="3:3" x14ac:dyDescent="0.25">
      <c r="C8392" s="26">
        <v>8390</v>
      </c>
    </row>
    <row r="8393" spans="3:3" x14ac:dyDescent="0.25">
      <c r="C8393" s="26">
        <v>8391</v>
      </c>
    </row>
    <row r="8394" spans="3:3" x14ac:dyDescent="0.25">
      <c r="C8394" s="26">
        <v>8392</v>
      </c>
    </row>
    <row r="8395" spans="3:3" x14ac:dyDescent="0.25">
      <c r="C8395" s="26">
        <v>8393</v>
      </c>
    </row>
    <row r="8396" spans="3:3" x14ac:dyDescent="0.25">
      <c r="C8396" s="26">
        <v>8394</v>
      </c>
    </row>
    <row r="8397" spans="3:3" x14ac:dyDescent="0.25">
      <c r="C8397" s="26">
        <v>8395</v>
      </c>
    </row>
    <row r="8398" spans="3:3" x14ac:dyDescent="0.25">
      <c r="C8398" s="26">
        <v>8396</v>
      </c>
    </row>
    <row r="8399" spans="3:3" x14ac:dyDescent="0.25">
      <c r="C8399" s="26">
        <v>8397</v>
      </c>
    </row>
    <row r="8400" spans="3:3" x14ac:dyDescent="0.25">
      <c r="C8400" s="26">
        <v>8398</v>
      </c>
    </row>
    <row r="8401" spans="3:3" x14ac:dyDescent="0.25">
      <c r="C8401" s="26">
        <v>8399</v>
      </c>
    </row>
    <row r="8402" spans="3:3" x14ac:dyDescent="0.25">
      <c r="C8402" s="26">
        <v>8400</v>
      </c>
    </row>
    <row r="8403" spans="3:3" x14ac:dyDescent="0.25">
      <c r="C8403" s="26">
        <v>8401</v>
      </c>
    </row>
    <row r="8404" spans="3:3" x14ac:dyDescent="0.25">
      <c r="C8404" s="26">
        <v>8402</v>
      </c>
    </row>
    <row r="8405" spans="3:3" x14ac:dyDescent="0.25">
      <c r="C8405" s="26">
        <v>8403</v>
      </c>
    </row>
    <row r="8406" spans="3:3" x14ac:dyDescent="0.25">
      <c r="C8406" s="26">
        <v>8404</v>
      </c>
    </row>
    <row r="8407" spans="3:3" x14ac:dyDescent="0.25">
      <c r="C8407" s="26">
        <v>8405</v>
      </c>
    </row>
    <row r="8408" spans="3:3" x14ac:dyDescent="0.25">
      <c r="C8408" s="26">
        <v>8406</v>
      </c>
    </row>
    <row r="8409" spans="3:3" x14ac:dyDescent="0.25">
      <c r="C8409" s="26">
        <v>8407</v>
      </c>
    </row>
    <row r="8410" spans="3:3" x14ac:dyDescent="0.25">
      <c r="C8410" s="26">
        <v>8408</v>
      </c>
    </row>
    <row r="8411" spans="3:3" x14ac:dyDescent="0.25">
      <c r="C8411" s="26">
        <v>8409</v>
      </c>
    </row>
    <row r="8412" spans="3:3" x14ac:dyDescent="0.25">
      <c r="C8412" s="26">
        <v>8410</v>
      </c>
    </row>
    <row r="8413" spans="3:3" x14ac:dyDescent="0.25">
      <c r="C8413" s="26">
        <v>8411</v>
      </c>
    </row>
    <row r="8414" spans="3:3" x14ac:dyDescent="0.25">
      <c r="C8414" s="26">
        <v>8412</v>
      </c>
    </row>
    <row r="8415" spans="3:3" x14ac:dyDescent="0.25">
      <c r="C8415" s="26">
        <v>8413</v>
      </c>
    </row>
    <row r="8416" spans="3:3" x14ac:dyDescent="0.25">
      <c r="C8416" s="26">
        <v>8414</v>
      </c>
    </row>
    <row r="8417" spans="3:3" x14ac:dyDescent="0.25">
      <c r="C8417" s="26">
        <v>8415</v>
      </c>
    </row>
    <row r="8418" spans="3:3" x14ac:dyDescent="0.25">
      <c r="C8418" s="26">
        <v>8416</v>
      </c>
    </row>
    <row r="8419" spans="3:3" x14ac:dyDescent="0.25">
      <c r="C8419" s="26">
        <v>8417</v>
      </c>
    </row>
    <row r="8420" spans="3:3" x14ac:dyDescent="0.25">
      <c r="C8420" s="26">
        <v>8418</v>
      </c>
    </row>
    <row r="8421" spans="3:3" x14ac:dyDescent="0.25">
      <c r="C8421" s="26">
        <v>8419</v>
      </c>
    </row>
    <row r="8422" spans="3:3" x14ac:dyDescent="0.25">
      <c r="C8422" s="26">
        <v>8420</v>
      </c>
    </row>
    <row r="8423" spans="3:3" x14ac:dyDescent="0.25">
      <c r="C8423" s="26">
        <v>8421</v>
      </c>
    </row>
    <row r="8424" spans="3:3" x14ac:dyDescent="0.25">
      <c r="C8424" s="26">
        <v>8422</v>
      </c>
    </row>
    <row r="8425" spans="3:3" x14ac:dyDescent="0.25">
      <c r="C8425" s="26">
        <v>8423</v>
      </c>
    </row>
    <row r="8426" spans="3:3" x14ac:dyDescent="0.25">
      <c r="C8426" s="26">
        <v>8424</v>
      </c>
    </row>
    <row r="8427" spans="3:3" x14ac:dyDescent="0.25">
      <c r="C8427" s="26">
        <v>8425</v>
      </c>
    </row>
    <row r="8428" spans="3:3" x14ac:dyDescent="0.25">
      <c r="C8428" s="26">
        <v>8426</v>
      </c>
    </row>
    <row r="8429" spans="3:3" x14ac:dyDescent="0.25">
      <c r="C8429" s="26">
        <v>8427</v>
      </c>
    </row>
    <row r="8430" spans="3:3" x14ac:dyDescent="0.25">
      <c r="C8430" s="26">
        <v>8428</v>
      </c>
    </row>
    <row r="8431" spans="3:3" x14ac:dyDescent="0.25">
      <c r="C8431" s="26">
        <v>8429</v>
      </c>
    </row>
    <row r="8432" spans="3:3" x14ac:dyDescent="0.25">
      <c r="C8432" s="26">
        <v>8430</v>
      </c>
    </row>
    <row r="8433" spans="3:3" x14ac:dyDescent="0.25">
      <c r="C8433" s="26">
        <v>8431</v>
      </c>
    </row>
    <row r="8434" spans="3:3" x14ac:dyDescent="0.25">
      <c r="C8434" s="26">
        <v>8432</v>
      </c>
    </row>
    <row r="8435" spans="3:3" x14ac:dyDescent="0.25">
      <c r="C8435" s="26">
        <v>8433</v>
      </c>
    </row>
    <row r="8436" spans="3:3" x14ac:dyDescent="0.25">
      <c r="C8436" s="26">
        <v>8434</v>
      </c>
    </row>
    <row r="8437" spans="3:3" x14ac:dyDescent="0.25">
      <c r="C8437" s="26">
        <v>8435</v>
      </c>
    </row>
    <row r="8438" spans="3:3" x14ac:dyDescent="0.25">
      <c r="C8438" s="26">
        <v>8436</v>
      </c>
    </row>
    <row r="8439" spans="3:3" x14ac:dyDescent="0.25">
      <c r="C8439" s="26">
        <v>8437</v>
      </c>
    </row>
    <row r="8440" spans="3:3" x14ac:dyDescent="0.25">
      <c r="C8440" s="26">
        <v>8438</v>
      </c>
    </row>
    <row r="8441" spans="3:3" x14ac:dyDescent="0.25">
      <c r="C8441" s="26">
        <v>8439</v>
      </c>
    </row>
    <row r="8442" spans="3:3" x14ac:dyDescent="0.25">
      <c r="C8442" s="26">
        <v>8440</v>
      </c>
    </row>
    <row r="8443" spans="3:3" x14ac:dyDescent="0.25">
      <c r="C8443" s="26">
        <v>8441</v>
      </c>
    </row>
    <row r="8444" spans="3:3" x14ac:dyDescent="0.25">
      <c r="C8444" s="26">
        <v>8442</v>
      </c>
    </row>
    <row r="8445" spans="3:3" x14ac:dyDescent="0.25">
      <c r="C8445" s="26">
        <v>8443</v>
      </c>
    </row>
    <row r="8446" spans="3:3" x14ac:dyDescent="0.25">
      <c r="C8446" s="26">
        <v>8444</v>
      </c>
    </row>
    <row r="8447" spans="3:3" x14ac:dyDescent="0.25">
      <c r="C8447" s="26">
        <v>8445</v>
      </c>
    </row>
    <row r="8448" spans="3:3" x14ac:dyDescent="0.25">
      <c r="C8448" s="26">
        <v>8446</v>
      </c>
    </row>
    <row r="8449" spans="3:3" x14ac:dyDescent="0.25">
      <c r="C8449" s="26">
        <v>8447</v>
      </c>
    </row>
    <row r="8450" spans="3:3" x14ac:dyDescent="0.25">
      <c r="C8450" s="26">
        <v>8448</v>
      </c>
    </row>
    <row r="8451" spans="3:3" x14ac:dyDescent="0.25">
      <c r="C8451" s="26">
        <v>8449</v>
      </c>
    </row>
    <row r="8452" spans="3:3" x14ac:dyDescent="0.25">
      <c r="C8452" s="26">
        <v>8450</v>
      </c>
    </row>
    <row r="8453" spans="3:3" x14ac:dyDescent="0.25">
      <c r="C8453" s="26">
        <v>8451</v>
      </c>
    </row>
    <row r="8454" spans="3:3" x14ac:dyDescent="0.25">
      <c r="C8454" s="26">
        <v>8452</v>
      </c>
    </row>
    <row r="8455" spans="3:3" x14ac:dyDescent="0.25">
      <c r="C8455" s="26">
        <v>8453</v>
      </c>
    </row>
    <row r="8456" spans="3:3" x14ac:dyDescent="0.25">
      <c r="C8456" s="26">
        <v>8454</v>
      </c>
    </row>
    <row r="8457" spans="3:3" x14ac:dyDescent="0.25">
      <c r="C8457" s="26">
        <v>8455</v>
      </c>
    </row>
    <row r="8458" spans="3:3" x14ac:dyDescent="0.25">
      <c r="C8458" s="26">
        <v>8456</v>
      </c>
    </row>
    <row r="8459" spans="3:3" x14ac:dyDescent="0.25">
      <c r="C8459" s="26">
        <v>8457</v>
      </c>
    </row>
    <row r="8460" spans="3:3" x14ac:dyDescent="0.25">
      <c r="C8460" s="26">
        <v>8458</v>
      </c>
    </row>
    <row r="8461" spans="3:3" x14ac:dyDescent="0.25">
      <c r="C8461" s="26">
        <v>8459</v>
      </c>
    </row>
    <row r="8462" spans="3:3" x14ac:dyDescent="0.25">
      <c r="C8462" s="26">
        <v>8460</v>
      </c>
    </row>
    <row r="8463" spans="3:3" x14ac:dyDescent="0.25">
      <c r="C8463" s="26">
        <v>8461</v>
      </c>
    </row>
    <row r="8464" spans="3:3" x14ac:dyDescent="0.25">
      <c r="C8464" s="26">
        <v>8462</v>
      </c>
    </row>
    <row r="8465" spans="3:3" x14ac:dyDescent="0.25">
      <c r="C8465" s="26">
        <v>8463</v>
      </c>
    </row>
    <row r="8466" spans="3:3" x14ac:dyDescent="0.25">
      <c r="C8466" s="26">
        <v>8464</v>
      </c>
    </row>
    <row r="8467" spans="3:3" x14ac:dyDescent="0.25">
      <c r="C8467" s="26">
        <v>8465</v>
      </c>
    </row>
    <row r="8468" spans="3:3" x14ac:dyDescent="0.25">
      <c r="C8468" s="26">
        <v>8466</v>
      </c>
    </row>
    <row r="8469" spans="3:3" x14ac:dyDescent="0.25">
      <c r="C8469" s="26">
        <v>8467</v>
      </c>
    </row>
    <row r="8470" spans="3:3" x14ac:dyDescent="0.25">
      <c r="C8470" s="26">
        <v>8468</v>
      </c>
    </row>
    <row r="8471" spans="3:3" x14ac:dyDescent="0.25">
      <c r="C8471" s="26">
        <v>8469</v>
      </c>
    </row>
    <row r="8472" spans="3:3" x14ac:dyDescent="0.25">
      <c r="C8472" s="26">
        <v>8470</v>
      </c>
    </row>
    <row r="8473" spans="3:3" x14ac:dyDescent="0.25">
      <c r="C8473" s="26">
        <v>8471</v>
      </c>
    </row>
    <row r="8474" spans="3:3" x14ac:dyDescent="0.25">
      <c r="C8474" s="26">
        <v>8472</v>
      </c>
    </row>
    <row r="8475" spans="3:3" x14ac:dyDescent="0.25">
      <c r="C8475" s="26">
        <v>8473</v>
      </c>
    </row>
    <row r="8476" spans="3:3" x14ac:dyDescent="0.25">
      <c r="C8476" s="26">
        <v>8474</v>
      </c>
    </row>
    <row r="8477" spans="3:3" x14ac:dyDescent="0.25">
      <c r="C8477" s="26">
        <v>8475</v>
      </c>
    </row>
    <row r="8478" spans="3:3" x14ac:dyDescent="0.25">
      <c r="C8478" s="26">
        <v>8476</v>
      </c>
    </row>
    <row r="8479" spans="3:3" x14ac:dyDescent="0.25">
      <c r="C8479" s="26">
        <v>8477</v>
      </c>
    </row>
    <row r="8480" spans="3:3" x14ac:dyDescent="0.25">
      <c r="C8480" s="26">
        <v>8478</v>
      </c>
    </row>
    <row r="8481" spans="3:3" x14ac:dyDescent="0.25">
      <c r="C8481" s="26">
        <v>8479</v>
      </c>
    </row>
    <row r="8482" spans="3:3" x14ac:dyDescent="0.25">
      <c r="C8482" s="26">
        <v>8480</v>
      </c>
    </row>
    <row r="8483" spans="3:3" x14ac:dyDescent="0.25">
      <c r="C8483" s="26">
        <v>8481</v>
      </c>
    </row>
    <row r="8484" spans="3:3" x14ac:dyDescent="0.25">
      <c r="C8484" s="26">
        <v>8482</v>
      </c>
    </row>
    <row r="8485" spans="3:3" x14ac:dyDescent="0.25">
      <c r="C8485" s="26">
        <v>8483</v>
      </c>
    </row>
    <row r="8486" spans="3:3" x14ac:dyDescent="0.25">
      <c r="C8486" s="26">
        <v>8484</v>
      </c>
    </row>
    <row r="8487" spans="3:3" x14ac:dyDescent="0.25">
      <c r="C8487" s="26">
        <v>8485</v>
      </c>
    </row>
    <row r="8488" spans="3:3" x14ac:dyDescent="0.25">
      <c r="C8488" s="26">
        <v>8486</v>
      </c>
    </row>
    <row r="8489" spans="3:3" x14ac:dyDescent="0.25">
      <c r="C8489" s="26">
        <v>8487</v>
      </c>
    </row>
    <row r="8490" spans="3:3" x14ac:dyDescent="0.25">
      <c r="C8490" s="26">
        <v>8488</v>
      </c>
    </row>
    <row r="8491" spans="3:3" x14ac:dyDescent="0.25">
      <c r="C8491" s="26">
        <v>8489</v>
      </c>
    </row>
    <row r="8492" spans="3:3" x14ac:dyDescent="0.25">
      <c r="C8492" s="26">
        <v>8490</v>
      </c>
    </row>
    <row r="8493" spans="3:3" x14ac:dyDescent="0.25">
      <c r="C8493" s="26">
        <v>8491</v>
      </c>
    </row>
    <row r="8494" spans="3:3" x14ac:dyDescent="0.25">
      <c r="C8494" s="26">
        <v>8492</v>
      </c>
    </row>
    <row r="8495" spans="3:3" x14ac:dyDescent="0.25">
      <c r="C8495" s="26">
        <v>8493</v>
      </c>
    </row>
    <row r="8496" spans="3:3" x14ac:dyDescent="0.25">
      <c r="C8496" s="26">
        <v>8494</v>
      </c>
    </row>
    <row r="8497" spans="3:3" x14ac:dyDescent="0.25">
      <c r="C8497" s="26">
        <v>8495</v>
      </c>
    </row>
    <row r="8498" spans="3:3" x14ac:dyDescent="0.25">
      <c r="C8498" s="26">
        <v>8496</v>
      </c>
    </row>
    <row r="8499" spans="3:3" x14ac:dyDescent="0.25">
      <c r="C8499" s="26">
        <v>8497</v>
      </c>
    </row>
    <row r="8500" spans="3:3" x14ac:dyDescent="0.25">
      <c r="C8500" s="26">
        <v>8498</v>
      </c>
    </row>
    <row r="8501" spans="3:3" x14ac:dyDescent="0.25">
      <c r="C8501" s="26">
        <v>8499</v>
      </c>
    </row>
    <row r="8502" spans="3:3" x14ac:dyDescent="0.25">
      <c r="C8502" s="26">
        <v>8500</v>
      </c>
    </row>
    <row r="8503" spans="3:3" x14ac:dyDescent="0.25">
      <c r="C8503" s="26">
        <v>8501</v>
      </c>
    </row>
    <row r="8504" spans="3:3" x14ac:dyDescent="0.25">
      <c r="C8504" s="26">
        <v>8502</v>
      </c>
    </row>
    <row r="8505" spans="3:3" x14ac:dyDescent="0.25">
      <c r="C8505" s="26">
        <v>8503</v>
      </c>
    </row>
    <row r="8506" spans="3:3" x14ac:dyDescent="0.25">
      <c r="C8506" s="26">
        <v>8504</v>
      </c>
    </row>
    <row r="8507" spans="3:3" x14ac:dyDescent="0.25">
      <c r="C8507" s="26">
        <v>8505</v>
      </c>
    </row>
    <row r="8508" spans="3:3" x14ac:dyDescent="0.25">
      <c r="C8508" s="26">
        <v>8506</v>
      </c>
    </row>
    <row r="8509" spans="3:3" x14ac:dyDescent="0.25">
      <c r="C8509" s="26">
        <v>8507</v>
      </c>
    </row>
    <row r="8510" spans="3:3" x14ac:dyDescent="0.25">
      <c r="C8510" s="26">
        <v>8508</v>
      </c>
    </row>
    <row r="8511" spans="3:3" x14ac:dyDescent="0.25">
      <c r="C8511" s="26">
        <v>8509</v>
      </c>
    </row>
    <row r="8512" spans="3:3" x14ac:dyDescent="0.25">
      <c r="C8512" s="26">
        <v>8510</v>
      </c>
    </row>
    <row r="8513" spans="3:3" x14ac:dyDescent="0.25">
      <c r="C8513" s="26">
        <v>8511</v>
      </c>
    </row>
    <row r="8514" spans="3:3" x14ac:dyDescent="0.25">
      <c r="C8514" s="26">
        <v>8512</v>
      </c>
    </row>
    <row r="8515" spans="3:3" x14ac:dyDescent="0.25">
      <c r="C8515" s="26">
        <v>8513</v>
      </c>
    </row>
    <row r="8516" spans="3:3" x14ac:dyDescent="0.25">
      <c r="C8516" s="26">
        <v>8514</v>
      </c>
    </row>
    <row r="8517" spans="3:3" x14ac:dyDescent="0.25">
      <c r="C8517" s="26">
        <v>8515</v>
      </c>
    </row>
    <row r="8518" spans="3:3" x14ac:dyDescent="0.25">
      <c r="C8518" s="26">
        <v>8516</v>
      </c>
    </row>
    <row r="8519" spans="3:3" x14ac:dyDescent="0.25">
      <c r="C8519" s="26">
        <v>8517</v>
      </c>
    </row>
    <row r="8520" spans="3:3" x14ac:dyDescent="0.25">
      <c r="C8520" s="26">
        <v>8518</v>
      </c>
    </row>
    <row r="8521" spans="3:3" x14ac:dyDescent="0.25">
      <c r="C8521" s="26">
        <v>8519</v>
      </c>
    </row>
    <row r="8522" spans="3:3" x14ac:dyDescent="0.25">
      <c r="C8522" s="26">
        <v>8520</v>
      </c>
    </row>
    <row r="8523" spans="3:3" x14ac:dyDescent="0.25">
      <c r="C8523" s="26">
        <v>8521</v>
      </c>
    </row>
    <row r="8524" spans="3:3" x14ac:dyDescent="0.25">
      <c r="C8524" s="26">
        <v>8522</v>
      </c>
    </row>
    <row r="8525" spans="3:3" x14ac:dyDescent="0.25">
      <c r="C8525" s="26">
        <v>8523</v>
      </c>
    </row>
    <row r="8526" spans="3:3" x14ac:dyDescent="0.25">
      <c r="C8526" s="26">
        <v>8524</v>
      </c>
    </row>
    <row r="8527" spans="3:3" x14ac:dyDescent="0.25">
      <c r="C8527" s="26">
        <v>8525</v>
      </c>
    </row>
    <row r="8528" spans="3:3" x14ac:dyDescent="0.25">
      <c r="C8528" s="26">
        <v>8526</v>
      </c>
    </row>
    <row r="8529" spans="3:3" x14ac:dyDescent="0.25">
      <c r="C8529" s="26">
        <v>8527</v>
      </c>
    </row>
    <row r="8530" spans="3:3" x14ac:dyDescent="0.25">
      <c r="C8530" s="26">
        <v>8528</v>
      </c>
    </row>
    <row r="8531" spans="3:3" x14ac:dyDescent="0.25">
      <c r="C8531" s="26">
        <v>8529</v>
      </c>
    </row>
    <row r="8532" spans="3:3" x14ac:dyDescent="0.25">
      <c r="C8532" s="26">
        <v>8530</v>
      </c>
    </row>
    <row r="8533" spans="3:3" x14ac:dyDescent="0.25">
      <c r="C8533" s="26">
        <v>8531</v>
      </c>
    </row>
    <row r="8534" spans="3:3" x14ac:dyDescent="0.25">
      <c r="C8534" s="26">
        <v>8532</v>
      </c>
    </row>
    <row r="8535" spans="3:3" x14ac:dyDescent="0.25">
      <c r="C8535" s="26">
        <v>8533</v>
      </c>
    </row>
    <row r="8536" spans="3:3" x14ac:dyDescent="0.25">
      <c r="C8536" s="26">
        <v>8534</v>
      </c>
    </row>
    <row r="8537" spans="3:3" x14ac:dyDescent="0.25">
      <c r="C8537" s="26">
        <v>8535</v>
      </c>
    </row>
    <row r="8538" spans="3:3" x14ac:dyDescent="0.25">
      <c r="C8538" s="26">
        <v>8536</v>
      </c>
    </row>
    <row r="8539" spans="3:3" x14ac:dyDescent="0.25">
      <c r="C8539" s="26">
        <v>8537</v>
      </c>
    </row>
    <row r="8540" spans="3:3" x14ac:dyDescent="0.25">
      <c r="C8540" s="26">
        <v>8538</v>
      </c>
    </row>
    <row r="8541" spans="3:3" x14ac:dyDescent="0.25">
      <c r="C8541" s="26">
        <v>8539</v>
      </c>
    </row>
    <row r="8542" spans="3:3" x14ac:dyDescent="0.25">
      <c r="C8542" s="26">
        <v>8540</v>
      </c>
    </row>
    <row r="8543" spans="3:3" x14ac:dyDescent="0.25">
      <c r="C8543" s="26">
        <v>8541</v>
      </c>
    </row>
    <row r="8544" spans="3:3" x14ac:dyDescent="0.25">
      <c r="C8544" s="26">
        <v>8542</v>
      </c>
    </row>
    <row r="8545" spans="3:3" x14ac:dyDescent="0.25">
      <c r="C8545" s="26">
        <v>8543</v>
      </c>
    </row>
    <row r="8546" spans="3:3" x14ac:dyDescent="0.25">
      <c r="C8546" s="26">
        <v>8544</v>
      </c>
    </row>
    <row r="8547" spans="3:3" x14ac:dyDescent="0.25">
      <c r="C8547" s="26">
        <v>8545</v>
      </c>
    </row>
    <row r="8548" spans="3:3" x14ac:dyDescent="0.25">
      <c r="C8548" s="26">
        <v>8546</v>
      </c>
    </row>
    <row r="8549" spans="3:3" x14ac:dyDescent="0.25">
      <c r="C8549" s="26">
        <v>8547</v>
      </c>
    </row>
    <row r="8550" spans="3:3" x14ac:dyDescent="0.25">
      <c r="C8550" s="26">
        <v>8548</v>
      </c>
    </row>
    <row r="8551" spans="3:3" x14ac:dyDescent="0.25">
      <c r="C8551" s="26">
        <v>8549</v>
      </c>
    </row>
    <row r="8552" spans="3:3" x14ac:dyDescent="0.25">
      <c r="C8552" s="26">
        <v>8550</v>
      </c>
    </row>
    <row r="8553" spans="3:3" x14ac:dyDescent="0.25">
      <c r="C8553" s="26">
        <v>8551</v>
      </c>
    </row>
    <row r="8554" spans="3:3" x14ac:dyDescent="0.25">
      <c r="C8554" s="26">
        <v>8552</v>
      </c>
    </row>
    <row r="8555" spans="3:3" x14ac:dyDescent="0.25">
      <c r="C8555" s="26">
        <v>8553</v>
      </c>
    </row>
    <row r="8556" spans="3:3" x14ac:dyDescent="0.25">
      <c r="C8556" s="26">
        <v>8554</v>
      </c>
    </row>
    <row r="8557" spans="3:3" x14ac:dyDescent="0.25">
      <c r="C8557" s="26">
        <v>8555</v>
      </c>
    </row>
    <row r="8558" spans="3:3" x14ac:dyDescent="0.25">
      <c r="C8558" s="26">
        <v>8556</v>
      </c>
    </row>
    <row r="8559" spans="3:3" x14ac:dyDescent="0.25">
      <c r="C8559" s="26">
        <v>8557</v>
      </c>
    </row>
    <row r="8560" spans="3:3" x14ac:dyDescent="0.25">
      <c r="C8560" s="26">
        <v>8558</v>
      </c>
    </row>
    <row r="8561" spans="3:3" x14ac:dyDescent="0.25">
      <c r="C8561" s="26">
        <v>8559</v>
      </c>
    </row>
    <row r="8562" spans="3:3" x14ac:dyDescent="0.25">
      <c r="C8562" s="26">
        <v>8560</v>
      </c>
    </row>
    <row r="8563" spans="3:3" x14ac:dyDescent="0.25">
      <c r="C8563" s="26">
        <v>8561</v>
      </c>
    </row>
    <row r="8564" spans="3:3" x14ac:dyDescent="0.25">
      <c r="C8564" s="26">
        <v>8562</v>
      </c>
    </row>
    <row r="8565" spans="3:3" x14ac:dyDescent="0.25">
      <c r="C8565" s="26">
        <v>8563</v>
      </c>
    </row>
    <row r="8566" spans="3:3" x14ac:dyDescent="0.25">
      <c r="C8566" s="26">
        <v>8564</v>
      </c>
    </row>
    <row r="8567" spans="3:3" x14ac:dyDescent="0.25">
      <c r="C8567" s="26">
        <v>8565</v>
      </c>
    </row>
    <row r="8568" spans="3:3" x14ac:dyDescent="0.25">
      <c r="C8568" s="26">
        <v>8566</v>
      </c>
    </row>
    <row r="8569" spans="3:3" x14ac:dyDescent="0.25">
      <c r="C8569" s="26">
        <v>8567</v>
      </c>
    </row>
    <row r="8570" spans="3:3" x14ac:dyDescent="0.25">
      <c r="C8570" s="26">
        <v>8568</v>
      </c>
    </row>
    <row r="8571" spans="3:3" x14ac:dyDescent="0.25">
      <c r="C8571" s="26">
        <v>8569</v>
      </c>
    </row>
    <row r="8572" spans="3:3" x14ac:dyDescent="0.25">
      <c r="C8572" s="26">
        <v>8570</v>
      </c>
    </row>
    <row r="8573" spans="3:3" x14ac:dyDescent="0.25">
      <c r="C8573" s="26">
        <v>8571</v>
      </c>
    </row>
    <row r="8574" spans="3:3" x14ac:dyDescent="0.25">
      <c r="C8574" s="26">
        <v>8572</v>
      </c>
    </row>
    <row r="8575" spans="3:3" x14ac:dyDescent="0.25">
      <c r="C8575" s="26">
        <v>8573</v>
      </c>
    </row>
    <row r="8576" spans="3:3" x14ac:dyDescent="0.25">
      <c r="C8576" s="26">
        <v>8574</v>
      </c>
    </row>
    <row r="8577" spans="3:3" x14ac:dyDescent="0.25">
      <c r="C8577" s="26">
        <v>8575</v>
      </c>
    </row>
    <row r="8578" spans="3:3" x14ac:dyDescent="0.25">
      <c r="C8578" s="26">
        <v>8576</v>
      </c>
    </row>
    <row r="8579" spans="3:3" x14ac:dyDescent="0.25">
      <c r="C8579" s="26">
        <v>8577</v>
      </c>
    </row>
    <row r="8580" spans="3:3" x14ac:dyDescent="0.25">
      <c r="C8580" s="26">
        <v>8578</v>
      </c>
    </row>
    <row r="8581" spans="3:3" x14ac:dyDescent="0.25">
      <c r="C8581" s="26">
        <v>8579</v>
      </c>
    </row>
    <row r="8582" spans="3:3" x14ac:dyDescent="0.25">
      <c r="C8582" s="26">
        <v>8580</v>
      </c>
    </row>
    <row r="8583" spans="3:3" x14ac:dyDescent="0.25">
      <c r="C8583" s="26">
        <v>8581</v>
      </c>
    </row>
    <row r="8584" spans="3:3" x14ac:dyDescent="0.25">
      <c r="C8584" s="26">
        <v>8582</v>
      </c>
    </row>
    <row r="8585" spans="3:3" x14ac:dyDescent="0.25">
      <c r="C8585" s="26">
        <v>8583</v>
      </c>
    </row>
    <row r="8586" spans="3:3" x14ac:dyDescent="0.25">
      <c r="C8586" s="26">
        <v>8584</v>
      </c>
    </row>
    <row r="8587" spans="3:3" x14ac:dyDescent="0.25">
      <c r="C8587" s="26">
        <v>8585</v>
      </c>
    </row>
    <row r="8588" spans="3:3" x14ac:dyDescent="0.25">
      <c r="C8588" s="26">
        <v>8586</v>
      </c>
    </row>
    <row r="8589" spans="3:3" x14ac:dyDescent="0.25">
      <c r="C8589" s="26">
        <v>8587</v>
      </c>
    </row>
    <row r="8590" spans="3:3" x14ac:dyDescent="0.25">
      <c r="C8590" s="26">
        <v>8588</v>
      </c>
    </row>
    <row r="8591" spans="3:3" x14ac:dyDescent="0.25">
      <c r="C8591" s="26">
        <v>8589</v>
      </c>
    </row>
    <row r="8592" spans="3:3" x14ac:dyDescent="0.25">
      <c r="C8592" s="26">
        <v>8590</v>
      </c>
    </row>
    <row r="8593" spans="3:3" x14ac:dyDescent="0.25">
      <c r="C8593" s="26">
        <v>8591</v>
      </c>
    </row>
    <row r="8594" spans="3:3" x14ac:dyDescent="0.25">
      <c r="C8594" s="26">
        <v>8592</v>
      </c>
    </row>
    <row r="8595" spans="3:3" x14ac:dyDescent="0.25">
      <c r="C8595" s="26">
        <v>8593</v>
      </c>
    </row>
    <row r="8596" spans="3:3" x14ac:dyDescent="0.25">
      <c r="C8596" s="26">
        <v>8594</v>
      </c>
    </row>
    <row r="8597" spans="3:3" x14ac:dyDescent="0.25">
      <c r="C8597" s="26">
        <v>8595</v>
      </c>
    </row>
    <row r="8598" spans="3:3" x14ac:dyDescent="0.25">
      <c r="C8598" s="26">
        <v>8596</v>
      </c>
    </row>
    <row r="8599" spans="3:3" x14ac:dyDescent="0.25">
      <c r="C8599" s="26">
        <v>8597</v>
      </c>
    </row>
    <row r="8600" spans="3:3" x14ac:dyDescent="0.25">
      <c r="C8600" s="26">
        <v>8598</v>
      </c>
    </row>
    <row r="8601" spans="3:3" x14ac:dyDescent="0.25">
      <c r="C8601" s="26">
        <v>8599</v>
      </c>
    </row>
    <row r="8602" spans="3:3" x14ac:dyDescent="0.25">
      <c r="C8602" s="26">
        <v>8600</v>
      </c>
    </row>
    <row r="8603" spans="3:3" x14ac:dyDescent="0.25">
      <c r="C8603" s="26">
        <v>8601</v>
      </c>
    </row>
    <row r="8604" spans="3:3" x14ac:dyDescent="0.25">
      <c r="C8604" s="26">
        <v>8602</v>
      </c>
    </row>
    <row r="8605" spans="3:3" x14ac:dyDescent="0.25">
      <c r="C8605" s="26">
        <v>8603</v>
      </c>
    </row>
    <row r="8606" spans="3:3" x14ac:dyDescent="0.25">
      <c r="C8606" s="26">
        <v>8604</v>
      </c>
    </row>
    <row r="8607" spans="3:3" x14ac:dyDescent="0.25">
      <c r="C8607" s="26">
        <v>8605</v>
      </c>
    </row>
    <row r="8608" spans="3:3" x14ac:dyDescent="0.25">
      <c r="C8608" s="26">
        <v>8606</v>
      </c>
    </row>
    <row r="8609" spans="3:3" x14ac:dyDescent="0.25">
      <c r="C8609" s="26">
        <v>8607</v>
      </c>
    </row>
    <row r="8610" spans="3:3" x14ac:dyDescent="0.25">
      <c r="C8610" s="26">
        <v>8608</v>
      </c>
    </row>
    <row r="8611" spans="3:3" x14ac:dyDescent="0.25">
      <c r="C8611" s="26">
        <v>8609</v>
      </c>
    </row>
    <row r="8612" spans="3:3" x14ac:dyDescent="0.25">
      <c r="C8612" s="26">
        <v>8610</v>
      </c>
    </row>
    <row r="8613" spans="3:3" x14ac:dyDescent="0.25">
      <c r="C8613" s="26">
        <v>8611</v>
      </c>
    </row>
    <row r="8614" spans="3:3" x14ac:dyDescent="0.25">
      <c r="C8614" s="26">
        <v>8612</v>
      </c>
    </row>
    <row r="8615" spans="3:3" x14ac:dyDescent="0.25">
      <c r="C8615" s="26">
        <v>8613</v>
      </c>
    </row>
    <row r="8616" spans="3:3" x14ac:dyDescent="0.25">
      <c r="C8616" s="26">
        <v>8614</v>
      </c>
    </row>
    <row r="8617" spans="3:3" x14ac:dyDescent="0.25">
      <c r="C8617" s="26">
        <v>8615</v>
      </c>
    </row>
    <row r="8618" spans="3:3" x14ac:dyDescent="0.25">
      <c r="C8618" s="26">
        <v>8616</v>
      </c>
    </row>
    <row r="8619" spans="3:3" x14ac:dyDescent="0.25">
      <c r="C8619" s="26">
        <v>8617</v>
      </c>
    </row>
    <row r="8620" spans="3:3" x14ac:dyDescent="0.25">
      <c r="C8620" s="26">
        <v>8618</v>
      </c>
    </row>
    <row r="8621" spans="3:3" x14ac:dyDescent="0.25">
      <c r="C8621" s="26">
        <v>8619</v>
      </c>
    </row>
    <row r="8622" spans="3:3" x14ac:dyDescent="0.25">
      <c r="C8622" s="26">
        <v>8620</v>
      </c>
    </row>
    <row r="8623" spans="3:3" x14ac:dyDescent="0.25">
      <c r="C8623" s="26">
        <v>8621</v>
      </c>
    </row>
    <row r="8624" spans="3:3" x14ac:dyDescent="0.25">
      <c r="C8624" s="26">
        <v>8622</v>
      </c>
    </row>
    <row r="8625" spans="3:3" x14ac:dyDescent="0.25">
      <c r="C8625" s="26">
        <v>8623</v>
      </c>
    </row>
    <row r="8626" spans="3:3" x14ac:dyDescent="0.25">
      <c r="C8626" s="26">
        <v>8624</v>
      </c>
    </row>
    <row r="8627" spans="3:3" x14ac:dyDescent="0.25">
      <c r="C8627" s="26">
        <v>8625</v>
      </c>
    </row>
    <row r="8628" spans="3:3" x14ac:dyDescent="0.25">
      <c r="C8628" s="26">
        <v>8626</v>
      </c>
    </row>
    <row r="8629" spans="3:3" x14ac:dyDescent="0.25">
      <c r="C8629" s="26">
        <v>8627</v>
      </c>
    </row>
    <row r="8630" spans="3:3" x14ac:dyDescent="0.25">
      <c r="C8630" s="26">
        <v>8628</v>
      </c>
    </row>
    <row r="8631" spans="3:3" x14ac:dyDescent="0.25">
      <c r="C8631" s="26">
        <v>8629</v>
      </c>
    </row>
    <row r="8632" spans="3:3" x14ac:dyDescent="0.25">
      <c r="C8632" s="26">
        <v>8630</v>
      </c>
    </row>
    <row r="8633" spans="3:3" x14ac:dyDescent="0.25">
      <c r="C8633" s="26">
        <v>8631</v>
      </c>
    </row>
    <row r="8634" spans="3:3" x14ac:dyDescent="0.25">
      <c r="C8634" s="26">
        <v>8632</v>
      </c>
    </row>
    <row r="8635" spans="3:3" x14ac:dyDescent="0.25">
      <c r="C8635" s="26">
        <v>8633</v>
      </c>
    </row>
    <row r="8636" spans="3:3" x14ac:dyDescent="0.25">
      <c r="C8636" s="26">
        <v>8634</v>
      </c>
    </row>
    <row r="8637" spans="3:3" x14ac:dyDescent="0.25">
      <c r="C8637" s="26">
        <v>8635</v>
      </c>
    </row>
    <row r="8638" spans="3:3" x14ac:dyDescent="0.25">
      <c r="C8638" s="26">
        <v>8636</v>
      </c>
    </row>
    <row r="8639" spans="3:3" x14ac:dyDescent="0.25">
      <c r="C8639" s="26">
        <v>8637</v>
      </c>
    </row>
    <row r="8640" spans="3:3" x14ac:dyDescent="0.25">
      <c r="C8640" s="26">
        <v>8638</v>
      </c>
    </row>
    <row r="8641" spans="3:3" x14ac:dyDescent="0.25">
      <c r="C8641" s="26">
        <v>8639</v>
      </c>
    </row>
    <row r="8642" spans="3:3" x14ac:dyDescent="0.25">
      <c r="C8642" s="26">
        <v>8640</v>
      </c>
    </row>
    <row r="8643" spans="3:3" x14ac:dyDescent="0.25">
      <c r="C8643" s="26">
        <v>8641</v>
      </c>
    </row>
    <row r="8644" spans="3:3" x14ac:dyDescent="0.25">
      <c r="C8644" s="26">
        <v>8642</v>
      </c>
    </row>
    <row r="8645" spans="3:3" x14ac:dyDescent="0.25">
      <c r="C8645" s="26">
        <v>8643</v>
      </c>
    </row>
    <row r="8646" spans="3:3" x14ac:dyDescent="0.25">
      <c r="C8646" s="26">
        <v>8644</v>
      </c>
    </row>
    <row r="8647" spans="3:3" x14ac:dyDescent="0.25">
      <c r="C8647" s="26">
        <v>8645</v>
      </c>
    </row>
    <row r="8648" spans="3:3" x14ac:dyDescent="0.25">
      <c r="C8648" s="26">
        <v>8646</v>
      </c>
    </row>
    <row r="8649" spans="3:3" x14ac:dyDescent="0.25">
      <c r="C8649" s="26">
        <v>8647</v>
      </c>
    </row>
    <row r="8650" spans="3:3" x14ac:dyDescent="0.25">
      <c r="C8650" s="26">
        <v>8648</v>
      </c>
    </row>
    <row r="8651" spans="3:3" x14ac:dyDescent="0.25">
      <c r="C8651" s="26">
        <v>8649</v>
      </c>
    </row>
    <row r="8652" spans="3:3" x14ac:dyDescent="0.25">
      <c r="C8652" s="26">
        <v>8650</v>
      </c>
    </row>
    <row r="8653" spans="3:3" x14ac:dyDescent="0.25">
      <c r="C8653" s="26">
        <v>8651</v>
      </c>
    </row>
    <row r="8654" spans="3:3" x14ac:dyDescent="0.25">
      <c r="C8654" s="26">
        <v>8652</v>
      </c>
    </row>
    <row r="8655" spans="3:3" x14ac:dyDescent="0.25">
      <c r="C8655" s="26">
        <v>8653</v>
      </c>
    </row>
    <row r="8656" spans="3:3" x14ac:dyDescent="0.25">
      <c r="C8656" s="26">
        <v>8654</v>
      </c>
    </row>
    <row r="8657" spans="3:3" x14ac:dyDescent="0.25">
      <c r="C8657" s="26">
        <v>8655</v>
      </c>
    </row>
    <row r="8658" spans="3:3" x14ac:dyDescent="0.25">
      <c r="C8658" s="26">
        <v>8656</v>
      </c>
    </row>
    <row r="8659" spans="3:3" x14ac:dyDescent="0.25">
      <c r="C8659" s="26">
        <v>8657</v>
      </c>
    </row>
    <row r="8660" spans="3:3" x14ac:dyDescent="0.25">
      <c r="C8660" s="26">
        <v>8658</v>
      </c>
    </row>
    <row r="8661" spans="3:3" x14ac:dyDescent="0.25">
      <c r="C8661" s="26">
        <v>8659</v>
      </c>
    </row>
    <row r="8662" spans="3:3" x14ac:dyDescent="0.25">
      <c r="C8662" s="26">
        <v>8660</v>
      </c>
    </row>
    <row r="8663" spans="3:3" x14ac:dyDescent="0.25">
      <c r="C8663" s="26">
        <v>8661</v>
      </c>
    </row>
    <row r="8664" spans="3:3" x14ac:dyDescent="0.25">
      <c r="C8664" s="26">
        <v>8662</v>
      </c>
    </row>
    <row r="8665" spans="3:3" x14ac:dyDescent="0.25">
      <c r="C8665" s="26">
        <v>8663</v>
      </c>
    </row>
    <row r="8666" spans="3:3" x14ac:dyDescent="0.25">
      <c r="C8666" s="26">
        <v>8664</v>
      </c>
    </row>
    <row r="8667" spans="3:3" x14ac:dyDescent="0.25">
      <c r="C8667" s="26">
        <v>8665</v>
      </c>
    </row>
    <row r="8668" spans="3:3" x14ac:dyDescent="0.25">
      <c r="C8668" s="26">
        <v>8666</v>
      </c>
    </row>
    <row r="8669" spans="3:3" x14ac:dyDescent="0.25">
      <c r="C8669" s="26">
        <v>8667</v>
      </c>
    </row>
    <row r="8670" spans="3:3" x14ac:dyDescent="0.25">
      <c r="C8670" s="26">
        <v>8668</v>
      </c>
    </row>
    <row r="8671" spans="3:3" x14ac:dyDescent="0.25">
      <c r="C8671" s="26">
        <v>8669</v>
      </c>
    </row>
    <row r="8672" spans="3:3" x14ac:dyDescent="0.25">
      <c r="C8672" s="26">
        <v>8670</v>
      </c>
    </row>
    <row r="8673" spans="3:3" x14ac:dyDescent="0.25">
      <c r="C8673" s="26">
        <v>8671</v>
      </c>
    </row>
    <row r="8674" spans="3:3" x14ac:dyDescent="0.25">
      <c r="C8674" s="26">
        <v>8672</v>
      </c>
    </row>
    <row r="8675" spans="3:3" x14ac:dyDescent="0.25">
      <c r="C8675" s="26">
        <v>8673</v>
      </c>
    </row>
    <row r="8676" spans="3:3" x14ac:dyDescent="0.25">
      <c r="C8676" s="26">
        <v>8674</v>
      </c>
    </row>
    <row r="8677" spans="3:3" x14ac:dyDescent="0.25">
      <c r="C8677" s="26">
        <v>8675</v>
      </c>
    </row>
    <row r="8678" spans="3:3" x14ac:dyDescent="0.25">
      <c r="C8678" s="26">
        <v>8676</v>
      </c>
    </row>
    <row r="8679" spans="3:3" x14ac:dyDescent="0.25">
      <c r="C8679" s="26">
        <v>8677</v>
      </c>
    </row>
    <row r="8680" spans="3:3" x14ac:dyDescent="0.25">
      <c r="C8680" s="26">
        <v>8678</v>
      </c>
    </row>
    <row r="8681" spans="3:3" x14ac:dyDescent="0.25">
      <c r="C8681" s="26">
        <v>8679</v>
      </c>
    </row>
    <row r="8682" spans="3:3" x14ac:dyDescent="0.25">
      <c r="C8682" s="26">
        <v>8680</v>
      </c>
    </row>
    <row r="8683" spans="3:3" x14ac:dyDescent="0.25">
      <c r="C8683" s="26">
        <v>8681</v>
      </c>
    </row>
    <row r="8684" spans="3:3" x14ac:dyDescent="0.25">
      <c r="C8684" s="26">
        <v>8682</v>
      </c>
    </row>
    <row r="8685" spans="3:3" x14ac:dyDescent="0.25">
      <c r="C8685" s="26">
        <v>8683</v>
      </c>
    </row>
    <row r="8686" spans="3:3" x14ac:dyDescent="0.25">
      <c r="C8686" s="26">
        <v>8684</v>
      </c>
    </row>
    <row r="8687" spans="3:3" x14ac:dyDescent="0.25">
      <c r="C8687" s="26">
        <v>8685</v>
      </c>
    </row>
    <row r="8688" spans="3:3" x14ac:dyDescent="0.25">
      <c r="C8688" s="26">
        <v>8686</v>
      </c>
    </row>
    <row r="8689" spans="3:3" x14ac:dyDescent="0.25">
      <c r="C8689" s="26">
        <v>8687</v>
      </c>
    </row>
    <row r="8690" spans="3:3" x14ac:dyDescent="0.25">
      <c r="C8690" s="26">
        <v>8688</v>
      </c>
    </row>
    <row r="8691" spans="3:3" x14ac:dyDescent="0.25">
      <c r="C8691" s="26">
        <v>8689</v>
      </c>
    </row>
    <row r="8692" spans="3:3" x14ac:dyDescent="0.25">
      <c r="C8692" s="26">
        <v>8690</v>
      </c>
    </row>
    <row r="8693" spans="3:3" x14ac:dyDescent="0.25">
      <c r="C8693" s="26">
        <v>8691</v>
      </c>
    </row>
    <row r="8694" spans="3:3" x14ac:dyDescent="0.25">
      <c r="C8694" s="26">
        <v>8692</v>
      </c>
    </row>
    <row r="8695" spans="3:3" x14ac:dyDescent="0.25">
      <c r="C8695" s="26">
        <v>8693</v>
      </c>
    </row>
    <row r="8696" spans="3:3" x14ac:dyDescent="0.25">
      <c r="C8696" s="26">
        <v>8694</v>
      </c>
    </row>
    <row r="8697" spans="3:3" x14ac:dyDescent="0.25">
      <c r="C8697" s="26">
        <v>8695</v>
      </c>
    </row>
    <row r="8698" spans="3:3" x14ac:dyDescent="0.25">
      <c r="C8698" s="26">
        <v>8696</v>
      </c>
    </row>
    <row r="8699" spans="3:3" x14ac:dyDescent="0.25">
      <c r="C8699" s="26">
        <v>8697</v>
      </c>
    </row>
    <row r="8700" spans="3:3" x14ac:dyDescent="0.25">
      <c r="C8700" s="26">
        <v>8698</v>
      </c>
    </row>
    <row r="8701" spans="3:3" x14ac:dyDescent="0.25">
      <c r="C8701" s="26">
        <v>8699</v>
      </c>
    </row>
    <row r="8702" spans="3:3" x14ac:dyDescent="0.25">
      <c r="C8702" s="26">
        <v>8700</v>
      </c>
    </row>
    <row r="8703" spans="3:3" x14ac:dyDescent="0.25">
      <c r="C8703" s="26">
        <v>8701</v>
      </c>
    </row>
    <row r="8704" spans="3:3" x14ac:dyDescent="0.25">
      <c r="C8704" s="26">
        <v>8702</v>
      </c>
    </row>
    <row r="8705" spans="3:3" x14ac:dyDescent="0.25">
      <c r="C8705" s="26">
        <v>8703</v>
      </c>
    </row>
    <row r="8706" spans="3:3" x14ac:dyDescent="0.25">
      <c r="C8706" s="26">
        <v>8704</v>
      </c>
    </row>
    <row r="8707" spans="3:3" x14ac:dyDescent="0.25">
      <c r="C8707" s="26">
        <v>8705</v>
      </c>
    </row>
    <row r="8708" spans="3:3" x14ac:dyDescent="0.25">
      <c r="C8708" s="26">
        <v>8706</v>
      </c>
    </row>
    <row r="8709" spans="3:3" x14ac:dyDescent="0.25">
      <c r="C8709" s="26">
        <v>8707</v>
      </c>
    </row>
    <row r="8710" spans="3:3" x14ac:dyDescent="0.25">
      <c r="C8710" s="26">
        <v>8708</v>
      </c>
    </row>
    <row r="8711" spans="3:3" x14ac:dyDescent="0.25">
      <c r="C8711" s="26">
        <v>8709</v>
      </c>
    </row>
    <row r="8712" spans="3:3" x14ac:dyDescent="0.25">
      <c r="C8712" s="26">
        <v>8710</v>
      </c>
    </row>
    <row r="8713" spans="3:3" x14ac:dyDescent="0.25">
      <c r="C8713" s="26">
        <v>8711</v>
      </c>
    </row>
    <row r="8714" spans="3:3" x14ac:dyDescent="0.25">
      <c r="C8714" s="26">
        <v>8712</v>
      </c>
    </row>
    <row r="8715" spans="3:3" x14ac:dyDescent="0.25">
      <c r="C8715" s="26">
        <v>8713</v>
      </c>
    </row>
    <row r="8716" spans="3:3" x14ac:dyDescent="0.25">
      <c r="C8716" s="26">
        <v>8714</v>
      </c>
    </row>
    <row r="8717" spans="3:3" x14ac:dyDescent="0.25">
      <c r="C8717" s="26">
        <v>8715</v>
      </c>
    </row>
    <row r="8718" spans="3:3" x14ac:dyDescent="0.25">
      <c r="C8718" s="26">
        <v>8716</v>
      </c>
    </row>
    <row r="8719" spans="3:3" x14ac:dyDescent="0.25">
      <c r="C8719" s="26">
        <v>8717</v>
      </c>
    </row>
    <row r="8720" spans="3:3" x14ac:dyDescent="0.25">
      <c r="C8720" s="26">
        <v>8718</v>
      </c>
    </row>
    <row r="8721" spans="3:3" x14ac:dyDescent="0.25">
      <c r="C8721" s="26">
        <v>8719</v>
      </c>
    </row>
    <row r="8722" spans="3:3" x14ac:dyDescent="0.25">
      <c r="C8722" s="26">
        <v>8720</v>
      </c>
    </row>
    <row r="8723" spans="3:3" x14ac:dyDescent="0.25">
      <c r="C8723" s="26">
        <v>8721</v>
      </c>
    </row>
    <row r="8724" spans="3:3" x14ac:dyDescent="0.25">
      <c r="C8724" s="26">
        <v>8722</v>
      </c>
    </row>
    <row r="8725" spans="3:3" x14ac:dyDescent="0.25">
      <c r="C8725" s="26">
        <v>8723</v>
      </c>
    </row>
    <row r="8726" spans="3:3" x14ac:dyDescent="0.25">
      <c r="C8726" s="26">
        <v>8724</v>
      </c>
    </row>
    <row r="8727" spans="3:3" x14ac:dyDescent="0.25">
      <c r="C8727" s="26">
        <v>8725</v>
      </c>
    </row>
    <row r="8728" spans="3:3" x14ac:dyDescent="0.25">
      <c r="C8728" s="26">
        <v>8726</v>
      </c>
    </row>
    <row r="8729" spans="3:3" x14ac:dyDescent="0.25">
      <c r="C8729" s="26">
        <v>8727</v>
      </c>
    </row>
    <row r="8730" spans="3:3" x14ac:dyDescent="0.25">
      <c r="C8730" s="26">
        <v>8728</v>
      </c>
    </row>
    <row r="8731" spans="3:3" x14ac:dyDescent="0.25">
      <c r="C8731" s="26">
        <v>8729</v>
      </c>
    </row>
    <row r="8732" spans="3:3" x14ac:dyDescent="0.25">
      <c r="C8732" s="26">
        <v>8730</v>
      </c>
    </row>
    <row r="8733" spans="3:3" x14ac:dyDescent="0.25">
      <c r="C8733" s="26">
        <v>8731</v>
      </c>
    </row>
    <row r="8734" spans="3:3" x14ac:dyDescent="0.25">
      <c r="C8734" s="26">
        <v>8732</v>
      </c>
    </row>
    <row r="8735" spans="3:3" x14ac:dyDescent="0.25">
      <c r="C8735" s="26">
        <v>8733</v>
      </c>
    </row>
    <row r="8736" spans="3:3" x14ac:dyDescent="0.25">
      <c r="C8736" s="26">
        <v>8734</v>
      </c>
    </row>
    <row r="8737" spans="3:3" x14ac:dyDescent="0.25">
      <c r="C8737" s="26">
        <v>8735</v>
      </c>
    </row>
    <row r="8738" spans="3:3" x14ac:dyDescent="0.25">
      <c r="C8738" s="26">
        <v>8736</v>
      </c>
    </row>
    <row r="8739" spans="3:3" x14ac:dyDescent="0.25">
      <c r="C8739" s="26">
        <v>8737</v>
      </c>
    </row>
    <row r="8740" spans="3:3" x14ac:dyDescent="0.25">
      <c r="C8740" s="26">
        <v>8738</v>
      </c>
    </row>
    <row r="8741" spans="3:3" x14ac:dyDescent="0.25">
      <c r="C8741" s="26">
        <v>8739</v>
      </c>
    </row>
    <row r="8742" spans="3:3" x14ac:dyDescent="0.25">
      <c r="C8742" s="26">
        <v>8740</v>
      </c>
    </row>
    <row r="8743" spans="3:3" x14ac:dyDescent="0.25">
      <c r="C8743" s="26">
        <v>8741</v>
      </c>
    </row>
    <row r="8744" spans="3:3" x14ac:dyDescent="0.25">
      <c r="C8744" s="26">
        <v>8742</v>
      </c>
    </row>
    <row r="8745" spans="3:3" x14ac:dyDescent="0.25">
      <c r="C8745" s="26">
        <v>8743</v>
      </c>
    </row>
    <row r="8746" spans="3:3" x14ac:dyDescent="0.25">
      <c r="C8746" s="26">
        <v>8744</v>
      </c>
    </row>
    <row r="8747" spans="3:3" x14ac:dyDescent="0.25">
      <c r="C8747" s="26">
        <v>8745</v>
      </c>
    </row>
    <row r="8748" spans="3:3" x14ac:dyDescent="0.25">
      <c r="C8748" s="26">
        <v>8746</v>
      </c>
    </row>
    <row r="8749" spans="3:3" x14ac:dyDescent="0.25">
      <c r="C8749" s="26">
        <v>8747</v>
      </c>
    </row>
    <row r="8750" spans="3:3" x14ac:dyDescent="0.25">
      <c r="C8750" s="26">
        <v>8748</v>
      </c>
    </row>
    <row r="8751" spans="3:3" x14ac:dyDescent="0.25">
      <c r="C8751" s="26">
        <v>8749</v>
      </c>
    </row>
    <row r="8752" spans="3:3" x14ac:dyDescent="0.25">
      <c r="C8752" s="26">
        <v>8750</v>
      </c>
    </row>
    <row r="8753" spans="3:3" x14ac:dyDescent="0.25">
      <c r="C8753" s="26">
        <v>8751</v>
      </c>
    </row>
    <row r="8754" spans="3:3" x14ac:dyDescent="0.25">
      <c r="C8754" s="26">
        <v>8752</v>
      </c>
    </row>
    <row r="8755" spans="3:3" x14ac:dyDescent="0.25">
      <c r="C8755" s="26">
        <v>8753</v>
      </c>
    </row>
    <row r="8756" spans="3:3" x14ac:dyDescent="0.25">
      <c r="C8756" s="26">
        <v>8754</v>
      </c>
    </row>
    <row r="8757" spans="3:3" x14ac:dyDescent="0.25">
      <c r="C8757" s="26">
        <v>8755</v>
      </c>
    </row>
    <row r="8758" spans="3:3" x14ac:dyDescent="0.25">
      <c r="C8758" s="26">
        <v>8756</v>
      </c>
    </row>
    <row r="8759" spans="3:3" x14ac:dyDescent="0.25">
      <c r="C8759" s="26">
        <v>8757</v>
      </c>
    </row>
    <row r="8760" spans="3:3" x14ac:dyDescent="0.25">
      <c r="C8760" s="26">
        <v>8758</v>
      </c>
    </row>
    <row r="8761" spans="3:3" x14ac:dyDescent="0.25">
      <c r="C8761" s="26">
        <v>8759</v>
      </c>
    </row>
    <row r="8762" spans="3:3" x14ac:dyDescent="0.25">
      <c r="C8762" s="26">
        <v>8760</v>
      </c>
    </row>
    <row r="8763" spans="3:3" x14ac:dyDescent="0.25">
      <c r="C8763" s="26">
        <v>8761</v>
      </c>
    </row>
    <row r="8764" spans="3:3" x14ac:dyDescent="0.25">
      <c r="C8764" s="26">
        <v>8762</v>
      </c>
    </row>
    <row r="8765" spans="3:3" x14ac:dyDescent="0.25">
      <c r="C8765" s="26">
        <v>8763</v>
      </c>
    </row>
    <row r="8766" spans="3:3" x14ac:dyDescent="0.25">
      <c r="C8766" s="26">
        <v>8764</v>
      </c>
    </row>
    <row r="8767" spans="3:3" x14ac:dyDescent="0.25">
      <c r="C8767" s="26">
        <v>8765</v>
      </c>
    </row>
    <row r="8768" spans="3:3" x14ac:dyDescent="0.25">
      <c r="C8768" s="26">
        <v>8766</v>
      </c>
    </row>
    <row r="8769" spans="3:3" x14ac:dyDescent="0.25">
      <c r="C8769" s="26">
        <v>8767</v>
      </c>
    </row>
    <row r="8770" spans="3:3" x14ac:dyDescent="0.25">
      <c r="C8770" s="26">
        <v>8768</v>
      </c>
    </row>
    <row r="8771" spans="3:3" x14ac:dyDescent="0.25">
      <c r="C8771" s="26">
        <v>8769</v>
      </c>
    </row>
    <row r="8772" spans="3:3" x14ac:dyDescent="0.25">
      <c r="C8772" s="26">
        <v>8770</v>
      </c>
    </row>
    <row r="8773" spans="3:3" x14ac:dyDescent="0.25">
      <c r="C8773" s="26">
        <v>8771</v>
      </c>
    </row>
    <row r="8774" spans="3:3" x14ac:dyDescent="0.25">
      <c r="C8774" s="26">
        <v>8772</v>
      </c>
    </row>
    <row r="8775" spans="3:3" x14ac:dyDescent="0.25">
      <c r="C8775" s="26">
        <v>8773</v>
      </c>
    </row>
    <row r="8776" spans="3:3" x14ac:dyDescent="0.25">
      <c r="C8776" s="26">
        <v>8774</v>
      </c>
    </row>
    <row r="8777" spans="3:3" x14ac:dyDescent="0.25">
      <c r="C8777" s="26">
        <v>8775</v>
      </c>
    </row>
    <row r="8778" spans="3:3" x14ac:dyDescent="0.25">
      <c r="C8778" s="26">
        <v>8776</v>
      </c>
    </row>
    <row r="8779" spans="3:3" x14ac:dyDescent="0.25">
      <c r="C8779" s="26">
        <v>8777</v>
      </c>
    </row>
    <row r="8780" spans="3:3" x14ac:dyDescent="0.25">
      <c r="C8780" s="26">
        <v>8778</v>
      </c>
    </row>
    <row r="8781" spans="3:3" x14ac:dyDescent="0.25">
      <c r="C8781" s="26">
        <v>8779</v>
      </c>
    </row>
    <row r="8782" spans="3:3" x14ac:dyDescent="0.25">
      <c r="C8782" s="26">
        <v>8780</v>
      </c>
    </row>
    <row r="8783" spans="3:3" x14ac:dyDescent="0.25">
      <c r="C8783" s="26">
        <v>8781</v>
      </c>
    </row>
    <row r="8784" spans="3:3" x14ac:dyDescent="0.25">
      <c r="C8784" s="26">
        <v>8782</v>
      </c>
    </row>
    <row r="8785" spans="3:3" x14ac:dyDescent="0.25">
      <c r="C8785" s="26">
        <v>8783</v>
      </c>
    </row>
    <row r="8786" spans="3:3" x14ac:dyDescent="0.25">
      <c r="C8786" s="26">
        <v>8784</v>
      </c>
    </row>
    <row r="8787" spans="3:3" x14ac:dyDescent="0.25">
      <c r="C8787" s="26">
        <v>8785</v>
      </c>
    </row>
    <row r="8788" spans="3:3" x14ac:dyDescent="0.25">
      <c r="C8788" s="26">
        <v>8786</v>
      </c>
    </row>
    <row r="8789" spans="3:3" x14ac:dyDescent="0.25">
      <c r="C8789" s="26">
        <v>8787</v>
      </c>
    </row>
    <row r="8790" spans="3:3" x14ac:dyDescent="0.25">
      <c r="C8790" s="26">
        <v>8788</v>
      </c>
    </row>
    <row r="8791" spans="3:3" x14ac:dyDescent="0.25">
      <c r="C8791" s="26">
        <v>8789</v>
      </c>
    </row>
    <row r="8792" spans="3:3" x14ac:dyDescent="0.25">
      <c r="C8792" s="26">
        <v>8790</v>
      </c>
    </row>
    <row r="8793" spans="3:3" x14ac:dyDescent="0.25">
      <c r="C8793" s="26">
        <v>8791</v>
      </c>
    </row>
    <row r="8794" spans="3:3" x14ac:dyDescent="0.25">
      <c r="C8794" s="26">
        <v>8792</v>
      </c>
    </row>
    <row r="8795" spans="3:3" x14ac:dyDescent="0.25">
      <c r="C8795" s="26">
        <v>8793</v>
      </c>
    </row>
    <row r="8796" spans="3:3" x14ac:dyDescent="0.25">
      <c r="C8796" s="26">
        <v>8794</v>
      </c>
    </row>
    <row r="8797" spans="3:3" x14ac:dyDescent="0.25">
      <c r="C8797" s="26">
        <v>8795</v>
      </c>
    </row>
    <row r="8798" spans="3:3" x14ac:dyDescent="0.25">
      <c r="C8798" s="26">
        <v>8796</v>
      </c>
    </row>
    <row r="8799" spans="3:3" x14ac:dyDescent="0.25">
      <c r="C8799" s="26">
        <v>8797</v>
      </c>
    </row>
    <row r="8800" spans="3:3" x14ac:dyDescent="0.25">
      <c r="C8800" s="26">
        <v>8798</v>
      </c>
    </row>
    <row r="8801" spans="3:3" x14ac:dyDescent="0.25">
      <c r="C8801" s="26">
        <v>8799</v>
      </c>
    </row>
    <row r="8802" spans="3:3" x14ac:dyDescent="0.25">
      <c r="C8802" s="26">
        <v>8800</v>
      </c>
    </row>
    <row r="8803" spans="3:3" x14ac:dyDescent="0.25">
      <c r="C8803" s="26">
        <v>8801</v>
      </c>
    </row>
    <row r="8804" spans="3:3" x14ac:dyDescent="0.25">
      <c r="C8804" s="26">
        <v>8802</v>
      </c>
    </row>
    <row r="8805" spans="3:3" x14ac:dyDescent="0.25">
      <c r="C8805" s="26">
        <v>8803</v>
      </c>
    </row>
    <row r="8806" spans="3:3" x14ac:dyDescent="0.25">
      <c r="C8806" s="26">
        <v>8804</v>
      </c>
    </row>
    <row r="8807" spans="3:3" x14ac:dyDescent="0.25">
      <c r="C8807" s="26">
        <v>8805</v>
      </c>
    </row>
    <row r="8808" spans="3:3" x14ac:dyDescent="0.25">
      <c r="C8808" s="26">
        <v>8806</v>
      </c>
    </row>
    <row r="8809" spans="3:3" x14ac:dyDescent="0.25">
      <c r="C8809" s="26">
        <v>8807</v>
      </c>
    </row>
    <row r="8810" spans="3:3" x14ac:dyDescent="0.25">
      <c r="C8810" s="26">
        <v>8808</v>
      </c>
    </row>
    <row r="8811" spans="3:3" x14ac:dyDescent="0.25">
      <c r="C8811" s="26">
        <v>8809</v>
      </c>
    </row>
    <row r="8812" spans="3:3" x14ac:dyDescent="0.25">
      <c r="C8812" s="26">
        <v>8810</v>
      </c>
    </row>
    <row r="8813" spans="3:3" x14ac:dyDescent="0.25">
      <c r="C8813" s="26">
        <v>8811</v>
      </c>
    </row>
    <row r="8814" spans="3:3" x14ac:dyDescent="0.25">
      <c r="C8814" s="26">
        <v>8812</v>
      </c>
    </row>
    <row r="8815" spans="3:3" x14ac:dyDescent="0.25">
      <c r="C8815" s="26">
        <v>8813</v>
      </c>
    </row>
    <row r="8816" spans="3:3" x14ac:dyDescent="0.25">
      <c r="C8816" s="26">
        <v>8814</v>
      </c>
    </row>
    <row r="8817" spans="3:3" x14ac:dyDescent="0.25">
      <c r="C8817" s="26">
        <v>8815</v>
      </c>
    </row>
    <row r="8818" spans="3:3" x14ac:dyDescent="0.25">
      <c r="C8818" s="26">
        <v>8816</v>
      </c>
    </row>
    <row r="8819" spans="3:3" x14ac:dyDescent="0.25">
      <c r="C8819" s="26">
        <v>8817</v>
      </c>
    </row>
    <row r="8820" spans="3:3" x14ac:dyDescent="0.25">
      <c r="C8820" s="26">
        <v>8818</v>
      </c>
    </row>
    <row r="8821" spans="3:3" x14ac:dyDescent="0.25">
      <c r="C8821" s="26">
        <v>8819</v>
      </c>
    </row>
    <row r="8822" spans="3:3" x14ac:dyDescent="0.25">
      <c r="C8822" s="26">
        <v>8820</v>
      </c>
    </row>
    <row r="8823" spans="3:3" x14ac:dyDescent="0.25">
      <c r="C8823" s="26">
        <v>8821</v>
      </c>
    </row>
    <row r="8824" spans="3:3" x14ac:dyDescent="0.25">
      <c r="C8824" s="26">
        <v>8822</v>
      </c>
    </row>
    <row r="8825" spans="3:3" x14ac:dyDescent="0.25">
      <c r="C8825" s="26">
        <v>8823</v>
      </c>
    </row>
    <row r="8826" spans="3:3" x14ac:dyDescent="0.25">
      <c r="C8826" s="26">
        <v>8824</v>
      </c>
    </row>
    <row r="8827" spans="3:3" x14ac:dyDescent="0.25">
      <c r="C8827" s="26">
        <v>8825</v>
      </c>
    </row>
    <row r="8828" spans="3:3" x14ac:dyDescent="0.25">
      <c r="C8828" s="26">
        <v>8826</v>
      </c>
    </row>
    <row r="8829" spans="3:3" x14ac:dyDescent="0.25">
      <c r="C8829" s="26">
        <v>8827</v>
      </c>
    </row>
    <row r="8830" spans="3:3" x14ac:dyDescent="0.25">
      <c r="C8830" s="26">
        <v>8828</v>
      </c>
    </row>
    <row r="8831" spans="3:3" x14ac:dyDescent="0.25">
      <c r="C8831" s="26">
        <v>8829</v>
      </c>
    </row>
    <row r="8832" spans="3:3" x14ac:dyDescent="0.25">
      <c r="C8832" s="26">
        <v>8830</v>
      </c>
    </row>
    <row r="8833" spans="3:3" x14ac:dyDescent="0.25">
      <c r="C8833" s="26">
        <v>8831</v>
      </c>
    </row>
    <row r="8834" spans="3:3" x14ac:dyDescent="0.25">
      <c r="C8834" s="26">
        <v>8832</v>
      </c>
    </row>
    <row r="8835" spans="3:3" x14ac:dyDescent="0.25">
      <c r="C8835" s="26">
        <v>8833</v>
      </c>
    </row>
    <row r="8836" spans="3:3" x14ac:dyDescent="0.25">
      <c r="C8836" s="26">
        <v>8834</v>
      </c>
    </row>
    <row r="8837" spans="3:3" x14ac:dyDescent="0.25">
      <c r="C8837" s="26">
        <v>8835</v>
      </c>
    </row>
    <row r="8838" spans="3:3" x14ac:dyDescent="0.25">
      <c r="C8838" s="26">
        <v>8836</v>
      </c>
    </row>
    <row r="8839" spans="3:3" x14ac:dyDescent="0.25">
      <c r="C8839" s="26">
        <v>8837</v>
      </c>
    </row>
    <row r="8840" spans="3:3" x14ac:dyDescent="0.25">
      <c r="C8840" s="26">
        <v>8838</v>
      </c>
    </row>
    <row r="8841" spans="3:3" x14ac:dyDescent="0.25">
      <c r="C8841" s="26">
        <v>8839</v>
      </c>
    </row>
    <row r="8842" spans="3:3" x14ac:dyDescent="0.25">
      <c r="C8842" s="26">
        <v>8840</v>
      </c>
    </row>
    <row r="8843" spans="3:3" x14ac:dyDescent="0.25">
      <c r="C8843" s="26">
        <v>8841</v>
      </c>
    </row>
    <row r="8844" spans="3:3" x14ac:dyDescent="0.25">
      <c r="C8844" s="26">
        <v>8842</v>
      </c>
    </row>
    <row r="8845" spans="3:3" x14ac:dyDescent="0.25">
      <c r="C8845" s="26">
        <v>8843</v>
      </c>
    </row>
    <row r="8846" spans="3:3" x14ac:dyDescent="0.25">
      <c r="C8846" s="26">
        <v>8844</v>
      </c>
    </row>
    <row r="8847" spans="3:3" x14ac:dyDescent="0.25">
      <c r="C8847" s="26">
        <v>8845</v>
      </c>
    </row>
    <row r="8848" spans="3:3" x14ac:dyDescent="0.25">
      <c r="C8848" s="26">
        <v>8846</v>
      </c>
    </row>
    <row r="8849" spans="3:3" x14ac:dyDescent="0.25">
      <c r="C8849" s="26">
        <v>8847</v>
      </c>
    </row>
    <row r="8850" spans="3:3" x14ac:dyDescent="0.25">
      <c r="C8850" s="26">
        <v>8848</v>
      </c>
    </row>
    <row r="8851" spans="3:3" x14ac:dyDescent="0.25">
      <c r="C8851" s="26">
        <v>8849</v>
      </c>
    </row>
    <row r="8852" spans="3:3" x14ac:dyDescent="0.25">
      <c r="C8852" s="26">
        <v>8850</v>
      </c>
    </row>
    <row r="8853" spans="3:3" x14ac:dyDescent="0.25">
      <c r="C8853" s="26">
        <v>8851</v>
      </c>
    </row>
    <row r="8854" spans="3:3" x14ac:dyDescent="0.25">
      <c r="C8854" s="26">
        <v>8852</v>
      </c>
    </row>
    <row r="8855" spans="3:3" x14ac:dyDescent="0.25">
      <c r="C8855" s="26">
        <v>8853</v>
      </c>
    </row>
    <row r="8856" spans="3:3" x14ac:dyDescent="0.25">
      <c r="C8856" s="26">
        <v>8854</v>
      </c>
    </row>
    <row r="8857" spans="3:3" x14ac:dyDescent="0.25">
      <c r="C8857" s="26">
        <v>8855</v>
      </c>
    </row>
    <row r="8858" spans="3:3" x14ac:dyDescent="0.25">
      <c r="C8858" s="26">
        <v>8856</v>
      </c>
    </row>
    <row r="8859" spans="3:3" x14ac:dyDescent="0.25">
      <c r="C8859" s="26">
        <v>8857</v>
      </c>
    </row>
    <row r="8860" spans="3:3" x14ac:dyDescent="0.25">
      <c r="C8860" s="26">
        <v>8858</v>
      </c>
    </row>
    <row r="8861" spans="3:3" x14ac:dyDescent="0.25">
      <c r="C8861" s="26">
        <v>8859</v>
      </c>
    </row>
    <row r="8862" spans="3:3" x14ac:dyDescent="0.25">
      <c r="C8862" s="26">
        <v>8860</v>
      </c>
    </row>
    <row r="8863" spans="3:3" x14ac:dyDescent="0.25">
      <c r="C8863" s="26">
        <v>8861</v>
      </c>
    </row>
    <row r="8864" spans="3:3" x14ac:dyDescent="0.25">
      <c r="C8864" s="26">
        <v>8862</v>
      </c>
    </row>
    <row r="8865" spans="3:3" x14ac:dyDescent="0.25">
      <c r="C8865" s="26">
        <v>8863</v>
      </c>
    </row>
    <row r="8866" spans="3:3" x14ac:dyDescent="0.25">
      <c r="C8866" s="26">
        <v>8864</v>
      </c>
    </row>
    <row r="8867" spans="3:3" x14ac:dyDescent="0.25">
      <c r="C8867" s="26">
        <v>8865</v>
      </c>
    </row>
    <row r="8868" spans="3:3" x14ac:dyDescent="0.25">
      <c r="C8868" s="26">
        <v>8866</v>
      </c>
    </row>
    <row r="8869" spans="3:3" x14ac:dyDescent="0.25">
      <c r="C8869" s="26">
        <v>8867</v>
      </c>
    </row>
    <row r="8870" spans="3:3" x14ac:dyDescent="0.25">
      <c r="C8870" s="26">
        <v>8868</v>
      </c>
    </row>
    <row r="8871" spans="3:3" x14ac:dyDescent="0.25">
      <c r="C8871" s="26">
        <v>8869</v>
      </c>
    </row>
    <row r="8872" spans="3:3" x14ac:dyDescent="0.25">
      <c r="C8872" s="26">
        <v>8870</v>
      </c>
    </row>
    <row r="8873" spans="3:3" x14ac:dyDescent="0.25">
      <c r="C8873" s="26">
        <v>8871</v>
      </c>
    </row>
    <row r="8874" spans="3:3" x14ac:dyDescent="0.25">
      <c r="C8874" s="26">
        <v>8872</v>
      </c>
    </row>
    <row r="8875" spans="3:3" x14ac:dyDescent="0.25">
      <c r="C8875" s="26">
        <v>8873</v>
      </c>
    </row>
    <row r="8876" spans="3:3" x14ac:dyDescent="0.25">
      <c r="C8876" s="26">
        <v>8874</v>
      </c>
    </row>
    <row r="8877" spans="3:3" x14ac:dyDescent="0.25">
      <c r="C8877" s="26">
        <v>8875</v>
      </c>
    </row>
    <row r="8878" spans="3:3" x14ac:dyDescent="0.25">
      <c r="C8878" s="26">
        <v>8876</v>
      </c>
    </row>
    <row r="8879" spans="3:3" x14ac:dyDescent="0.25">
      <c r="C8879" s="26">
        <v>8877</v>
      </c>
    </row>
    <row r="8880" spans="3:3" x14ac:dyDescent="0.25">
      <c r="C8880" s="26">
        <v>8878</v>
      </c>
    </row>
    <row r="8881" spans="3:3" x14ac:dyDescent="0.25">
      <c r="C8881" s="26">
        <v>8879</v>
      </c>
    </row>
    <row r="8882" spans="3:3" x14ac:dyDescent="0.25">
      <c r="C8882" s="26">
        <v>8880</v>
      </c>
    </row>
    <row r="8883" spans="3:3" x14ac:dyDescent="0.25">
      <c r="C8883" s="26">
        <v>8881</v>
      </c>
    </row>
    <row r="8884" spans="3:3" x14ac:dyDescent="0.25">
      <c r="C8884" s="26">
        <v>8882</v>
      </c>
    </row>
    <row r="8885" spans="3:3" x14ac:dyDescent="0.25">
      <c r="C8885" s="26">
        <v>8883</v>
      </c>
    </row>
    <row r="8886" spans="3:3" x14ac:dyDescent="0.25">
      <c r="C8886" s="26">
        <v>8884</v>
      </c>
    </row>
    <row r="8887" spans="3:3" x14ac:dyDescent="0.25">
      <c r="C8887" s="26">
        <v>8885</v>
      </c>
    </row>
    <row r="8888" spans="3:3" x14ac:dyDescent="0.25">
      <c r="C8888" s="26">
        <v>8886</v>
      </c>
    </row>
    <row r="8889" spans="3:3" x14ac:dyDescent="0.25">
      <c r="C8889" s="26">
        <v>8887</v>
      </c>
    </row>
    <row r="8890" spans="3:3" x14ac:dyDescent="0.25">
      <c r="C8890" s="26">
        <v>8888</v>
      </c>
    </row>
    <row r="8891" spans="3:3" x14ac:dyDescent="0.25">
      <c r="C8891" s="26">
        <v>8889</v>
      </c>
    </row>
    <row r="8892" spans="3:3" x14ac:dyDescent="0.25">
      <c r="C8892" s="26">
        <v>8890</v>
      </c>
    </row>
    <row r="8893" spans="3:3" x14ac:dyDescent="0.25">
      <c r="C8893" s="26">
        <v>8891</v>
      </c>
    </row>
    <row r="8894" spans="3:3" x14ac:dyDescent="0.25">
      <c r="C8894" s="26">
        <v>8892</v>
      </c>
    </row>
    <row r="8895" spans="3:3" x14ac:dyDescent="0.25">
      <c r="C8895" s="26">
        <v>8893</v>
      </c>
    </row>
    <row r="8896" spans="3:3" x14ac:dyDescent="0.25">
      <c r="C8896" s="26">
        <v>8894</v>
      </c>
    </row>
    <row r="8897" spans="3:3" x14ac:dyDescent="0.25">
      <c r="C8897" s="26">
        <v>8895</v>
      </c>
    </row>
    <row r="8898" spans="3:3" x14ac:dyDescent="0.25">
      <c r="C8898" s="26">
        <v>8896</v>
      </c>
    </row>
    <row r="8899" spans="3:3" x14ac:dyDescent="0.25">
      <c r="C8899" s="26">
        <v>8897</v>
      </c>
    </row>
    <row r="8900" spans="3:3" x14ac:dyDescent="0.25">
      <c r="C8900" s="26">
        <v>8898</v>
      </c>
    </row>
    <row r="8901" spans="3:3" x14ac:dyDescent="0.25">
      <c r="C8901" s="26">
        <v>8899</v>
      </c>
    </row>
    <row r="8902" spans="3:3" x14ac:dyDescent="0.25">
      <c r="C8902" s="26">
        <v>8900</v>
      </c>
    </row>
    <row r="8903" spans="3:3" x14ac:dyDescent="0.25">
      <c r="C8903" s="26">
        <v>8901</v>
      </c>
    </row>
    <row r="8904" spans="3:3" x14ac:dyDescent="0.25">
      <c r="C8904" s="26">
        <v>8902</v>
      </c>
    </row>
    <row r="8905" spans="3:3" x14ac:dyDescent="0.25">
      <c r="C8905" s="26">
        <v>8903</v>
      </c>
    </row>
    <row r="8906" spans="3:3" x14ac:dyDescent="0.25">
      <c r="C8906" s="26">
        <v>8904</v>
      </c>
    </row>
    <row r="8907" spans="3:3" x14ac:dyDescent="0.25">
      <c r="C8907" s="26">
        <v>8905</v>
      </c>
    </row>
    <row r="8908" spans="3:3" x14ac:dyDescent="0.25">
      <c r="C8908" s="26">
        <v>8906</v>
      </c>
    </row>
    <row r="8909" spans="3:3" x14ac:dyDescent="0.25">
      <c r="C8909" s="26">
        <v>8907</v>
      </c>
    </row>
    <row r="8910" spans="3:3" x14ac:dyDescent="0.25">
      <c r="C8910" s="26">
        <v>8908</v>
      </c>
    </row>
    <row r="8911" spans="3:3" x14ac:dyDescent="0.25">
      <c r="C8911" s="26">
        <v>8909</v>
      </c>
    </row>
    <row r="8912" spans="3:3" x14ac:dyDescent="0.25">
      <c r="C8912" s="26">
        <v>8910</v>
      </c>
    </row>
    <row r="8913" spans="3:3" x14ac:dyDescent="0.25">
      <c r="C8913" s="26">
        <v>8911</v>
      </c>
    </row>
    <row r="8914" spans="3:3" x14ac:dyDescent="0.25">
      <c r="C8914" s="26">
        <v>8912</v>
      </c>
    </row>
    <row r="8915" spans="3:3" x14ac:dyDescent="0.25">
      <c r="C8915" s="26">
        <v>8913</v>
      </c>
    </row>
    <row r="8916" spans="3:3" x14ac:dyDescent="0.25">
      <c r="C8916" s="26">
        <v>8914</v>
      </c>
    </row>
    <row r="8917" spans="3:3" x14ac:dyDescent="0.25">
      <c r="C8917" s="26">
        <v>8915</v>
      </c>
    </row>
    <row r="8918" spans="3:3" x14ac:dyDescent="0.25">
      <c r="C8918" s="26">
        <v>8916</v>
      </c>
    </row>
    <row r="8919" spans="3:3" x14ac:dyDescent="0.25">
      <c r="C8919" s="26">
        <v>8917</v>
      </c>
    </row>
    <row r="8920" spans="3:3" x14ac:dyDescent="0.25">
      <c r="C8920" s="26">
        <v>8918</v>
      </c>
    </row>
    <row r="8921" spans="3:3" x14ac:dyDescent="0.25">
      <c r="C8921" s="26">
        <v>8919</v>
      </c>
    </row>
    <row r="8922" spans="3:3" x14ac:dyDescent="0.25">
      <c r="C8922" s="26">
        <v>8920</v>
      </c>
    </row>
    <row r="8923" spans="3:3" x14ac:dyDescent="0.25">
      <c r="C8923" s="26">
        <v>8921</v>
      </c>
    </row>
    <row r="8924" spans="3:3" x14ac:dyDescent="0.25">
      <c r="C8924" s="26">
        <v>8922</v>
      </c>
    </row>
    <row r="8925" spans="3:3" x14ac:dyDescent="0.25">
      <c r="C8925" s="26">
        <v>8923</v>
      </c>
    </row>
    <row r="8926" spans="3:3" x14ac:dyDescent="0.25">
      <c r="C8926" s="26">
        <v>8924</v>
      </c>
    </row>
    <row r="8927" spans="3:3" x14ac:dyDescent="0.25">
      <c r="C8927" s="26">
        <v>8925</v>
      </c>
    </row>
    <row r="8928" spans="3:3" x14ac:dyDescent="0.25">
      <c r="C8928" s="26">
        <v>8926</v>
      </c>
    </row>
    <row r="8929" spans="3:3" x14ac:dyDescent="0.25">
      <c r="C8929" s="26">
        <v>8927</v>
      </c>
    </row>
    <row r="8930" spans="3:3" x14ac:dyDescent="0.25">
      <c r="C8930" s="26">
        <v>8928</v>
      </c>
    </row>
    <row r="8931" spans="3:3" x14ac:dyDescent="0.25">
      <c r="C8931" s="26">
        <v>8929</v>
      </c>
    </row>
    <row r="8932" spans="3:3" x14ac:dyDescent="0.25">
      <c r="C8932" s="26">
        <v>8930</v>
      </c>
    </row>
    <row r="8933" spans="3:3" x14ac:dyDescent="0.25">
      <c r="C8933" s="26">
        <v>8931</v>
      </c>
    </row>
    <row r="8934" spans="3:3" x14ac:dyDescent="0.25">
      <c r="C8934" s="26">
        <v>8932</v>
      </c>
    </row>
    <row r="8935" spans="3:3" x14ac:dyDescent="0.25">
      <c r="C8935" s="26">
        <v>8933</v>
      </c>
    </row>
    <row r="8936" spans="3:3" x14ac:dyDescent="0.25">
      <c r="C8936" s="26">
        <v>8934</v>
      </c>
    </row>
    <row r="8937" spans="3:3" x14ac:dyDescent="0.25">
      <c r="C8937" s="26">
        <v>8935</v>
      </c>
    </row>
    <row r="8938" spans="3:3" x14ac:dyDescent="0.25">
      <c r="C8938" s="26">
        <v>8936</v>
      </c>
    </row>
    <row r="8939" spans="3:3" x14ac:dyDescent="0.25">
      <c r="C8939" s="26">
        <v>8937</v>
      </c>
    </row>
    <row r="8940" spans="3:3" x14ac:dyDescent="0.25">
      <c r="C8940" s="26">
        <v>8938</v>
      </c>
    </row>
    <row r="8941" spans="3:3" x14ac:dyDescent="0.25">
      <c r="C8941" s="26">
        <v>8939</v>
      </c>
    </row>
    <row r="8942" spans="3:3" x14ac:dyDescent="0.25">
      <c r="C8942" s="26">
        <v>8940</v>
      </c>
    </row>
    <row r="8943" spans="3:3" x14ac:dyDescent="0.25">
      <c r="C8943" s="26">
        <v>8941</v>
      </c>
    </row>
    <row r="8944" spans="3:3" x14ac:dyDescent="0.25">
      <c r="C8944" s="26">
        <v>8942</v>
      </c>
    </row>
    <row r="8945" spans="3:3" x14ac:dyDescent="0.25">
      <c r="C8945" s="26">
        <v>8943</v>
      </c>
    </row>
    <row r="8946" spans="3:3" x14ac:dyDescent="0.25">
      <c r="C8946" s="26">
        <v>8944</v>
      </c>
    </row>
    <row r="8947" spans="3:3" x14ac:dyDescent="0.25">
      <c r="C8947" s="26">
        <v>8945</v>
      </c>
    </row>
    <row r="8948" spans="3:3" x14ac:dyDescent="0.25">
      <c r="C8948" s="26">
        <v>8946</v>
      </c>
    </row>
    <row r="8949" spans="3:3" x14ac:dyDescent="0.25">
      <c r="C8949" s="26">
        <v>8947</v>
      </c>
    </row>
    <row r="8950" spans="3:3" x14ac:dyDescent="0.25">
      <c r="C8950" s="26">
        <v>8948</v>
      </c>
    </row>
    <row r="8951" spans="3:3" x14ac:dyDescent="0.25">
      <c r="C8951" s="26">
        <v>8949</v>
      </c>
    </row>
    <row r="8952" spans="3:3" x14ac:dyDescent="0.25">
      <c r="C8952" s="26">
        <v>8950</v>
      </c>
    </row>
    <row r="8953" spans="3:3" x14ac:dyDescent="0.25">
      <c r="C8953" s="26">
        <v>8951</v>
      </c>
    </row>
    <row r="8954" spans="3:3" x14ac:dyDescent="0.25">
      <c r="C8954" s="26">
        <v>8952</v>
      </c>
    </row>
    <row r="8955" spans="3:3" x14ac:dyDescent="0.25">
      <c r="C8955" s="26">
        <v>8953</v>
      </c>
    </row>
    <row r="8956" spans="3:3" x14ac:dyDescent="0.25">
      <c r="C8956" s="26">
        <v>8954</v>
      </c>
    </row>
    <row r="8957" spans="3:3" x14ac:dyDescent="0.25">
      <c r="C8957" s="26">
        <v>8955</v>
      </c>
    </row>
    <row r="8958" spans="3:3" x14ac:dyDescent="0.25">
      <c r="C8958" s="26">
        <v>8956</v>
      </c>
    </row>
    <row r="8959" spans="3:3" x14ac:dyDescent="0.25">
      <c r="C8959" s="26">
        <v>8957</v>
      </c>
    </row>
    <row r="8960" spans="3:3" x14ac:dyDescent="0.25">
      <c r="C8960" s="26">
        <v>8958</v>
      </c>
    </row>
    <row r="8961" spans="3:3" x14ac:dyDescent="0.25">
      <c r="C8961" s="26">
        <v>8959</v>
      </c>
    </row>
    <row r="8962" spans="3:3" x14ac:dyDescent="0.25">
      <c r="C8962" s="26">
        <v>8960</v>
      </c>
    </row>
    <row r="8963" spans="3:3" x14ac:dyDescent="0.25">
      <c r="C8963" s="26">
        <v>8961</v>
      </c>
    </row>
    <row r="8964" spans="3:3" x14ac:dyDescent="0.25">
      <c r="C8964" s="26">
        <v>8962</v>
      </c>
    </row>
    <row r="8965" spans="3:3" x14ac:dyDescent="0.25">
      <c r="C8965" s="26">
        <v>8963</v>
      </c>
    </row>
    <row r="8966" spans="3:3" x14ac:dyDescent="0.25">
      <c r="C8966" s="26">
        <v>8964</v>
      </c>
    </row>
    <row r="8967" spans="3:3" x14ac:dyDescent="0.25">
      <c r="C8967" s="26">
        <v>8965</v>
      </c>
    </row>
    <row r="8968" spans="3:3" x14ac:dyDescent="0.25">
      <c r="C8968" s="26">
        <v>8966</v>
      </c>
    </row>
    <row r="8969" spans="3:3" x14ac:dyDescent="0.25">
      <c r="C8969" s="26">
        <v>8967</v>
      </c>
    </row>
    <row r="8970" spans="3:3" x14ac:dyDescent="0.25">
      <c r="C8970" s="26">
        <v>8968</v>
      </c>
    </row>
    <row r="8971" spans="3:3" x14ac:dyDescent="0.25">
      <c r="C8971" s="26">
        <v>8969</v>
      </c>
    </row>
    <row r="8972" spans="3:3" x14ac:dyDescent="0.25">
      <c r="C8972" s="26">
        <v>8970</v>
      </c>
    </row>
    <row r="8973" spans="3:3" x14ac:dyDescent="0.25">
      <c r="C8973" s="26">
        <v>8971</v>
      </c>
    </row>
    <row r="8974" spans="3:3" x14ac:dyDescent="0.25">
      <c r="C8974" s="26">
        <v>8972</v>
      </c>
    </row>
    <row r="8975" spans="3:3" x14ac:dyDescent="0.25">
      <c r="C8975" s="26">
        <v>8973</v>
      </c>
    </row>
    <row r="8976" spans="3:3" x14ac:dyDescent="0.25">
      <c r="C8976" s="26">
        <v>8974</v>
      </c>
    </row>
    <row r="8977" spans="3:3" x14ac:dyDescent="0.25">
      <c r="C8977" s="26">
        <v>8975</v>
      </c>
    </row>
    <row r="8978" spans="3:3" x14ac:dyDescent="0.25">
      <c r="C8978" s="26">
        <v>8976</v>
      </c>
    </row>
    <row r="8979" spans="3:3" x14ac:dyDescent="0.25">
      <c r="C8979" s="26">
        <v>8977</v>
      </c>
    </row>
    <row r="8980" spans="3:3" x14ac:dyDescent="0.25">
      <c r="C8980" s="26">
        <v>8978</v>
      </c>
    </row>
    <row r="8981" spans="3:3" x14ac:dyDescent="0.25">
      <c r="C8981" s="26">
        <v>8979</v>
      </c>
    </row>
    <row r="8982" spans="3:3" x14ac:dyDescent="0.25">
      <c r="C8982" s="26">
        <v>8980</v>
      </c>
    </row>
    <row r="8983" spans="3:3" x14ac:dyDescent="0.25">
      <c r="C8983" s="26">
        <v>8981</v>
      </c>
    </row>
    <row r="8984" spans="3:3" x14ac:dyDescent="0.25">
      <c r="C8984" s="26">
        <v>8982</v>
      </c>
    </row>
    <row r="8985" spans="3:3" x14ac:dyDescent="0.25">
      <c r="C8985" s="26">
        <v>8983</v>
      </c>
    </row>
    <row r="8986" spans="3:3" x14ac:dyDescent="0.25">
      <c r="C8986" s="26">
        <v>8984</v>
      </c>
    </row>
    <row r="8987" spans="3:3" x14ac:dyDescent="0.25">
      <c r="C8987" s="26">
        <v>8985</v>
      </c>
    </row>
    <row r="8988" spans="3:3" x14ac:dyDescent="0.25">
      <c r="C8988" s="26">
        <v>8986</v>
      </c>
    </row>
    <row r="8989" spans="3:3" x14ac:dyDescent="0.25">
      <c r="C8989" s="26">
        <v>8987</v>
      </c>
    </row>
    <row r="8990" spans="3:3" x14ac:dyDescent="0.25">
      <c r="C8990" s="26">
        <v>8988</v>
      </c>
    </row>
    <row r="8991" spans="3:3" x14ac:dyDescent="0.25">
      <c r="C8991" s="26">
        <v>8989</v>
      </c>
    </row>
    <row r="8992" spans="3:3" x14ac:dyDescent="0.25">
      <c r="C8992" s="26">
        <v>8990</v>
      </c>
    </row>
    <row r="8993" spans="3:3" x14ac:dyDescent="0.25">
      <c r="C8993" s="26">
        <v>8991</v>
      </c>
    </row>
    <row r="8994" spans="3:3" x14ac:dyDescent="0.25">
      <c r="C8994" s="26">
        <v>8992</v>
      </c>
    </row>
    <row r="8995" spans="3:3" x14ac:dyDescent="0.25">
      <c r="C8995" s="26">
        <v>8993</v>
      </c>
    </row>
    <row r="8996" spans="3:3" x14ac:dyDescent="0.25">
      <c r="C8996" s="26">
        <v>8994</v>
      </c>
    </row>
    <row r="8997" spans="3:3" x14ac:dyDescent="0.25">
      <c r="C8997" s="26">
        <v>8995</v>
      </c>
    </row>
    <row r="8998" spans="3:3" x14ac:dyDescent="0.25">
      <c r="C8998" s="26">
        <v>8996</v>
      </c>
    </row>
    <row r="8999" spans="3:3" x14ac:dyDescent="0.25">
      <c r="C8999" s="26">
        <v>8997</v>
      </c>
    </row>
    <row r="9000" spans="3:3" x14ac:dyDescent="0.25">
      <c r="C9000" s="26">
        <v>8998</v>
      </c>
    </row>
    <row r="9001" spans="3:3" x14ac:dyDescent="0.25">
      <c r="C9001" s="26">
        <v>8999</v>
      </c>
    </row>
    <row r="9002" spans="3:3" x14ac:dyDescent="0.25">
      <c r="C9002" s="26">
        <v>9000</v>
      </c>
    </row>
    <row r="9003" spans="3:3" x14ac:dyDescent="0.25">
      <c r="C9003" s="26">
        <v>9001</v>
      </c>
    </row>
    <row r="9004" spans="3:3" x14ac:dyDescent="0.25">
      <c r="C9004" s="26">
        <v>9002</v>
      </c>
    </row>
    <row r="9005" spans="3:3" x14ac:dyDescent="0.25">
      <c r="C9005" s="26">
        <v>9003</v>
      </c>
    </row>
    <row r="9006" spans="3:3" x14ac:dyDescent="0.25">
      <c r="C9006" s="26">
        <v>9004</v>
      </c>
    </row>
    <row r="9007" spans="3:3" x14ac:dyDescent="0.25">
      <c r="C9007" s="26">
        <v>9005</v>
      </c>
    </row>
    <row r="9008" spans="3:3" x14ac:dyDescent="0.25">
      <c r="C9008" s="26">
        <v>9006</v>
      </c>
    </row>
    <row r="9009" spans="3:3" x14ac:dyDescent="0.25">
      <c r="C9009" s="26">
        <v>9007</v>
      </c>
    </row>
    <row r="9010" spans="3:3" x14ac:dyDescent="0.25">
      <c r="C9010" s="26">
        <v>9008</v>
      </c>
    </row>
    <row r="9011" spans="3:3" x14ac:dyDescent="0.25">
      <c r="C9011" s="26">
        <v>9009</v>
      </c>
    </row>
    <row r="9012" spans="3:3" x14ac:dyDescent="0.25">
      <c r="C9012" s="26">
        <v>9010</v>
      </c>
    </row>
    <row r="9013" spans="3:3" x14ac:dyDescent="0.25">
      <c r="C9013" s="26">
        <v>9011</v>
      </c>
    </row>
    <row r="9014" spans="3:3" x14ac:dyDescent="0.25">
      <c r="C9014" s="26">
        <v>9012</v>
      </c>
    </row>
    <row r="9015" spans="3:3" x14ac:dyDescent="0.25">
      <c r="C9015" s="26">
        <v>9013</v>
      </c>
    </row>
    <row r="9016" spans="3:3" x14ac:dyDescent="0.25">
      <c r="C9016" s="26">
        <v>9014</v>
      </c>
    </row>
    <row r="9017" spans="3:3" x14ac:dyDescent="0.25">
      <c r="C9017" s="26">
        <v>9015</v>
      </c>
    </row>
    <row r="9018" spans="3:3" x14ac:dyDescent="0.25">
      <c r="C9018" s="26">
        <v>9016</v>
      </c>
    </row>
    <row r="9019" spans="3:3" x14ac:dyDescent="0.25">
      <c r="C9019" s="26">
        <v>9017</v>
      </c>
    </row>
    <row r="9020" spans="3:3" x14ac:dyDescent="0.25">
      <c r="C9020" s="26">
        <v>9018</v>
      </c>
    </row>
    <row r="9021" spans="3:3" x14ac:dyDescent="0.25">
      <c r="C9021" s="26">
        <v>9019</v>
      </c>
    </row>
    <row r="9022" spans="3:3" x14ac:dyDescent="0.25">
      <c r="C9022" s="26">
        <v>9020</v>
      </c>
    </row>
    <row r="9023" spans="3:3" x14ac:dyDescent="0.25">
      <c r="C9023" s="26">
        <v>9021</v>
      </c>
    </row>
    <row r="9024" spans="3:3" x14ac:dyDescent="0.25">
      <c r="C9024" s="26">
        <v>9022</v>
      </c>
    </row>
    <row r="9025" spans="3:3" x14ac:dyDescent="0.25">
      <c r="C9025" s="26">
        <v>9023</v>
      </c>
    </row>
    <row r="9026" spans="3:3" x14ac:dyDescent="0.25">
      <c r="C9026" s="26">
        <v>9024</v>
      </c>
    </row>
    <row r="9027" spans="3:3" x14ac:dyDescent="0.25">
      <c r="C9027" s="26">
        <v>9025</v>
      </c>
    </row>
    <row r="9028" spans="3:3" x14ac:dyDescent="0.25">
      <c r="C9028" s="26">
        <v>9026</v>
      </c>
    </row>
    <row r="9029" spans="3:3" x14ac:dyDescent="0.25">
      <c r="C9029" s="26">
        <v>9027</v>
      </c>
    </row>
    <row r="9030" spans="3:3" x14ac:dyDescent="0.25">
      <c r="C9030" s="26">
        <v>9028</v>
      </c>
    </row>
    <row r="9031" spans="3:3" x14ac:dyDescent="0.25">
      <c r="C9031" s="26">
        <v>9029</v>
      </c>
    </row>
    <row r="9032" spans="3:3" x14ac:dyDescent="0.25">
      <c r="C9032" s="26">
        <v>9030</v>
      </c>
    </row>
    <row r="9033" spans="3:3" x14ac:dyDescent="0.25">
      <c r="C9033" s="26">
        <v>9031</v>
      </c>
    </row>
    <row r="9034" spans="3:3" x14ac:dyDescent="0.25">
      <c r="C9034" s="26">
        <v>9032</v>
      </c>
    </row>
    <row r="9035" spans="3:3" x14ac:dyDescent="0.25">
      <c r="C9035" s="26">
        <v>9033</v>
      </c>
    </row>
    <row r="9036" spans="3:3" x14ac:dyDescent="0.25">
      <c r="C9036" s="26">
        <v>9034</v>
      </c>
    </row>
    <row r="9037" spans="3:3" x14ac:dyDescent="0.25">
      <c r="C9037" s="26">
        <v>9035</v>
      </c>
    </row>
    <row r="9038" spans="3:3" x14ac:dyDescent="0.25">
      <c r="C9038" s="26">
        <v>9036</v>
      </c>
    </row>
    <row r="9039" spans="3:3" x14ac:dyDescent="0.25">
      <c r="C9039" s="26">
        <v>9037</v>
      </c>
    </row>
    <row r="9040" spans="3:3" x14ac:dyDescent="0.25">
      <c r="C9040" s="26">
        <v>9038</v>
      </c>
    </row>
    <row r="9041" spans="3:3" x14ac:dyDescent="0.25">
      <c r="C9041" s="26">
        <v>9039</v>
      </c>
    </row>
    <row r="9042" spans="3:3" x14ac:dyDescent="0.25">
      <c r="C9042" s="26">
        <v>9040</v>
      </c>
    </row>
    <row r="9043" spans="3:3" x14ac:dyDescent="0.25">
      <c r="C9043" s="26">
        <v>9041</v>
      </c>
    </row>
    <row r="9044" spans="3:3" x14ac:dyDescent="0.25">
      <c r="C9044" s="26">
        <v>9042</v>
      </c>
    </row>
    <row r="9045" spans="3:3" x14ac:dyDescent="0.25">
      <c r="C9045" s="26">
        <v>9043</v>
      </c>
    </row>
    <row r="9046" spans="3:3" x14ac:dyDescent="0.25">
      <c r="C9046" s="26">
        <v>9044</v>
      </c>
    </row>
    <row r="9047" spans="3:3" x14ac:dyDescent="0.25">
      <c r="C9047" s="26">
        <v>9045</v>
      </c>
    </row>
    <row r="9048" spans="3:3" x14ac:dyDescent="0.25">
      <c r="C9048" s="26">
        <v>9046</v>
      </c>
    </row>
    <row r="9049" spans="3:3" x14ac:dyDescent="0.25">
      <c r="C9049" s="26">
        <v>9047</v>
      </c>
    </row>
    <row r="9050" spans="3:3" x14ac:dyDescent="0.25">
      <c r="C9050" s="26">
        <v>9048</v>
      </c>
    </row>
    <row r="9051" spans="3:3" x14ac:dyDescent="0.25">
      <c r="C9051" s="26">
        <v>9049</v>
      </c>
    </row>
    <row r="9052" spans="3:3" x14ac:dyDescent="0.25">
      <c r="C9052" s="26">
        <v>9050</v>
      </c>
    </row>
    <row r="9053" spans="3:3" x14ac:dyDescent="0.25">
      <c r="C9053" s="26">
        <v>9051</v>
      </c>
    </row>
    <row r="9054" spans="3:3" x14ac:dyDescent="0.25">
      <c r="C9054" s="26">
        <v>9052</v>
      </c>
    </row>
    <row r="9055" spans="3:3" x14ac:dyDescent="0.25">
      <c r="C9055" s="26">
        <v>9053</v>
      </c>
    </row>
    <row r="9056" spans="3:3" x14ac:dyDescent="0.25">
      <c r="C9056" s="26">
        <v>9054</v>
      </c>
    </row>
    <row r="9057" spans="3:3" x14ac:dyDescent="0.25">
      <c r="C9057" s="26">
        <v>9055</v>
      </c>
    </row>
    <row r="9058" spans="3:3" x14ac:dyDescent="0.25">
      <c r="C9058" s="26">
        <v>9056</v>
      </c>
    </row>
    <row r="9059" spans="3:3" x14ac:dyDescent="0.25">
      <c r="C9059" s="26">
        <v>9057</v>
      </c>
    </row>
    <row r="9060" spans="3:3" x14ac:dyDescent="0.25">
      <c r="C9060" s="26">
        <v>9058</v>
      </c>
    </row>
    <row r="9061" spans="3:3" x14ac:dyDescent="0.25">
      <c r="C9061" s="26">
        <v>9059</v>
      </c>
    </row>
    <row r="9062" spans="3:3" x14ac:dyDescent="0.25">
      <c r="C9062" s="26">
        <v>9060</v>
      </c>
    </row>
    <row r="9063" spans="3:3" x14ac:dyDescent="0.25">
      <c r="C9063" s="26">
        <v>9061</v>
      </c>
    </row>
    <row r="9064" spans="3:3" x14ac:dyDescent="0.25">
      <c r="C9064" s="26">
        <v>9062</v>
      </c>
    </row>
    <row r="9065" spans="3:3" x14ac:dyDescent="0.25">
      <c r="C9065" s="26">
        <v>9063</v>
      </c>
    </row>
    <row r="9066" spans="3:3" x14ac:dyDescent="0.25">
      <c r="C9066" s="26">
        <v>9064</v>
      </c>
    </row>
    <row r="9067" spans="3:3" x14ac:dyDescent="0.25">
      <c r="C9067" s="26">
        <v>9065</v>
      </c>
    </row>
    <row r="9068" spans="3:3" x14ac:dyDescent="0.25">
      <c r="C9068" s="26">
        <v>9066</v>
      </c>
    </row>
    <row r="9069" spans="3:3" x14ac:dyDescent="0.25">
      <c r="C9069" s="26">
        <v>9067</v>
      </c>
    </row>
    <row r="9070" spans="3:3" x14ac:dyDescent="0.25">
      <c r="C9070" s="26">
        <v>9068</v>
      </c>
    </row>
    <row r="9071" spans="3:3" x14ac:dyDescent="0.25">
      <c r="C9071" s="26">
        <v>9069</v>
      </c>
    </row>
    <row r="9072" spans="3:3" x14ac:dyDescent="0.25">
      <c r="C9072" s="26">
        <v>9070</v>
      </c>
    </row>
    <row r="9073" spans="3:3" x14ac:dyDescent="0.25">
      <c r="C9073" s="26">
        <v>9071</v>
      </c>
    </row>
    <row r="9074" spans="3:3" x14ac:dyDescent="0.25">
      <c r="C9074" s="26">
        <v>9072</v>
      </c>
    </row>
    <row r="9075" spans="3:3" x14ac:dyDescent="0.25">
      <c r="C9075" s="26">
        <v>9073</v>
      </c>
    </row>
    <row r="9076" spans="3:3" x14ac:dyDescent="0.25">
      <c r="C9076" s="26">
        <v>9074</v>
      </c>
    </row>
    <row r="9077" spans="3:3" x14ac:dyDescent="0.25">
      <c r="C9077" s="26">
        <v>9075</v>
      </c>
    </row>
    <row r="9078" spans="3:3" x14ac:dyDescent="0.25">
      <c r="C9078" s="26">
        <v>9076</v>
      </c>
    </row>
    <row r="9079" spans="3:3" x14ac:dyDescent="0.25">
      <c r="C9079" s="26">
        <v>9077</v>
      </c>
    </row>
    <row r="9080" spans="3:3" x14ac:dyDescent="0.25">
      <c r="C9080" s="26">
        <v>9078</v>
      </c>
    </row>
    <row r="9081" spans="3:3" x14ac:dyDescent="0.25">
      <c r="C9081" s="26">
        <v>9079</v>
      </c>
    </row>
    <row r="9082" spans="3:3" x14ac:dyDescent="0.25">
      <c r="C9082" s="26">
        <v>9080</v>
      </c>
    </row>
    <row r="9083" spans="3:3" x14ac:dyDescent="0.25">
      <c r="C9083" s="26">
        <v>9081</v>
      </c>
    </row>
    <row r="9084" spans="3:3" x14ac:dyDescent="0.25">
      <c r="C9084" s="26">
        <v>9082</v>
      </c>
    </row>
    <row r="9085" spans="3:3" x14ac:dyDescent="0.25">
      <c r="C9085" s="26">
        <v>9083</v>
      </c>
    </row>
    <row r="9086" spans="3:3" x14ac:dyDescent="0.25">
      <c r="C9086" s="26">
        <v>9084</v>
      </c>
    </row>
    <row r="9087" spans="3:3" x14ac:dyDescent="0.25">
      <c r="C9087" s="26">
        <v>9085</v>
      </c>
    </row>
    <row r="9088" spans="3:3" x14ac:dyDescent="0.25">
      <c r="C9088" s="26">
        <v>9086</v>
      </c>
    </row>
    <row r="9089" spans="3:3" x14ac:dyDescent="0.25">
      <c r="C9089" s="26">
        <v>9087</v>
      </c>
    </row>
    <row r="9090" spans="3:3" x14ac:dyDescent="0.25">
      <c r="C9090" s="26">
        <v>9088</v>
      </c>
    </row>
    <row r="9091" spans="3:3" x14ac:dyDescent="0.25">
      <c r="C9091" s="26">
        <v>9089</v>
      </c>
    </row>
    <row r="9092" spans="3:3" x14ac:dyDescent="0.25">
      <c r="C9092" s="26">
        <v>9090</v>
      </c>
    </row>
    <row r="9093" spans="3:3" x14ac:dyDescent="0.25">
      <c r="C9093" s="26">
        <v>9091</v>
      </c>
    </row>
    <row r="9094" spans="3:3" x14ac:dyDescent="0.25">
      <c r="C9094" s="26">
        <v>9092</v>
      </c>
    </row>
    <row r="9095" spans="3:3" x14ac:dyDescent="0.25">
      <c r="C9095" s="26">
        <v>9093</v>
      </c>
    </row>
    <row r="9096" spans="3:3" x14ac:dyDescent="0.25">
      <c r="C9096" s="26">
        <v>9094</v>
      </c>
    </row>
    <row r="9097" spans="3:3" x14ac:dyDescent="0.25">
      <c r="C9097" s="26">
        <v>9095</v>
      </c>
    </row>
    <row r="9098" spans="3:3" x14ac:dyDescent="0.25">
      <c r="C9098" s="26">
        <v>9096</v>
      </c>
    </row>
    <row r="9099" spans="3:3" x14ac:dyDescent="0.25">
      <c r="C9099" s="26">
        <v>9097</v>
      </c>
    </row>
    <row r="9100" spans="3:3" x14ac:dyDescent="0.25">
      <c r="C9100" s="26">
        <v>9098</v>
      </c>
    </row>
    <row r="9101" spans="3:3" x14ac:dyDescent="0.25">
      <c r="C9101" s="26">
        <v>9099</v>
      </c>
    </row>
    <row r="9102" spans="3:3" x14ac:dyDescent="0.25">
      <c r="C9102" s="26">
        <v>9100</v>
      </c>
    </row>
    <row r="9103" spans="3:3" x14ac:dyDescent="0.25">
      <c r="C9103" s="26">
        <v>9101</v>
      </c>
    </row>
    <row r="9104" spans="3:3" x14ac:dyDescent="0.25">
      <c r="C9104" s="26">
        <v>9102</v>
      </c>
    </row>
    <row r="9105" spans="3:3" x14ac:dyDescent="0.25">
      <c r="C9105" s="26">
        <v>9103</v>
      </c>
    </row>
    <row r="9106" spans="3:3" x14ac:dyDescent="0.25">
      <c r="C9106" s="26">
        <v>9104</v>
      </c>
    </row>
    <row r="9107" spans="3:3" x14ac:dyDescent="0.25">
      <c r="C9107" s="26">
        <v>9105</v>
      </c>
    </row>
    <row r="9108" spans="3:3" x14ac:dyDescent="0.25">
      <c r="C9108" s="26">
        <v>9106</v>
      </c>
    </row>
    <row r="9109" spans="3:3" x14ac:dyDescent="0.25">
      <c r="C9109" s="26">
        <v>9107</v>
      </c>
    </row>
    <row r="9110" spans="3:3" x14ac:dyDescent="0.25">
      <c r="C9110" s="26">
        <v>9108</v>
      </c>
    </row>
    <row r="9111" spans="3:3" x14ac:dyDescent="0.25">
      <c r="C9111" s="26">
        <v>9109</v>
      </c>
    </row>
    <row r="9112" spans="3:3" x14ac:dyDescent="0.25">
      <c r="C9112" s="26">
        <v>9110</v>
      </c>
    </row>
    <row r="9113" spans="3:3" x14ac:dyDescent="0.25">
      <c r="C9113" s="26">
        <v>9111</v>
      </c>
    </row>
    <row r="9114" spans="3:3" x14ac:dyDescent="0.25">
      <c r="C9114" s="26">
        <v>9112</v>
      </c>
    </row>
    <row r="9115" spans="3:3" x14ac:dyDescent="0.25">
      <c r="C9115" s="26">
        <v>9113</v>
      </c>
    </row>
    <row r="9116" spans="3:3" x14ac:dyDescent="0.25">
      <c r="C9116" s="26">
        <v>9114</v>
      </c>
    </row>
    <row r="9117" spans="3:3" x14ac:dyDescent="0.25">
      <c r="C9117" s="26">
        <v>9115</v>
      </c>
    </row>
    <row r="9118" spans="3:3" x14ac:dyDescent="0.25">
      <c r="C9118" s="26">
        <v>9116</v>
      </c>
    </row>
    <row r="9119" spans="3:3" x14ac:dyDescent="0.25">
      <c r="C9119" s="26">
        <v>9117</v>
      </c>
    </row>
    <row r="9120" spans="3:3" x14ac:dyDescent="0.25">
      <c r="C9120" s="26">
        <v>9118</v>
      </c>
    </row>
    <row r="9121" spans="3:3" x14ac:dyDescent="0.25">
      <c r="C9121" s="26">
        <v>9119</v>
      </c>
    </row>
    <row r="9122" spans="3:3" x14ac:dyDescent="0.25">
      <c r="C9122" s="26">
        <v>9120</v>
      </c>
    </row>
    <row r="9123" spans="3:3" x14ac:dyDescent="0.25">
      <c r="C9123" s="26">
        <v>9121</v>
      </c>
    </row>
    <row r="9124" spans="3:3" x14ac:dyDescent="0.25">
      <c r="C9124" s="26">
        <v>9122</v>
      </c>
    </row>
    <row r="9125" spans="3:3" x14ac:dyDescent="0.25">
      <c r="C9125" s="26">
        <v>9123</v>
      </c>
    </row>
    <row r="9126" spans="3:3" x14ac:dyDescent="0.25">
      <c r="C9126" s="26">
        <v>9124</v>
      </c>
    </row>
    <row r="9127" spans="3:3" x14ac:dyDescent="0.25">
      <c r="C9127" s="26">
        <v>9125</v>
      </c>
    </row>
    <row r="9128" spans="3:3" x14ac:dyDescent="0.25">
      <c r="C9128" s="26">
        <v>9126</v>
      </c>
    </row>
    <row r="9129" spans="3:3" x14ac:dyDescent="0.25">
      <c r="C9129" s="26">
        <v>9127</v>
      </c>
    </row>
    <row r="9130" spans="3:3" x14ac:dyDescent="0.25">
      <c r="C9130" s="26">
        <v>9128</v>
      </c>
    </row>
    <row r="9131" spans="3:3" x14ac:dyDescent="0.25">
      <c r="C9131" s="26">
        <v>9129</v>
      </c>
    </row>
    <row r="9132" spans="3:3" x14ac:dyDescent="0.25">
      <c r="C9132" s="26">
        <v>9130</v>
      </c>
    </row>
    <row r="9133" spans="3:3" x14ac:dyDescent="0.25">
      <c r="C9133" s="26">
        <v>9131</v>
      </c>
    </row>
    <row r="9134" spans="3:3" x14ac:dyDescent="0.25">
      <c r="C9134" s="26">
        <v>9132</v>
      </c>
    </row>
    <row r="9135" spans="3:3" x14ac:dyDescent="0.25">
      <c r="C9135" s="26">
        <v>9133</v>
      </c>
    </row>
    <row r="9136" spans="3:3" x14ac:dyDescent="0.25">
      <c r="C9136" s="26">
        <v>9134</v>
      </c>
    </row>
    <row r="9137" spans="3:3" x14ac:dyDescent="0.25">
      <c r="C9137" s="26">
        <v>9135</v>
      </c>
    </row>
    <row r="9138" spans="3:3" x14ac:dyDescent="0.25">
      <c r="C9138" s="26">
        <v>9136</v>
      </c>
    </row>
    <row r="9139" spans="3:3" x14ac:dyDescent="0.25">
      <c r="C9139" s="26">
        <v>9137</v>
      </c>
    </row>
    <row r="9140" spans="3:3" x14ac:dyDescent="0.25">
      <c r="C9140" s="26">
        <v>9138</v>
      </c>
    </row>
    <row r="9141" spans="3:3" x14ac:dyDescent="0.25">
      <c r="C9141" s="26">
        <v>9139</v>
      </c>
    </row>
    <row r="9142" spans="3:3" x14ac:dyDescent="0.25">
      <c r="C9142" s="26">
        <v>9140</v>
      </c>
    </row>
    <row r="9143" spans="3:3" x14ac:dyDescent="0.25">
      <c r="C9143" s="26">
        <v>9141</v>
      </c>
    </row>
    <row r="9144" spans="3:3" x14ac:dyDescent="0.25">
      <c r="C9144" s="26">
        <v>9142</v>
      </c>
    </row>
    <row r="9145" spans="3:3" x14ac:dyDescent="0.25">
      <c r="C9145" s="26">
        <v>9143</v>
      </c>
    </row>
    <row r="9146" spans="3:3" x14ac:dyDescent="0.25">
      <c r="C9146" s="26">
        <v>9144</v>
      </c>
    </row>
    <row r="9147" spans="3:3" x14ac:dyDescent="0.25">
      <c r="C9147" s="26">
        <v>9145</v>
      </c>
    </row>
    <row r="9148" spans="3:3" x14ac:dyDescent="0.25">
      <c r="C9148" s="26">
        <v>9146</v>
      </c>
    </row>
    <row r="9149" spans="3:3" x14ac:dyDescent="0.25">
      <c r="C9149" s="26">
        <v>9147</v>
      </c>
    </row>
    <row r="9150" spans="3:3" x14ac:dyDescent="0.25">
      <c r="C9150" s="26">
        <v>9148</v>
      </c>
    </row>
    <row r="9151" spans="3:3" x14ac:dyDescent="0.25">
      <c r="C9151" s="26">
        <v>9149</v>
      </c>
    </row>
    <row r="9152" spans="3:3" x14ac:dyDescent="0.25">
      <c r="C9152" s="26">
        <v>9150</v>
      </c>
    </row>
    <row r="9153" spans="3:3" x14ac:dyDescent="0.25">
      <c r="C9153" s="26">
        <v>9151</v>
      </c>
    </row>
    <row r="9154" spans="3:3" x14ac:dyDescent="0.25">
      <c r="C9154" s="26">
        <v>9152</v>
      </c>
    </row>
    <row r="9155" spans="3:3" x14ac:dyDescent="0.25">
      <c r="C9155" s="26">
        <v>9153</v>
      </c>
    </row>
    <row r="9156" spans="3:3" x14ac:dyDescent="0.25">
      <c r="C9156" s="26">
        <v>9154</v>
      </c>
    </row>
    <row r="9157" spans="3:3" x14ac:dyDescent="0.25">
      <c r="C9157" s="26">
        <v>9155</v>
      </c>
    </row>
    <row r="9158" spans="3:3" x14ac:dyDescent="0.25">
      <c r="C9158" s="26">
        <v>9156</v>
      </c>
    </row>
    <row r="9159" spans="3:3" x14ac:dyDescent="0.25">
      <c r="C9159" s="26">
        <v>9157</v>
      </c>
    </row>
    <row r="9160" spans="3:3" x14ac:dyDescent="0.25">
      <c r="C9160" s="26">
        <v>9158</v>
      </c>
    </row>
    <row r="9161" spans="3:3" x14ac:dyDescent="0.25">
      <c r="C9161" s="26">
        <v>9159</v>
      </c>
    </row>
    <row r="9162" spans="3:3" x14ac:dyDescent="0.25">
      <c r="C9162" s="26">
        <v>9160</v>
      </c>
    </row>
    <row r="9163" spans="3:3" x14ac:dyDescent="0.25">
      <c r="C9163" s="26">
        <v>9161</v>
      </c>
    </row>
    <row r="9164" spans="3:3" x14ac:dyDescent="0.25">
      <c r="C9164" s="26">
        <v>9162</v>
      </c>
    </row>
    <row r="9165" spans="3:3" x14ac:dyDescent="0.25">
      <c r="C9165" s="26">
        <v>9163</v>
      </c>
    </row>
    <row r="9166" spans="3:3" x14ac:dyDescent="0.25">
      <c r="C9166" s="26">
        <v>9164</v>
      </c>
    </row>
    <row r="9167" spans="3:3" x14ac:dyDescent="0.25">
      <c r="C9167" s="26">
        <v>9165</v>
      </c>
    </row>
    <row r="9168" spans="3:3" x14ac:dyDescent="0.25">
      <c r="C9168" s="26">
        <v>9166</v>
      </c>
    </row>
    <row r="9169" spans="3:3" x14ac:dyDescent="0.25">
      <c r="C9169" s="26">
        <v>9167</v>
      </c>
    </row>
    <row r="9170" spans="3:3" x14ac:dyDescent="0.25">
      <c r="C9170" s="26">
        <v>9168</v>
      </c>
    </row>
    <row r="9171" spans="3:3" x14ac:dyDescent="0.25">
      <c r="C9171" s="26">
        <v>9169</v>
      </c>
    </row>
    <row r="9172" spans="3:3" x14ac:dyDescent="0.25">
      <c r="C9172" s="26">
        <v>9170</v>
      </c>
    </row>
    <row r="9173" spans="3:3" x14ac:dyDescent="0.25">
      <c r="C9173" s="26">
        <v>9171</v>
      </c>
    </row>
    <row r="9174" spans="3:3" x14ac:dyDescent="0.25">
      <c r="C9174" s="26">
        <v>9172</v>
      </c>
    </row>
    <row r="9175" spans="3:3" x14ac:dyDescent="0.25">
      <c r="C9175" s="26">
        <v>9173</v>
      </c>
    </row>
    <row r="9176" spans="3:3" x14ac:dyDescent="0.25">
      <c r="C9176" s="26">
        <v>9174</v>
      </c>
    </row>
    <row r="9177" spans="3:3" x14ac:dyDescent="0.25">
      <c r="C9177" s="26">
        <v>9175</v>
      </c>
    </row>
    <row r="9178" spans="3:3" x14ac:dyDescent="0.25">
      <c r="C9178" s="26">
        <v>9176</v>
      </c>
    </row>
    <row r="9179" spans="3:3" x14ac:dyDescent="0.25">
      <c r="C9179" s="26">
        <v>9177</v>
      </c>
    </row>
    <row r="9180" spans="3:3" x14ac:dyDescent="0.25">
      <c r="C9180" s="26">
        <v>9178</v>
      </c>
    </row>
    <row r="9181" spans="3:3" x14ac:dyDescent="0.25">
      <c r="C9181" s="26">
        <v>9179</v>
      </c>
    </row>
    <row r="9182" spans="3:3" x14ac:dyDescent="0.25">
      <c r="C9182" s="26">
        <v>9180</v>
      </c>
    </row>
    <row r="9183" spans="3:3" x14ac:dyDescent="0.25">
      <c r="C9183" s="26">
        <v>9181</v>
      </c>
    </row>
    <row r="9184" spans="3:3" x14ac:dyDescent="0.25">
      <c r="C9184" s="26">
        <v>9182</v>
      </c>
    </row>
    <row r="9185" spans="3:3" x14ac:dyDescent="0.25">
      <c r="C9185" s="26">
        <v>9183</v>
      </c>
    </row>
    <row r="9186" spans="3:3" x14ac:dyDescent="0.25">
      <c r="C9186" s="26">
        <v>9184</v>
      </c>
    </row>
    <row r="9187" spans="3:3" x14ac:dyDescent="0.25">
      <c r="C9187" s="26">
        <v>9185</v>
      </c>
    </row>
    <row r="9188" spans="3:3" x14ac:dyDescent="0.25">
      <c r="C9188" s="26">
        <v>9186</v>
      </c>
    </row>
    <row r="9189" spans="3:3" x14ac:dyDescent="0.25">
      <c r="C9189" s="26">
        <v>9187</v>
      </c>
    </row>
    <row r="9190" spans="3:3" x14ac:dyDescent="0.25">
      <c r="C9190" s="26">
        <v>9188</v>
      </c>
    </row>
    <row r="9191" spans="3:3" x14ac:dyDescent="0.25">
      <c r="C9191" s="26">
        <v>9189</v>
      </c>
    </row>
    <row r="9192" spans="3:3" x14ac:dyDescent="0.25">
      <c r="C9192" s="26">
        <v>9190</v>
      </c>
    </row>
    <row r="9193" spans="3:3" x14ac:dyDescent="0.25">
      <c r="C9193" s="26">
        <v>9191</v>
      </c>
    </row>
    <row r="9194" spans="3:3" x14ac:dyDescent="0.25">
      <c r="C9194" s="26">
        <v>9192</v>
      </c>
    </row>
    <row r="9195" spans="3:3" x14ac:dyDescent="0.25">
      <c r="C9195" s="26">
        <v>9193</v>
      </c>
    </row>
    <row r="9196" spans="3:3" x14ac:dyDescent="0.25">
      <c r="C9196" s="26">
        <v>9194</v>
      </c>
    </row>
    <row r="9197" spans="3:3" x14ac:dyDescent="0.25">
      <c r="C9197" s="26">
        <v>9195</v>
      </c>
    </row>
    <row r="9198" spans="3:3" x14ac:dyDescent="0.25">
      <c r="C9198" s="26">
        <v>9196</v>
      </c>
    </row>
    <row r="9199" spans="3:3" x14ac:dyDescent="0.25">
      <c r="C9199" s="26">
        <v>9197</v>
      </c>
    </row>
    <row r="9200" spans="3:3" x14ac:dyDescent="0.25">
      <c r="C9200" s="26">
        <v>9198</v>
      </c>
    </row>
    <row r="9201" spans="3:3" x14ac:dyDescent="0.25">
      <c r="C9201" s="26">
        <v>9199</v>
      </c>
    </row>
    <row r="9202" spans="3:3" x14ac:dyDescent="0.25">
      <c r="C9202" s="26">
        <v>9200</v>
      </c>
    </row>
    <row r="9203" spans="3:3" x14ac:dyDescent="0.25">
      <c r="C9203" s="26">
        <v>9201</v>
      </c>
    </row>
    <row r="9204" spans="3:3" x14ac:dyDescent="0.25">
      <c r="C9204" s="26">
        <v>9202</v>
      </c>
    </row>
    <row r="9205" spans="3:3" x14ac:dyDescent="0.25">
      <c r="C9205" s="26">
        <v>9203</v>
      </c>
    </row>
    <row r="9206" spans="3:3" x14ac:dyDescent="0.25">
      <c r="C9206" s="26">
        <v>9204</v>
      </c>
    </row>
    <row r="9207" spans="3:3" x14ac:dyDescent="0.25">
      <c r="C9207" s="26">
        <v>9205</v>
      </c>
    </row>
    <row r="9208" spans="3:3" x14ac:dyDescent="0.25">
      <c r="C9208" s="26">
        <v>9206</v>
      </c>
    </row>
    <row r="9209" spans="3:3" x14ac:dyDescent="0.25">
      <c r="C9209" s="26">
        <v>9207</v>
      </c>
    </row>
    <row r="9210" spans="3:3" x14ac:dyDescent="0.25">
      <c r="C9210" s="26">
        <v>9208</v>
      </c>
    </row>
    <row r="9211" spans="3:3" x14ac:dyDescent="0.25">
      <c r="C9211" s="26">
        <v>9209</v>
      </c>
    </row>
    <row r="9212" spans="3:3" x14ac:dyDescent="0.25">
      <c r="C9212" s="26">
        <v>9210</v>
      </c>
    </row>
    <row r="9213" spans="3:3" x14ac:dyDescent="0.25">
      <c r="C9213" s="26">
        <v>9211</v>
      </c>
    </row>
    <row r="9214" spans="3:3" x14ac:dyDescent="0.25">
      <c r="C9214" s="26">
        <v>9212</v>
      </c>
    </row>
    <row r="9215" spans="3:3" x14ac:dyDescent="0.25">
      <c r="C9215" s="26">
        <v>9213</v>
      </c>
    </row>
    <row r="9216" spans="3:3" x14ac:dyDescent="0.25">
      <c r="C9216" s="26">
        <v>9214</v>
      </c>
    </row>
    <row r="9217" spans="3:3" x14ac:dyDescent="0.25">
      <c r="C9217" s="26">
        <v>9215</v>
      </c>
    </row>
    <row r="9218" spans="3:3" x14ac:dyDescent="0.25">
      <c r="C9218" s="26">
        <v>9216</v>
      </c>
    </row>
    <row r="9219" spans="3:3" x14ac:dyDescent="0.25">
      <c r="C9219" s="26">
        <v>9217</v>
      </c>
    </row>
    <row r="9220" spans="3:3" x14ac:dyDescent="0.25">
      <c r="C9220" s="26">
        <v>9218</v>
      </c>
    </row>
    <row r="9221" spans="3:3" x14ac:dyDescent="0.25">
      <c r="C9221" s="26">
        <v>9219</v>
      </c>
    </row>
    <row r="9222" spans="3:3" x14ac:dyDescent="0.25">
      <c r="C9222" s="26">
        <v>9220</v>
      </c>
    </row>
    <row r="9223" spans="3:3" x14ac:dyDescent="0.25">
      <c r="C9223" s="26">
        <v>9221</v>
      </c>
    </row>
    <row r="9224" spans="3:3" x14ac:dyDescent="0.25">
      <c r="C9224" s="26">
        <v>9222</v>
      </c>
    </row>
    <row r="9225" spans="3:3" x14ac:dyDescent="0.25">
      <c r="C9225" s="26">
        <v>9223</v>
      </c>
    </row>
    <row r="9226" spans="3:3" x14ac:dyDescent="0.25">
      <c r="C9226" s="26">
        <v>9224</v>
      </c>
    </row>
    <row r="9227" spans="3:3" x14ac:dyDescent="0.25">
      <c r="C9227" s="26">
        <v>9225</v>
      </c>
    </row>
    <row r="9228" spans="3:3" x14ac:dyDescent="0.25">
      <c r="C9228" s="26">
        <v>9226</v>
      </c>
    </row>
    <row r="9229" spans="3:3" x14ac:dyDescent="0.25">
      <c r="C9229" s="26">
        <v>9227</v>
      </c>
    </row>
    <row r="9230" spans="3:3" x14ac:dyDescent="0.25">
      <c r="C9230" s="26">
        <v>9228</v>
      </c>
    </row>
    <row r="9231" spans="3:3" x14ac:dyDescent="0.25">
      <c r="C9231" s="26">
        <v>9229</v>
      </c>
    </row>
    <row r="9232" spans="3:3" x14ac:dyDescent="0.25">
      <c r="C9232" s="26">
        <v>9230</v>
      </c>
    </row>
    <row r="9233" spans="3:3" x14ac:dyDescent="0.25">
      <c r="C9233" s="26">
        <v>9231</v>
      </c>
    </row>
    <row r="9234" spans="3:3" x14ac:dyDescent="0.25">
      <c r="C9234" s="26">
        <v>9232</v>
      </c>
    </row>
    <row r="9235" spans="3:3" x14ac:dyDescent="0.25">
      <c r="C9235" s="26">
        <v>9233</v>
      </c>
    </row>
    <row r="9236" spans="3:3" x14ac:dyDescent="0.25">
      <c r="C9236" s="26">
        <v>9234</v>
      </c>
    </row>
    <row r="9237" spans="3:3" x14ac:dyDescent="0.25">
      <c r="C9237" s="26">
        <v>9235</v>
      </c>
    </row>
    <row r="9238" spans="3:3" x14ac:dyDescent="0.25">
      <c r="C9238" s="26">
        <v>9236</v>
      </c>
    </row>
    <row r="9239" spans="3:3" x14ac:dyDescent="0.25">
      <c r="C9239" s="26">
        <v>9237</v>
      </c>
    </row>
    <row r="9240" spans="3:3" x14ac:dyDescent="0.25">
      <c r="C9240" s="26">
        <v>9238</v>
      </c>
    </row>
    <row r="9241" spans="3:3" x14ac:dyDescent="0.25">
      <c r="C9241" s="26">
        <v>9239</v>
      </c>
    </row>
    <row r="9242" spans="3:3" x14ac:dyDescent="0.25">
      <c r="C9242" s="26">
        <v>9240</v>
      </c>
    </row>
    <row r="9243" spans="3:3" x14ac:dyDescent="0.25">
      <c r="C9243" s="26">
        <v>9241</v>
      </c>
    </row>
    <row r="9244" spans="3:3" x14ac:dyDescent="0.25">
      <c r="C9244" s="26">
        <v>9242</v>
      </c>
    </row>
    <row r="9245" spans="3:3" x14ac:dyDescent="0.25">
      <c r="C9245" s="26">
        <v>9243</v>
      </c>
    </row>
    <row r="9246" spans="3:3" x14ac:dyDescent="0.25">
      <c r="C9246" s="26">
        <v>9244</v>
      </c>
    </row>
    <row r="9247" spans="3:3" x14ac:dyDescent="0.25">
      <c r="C9247" s="26">
        <v>9245</v>
      </c>
    </row>
    <row r="9248" spans="3:3" x14ac:dyDescent="0.25">
      <c r="C9248" s="26">
        <v>9246</v>
      </c>
    </row>
    <row r="9249" spans="3:3" x14ac:dyDescent="0.25">
      <c r="C9249" s="26">
        <v>9247</v>
      </c>
    </row>
    <row r="9250" spans="3:3" x14ac:dyDescent="0.25">
      <c r="C9250" s="26">
        <v>9248</v>
      </c>
    </row>
    <row r="9251" spans="3:3" x14ac:dyDescent="0.25">
      <c r="C9251" s="26">
        <v>9249</v>
      </c>
    </row>
    <row r="9252" spans="3:3" x14ac:dyDescent="0.25">
      <c r="C9252" s="26">
        <v>9250</v>
      </c>
    </row>
    <row r="9253" spans="3:3" x14ac:dyDescent="0.25">
      <c r="C9253" s="26">
        <v>9251</v>
      </c>
    </row>
    <row r="9254" spans="3:3" x14ac:dyDescent="0.25">
      <c r="C9254" s="26">
        <v>9252</v>
      </c>
    </row>
    <row r="9255" spans="3:3" x14ac:dyDescent="0.25">
      <c r="C9255" s="26">
        <v>9253</v>
      </c>
    </row>
    <row r="9256" spans="3:3" x14ac:dyDescent="0.25">
      <c r="C9256" s="26">
        <v>9254</v>
      </c>
    </row>
    <row r="9257" spans="3:3" x14ac:dyDescent="0.25">
      <c r="C9257" s="26">
        <v>9255</v>
      </c>
    </row>
    <row r="9258" spans="3:3" x14ac:dyDescent="0.25">
      <c r="C9258" s="26">
        <v>9256</v>
      </c>
    </row>
    <row r="9259" spans="3:3" x14ac:dyDescent="0.25">
      <c r="C9259" s="26">
        <v>9257</v>
      </c>
    </row>
    <row r="9260" spans="3:3" x14ac:dyDescent="0.25">
      <c r="C9260" s="26">
        <v>9258</v>
      </c>
    </row>
    <row r="9261" spans="3:3" x14ac:dyDescent="0.25">
      <c r="C9261" s="26">
        <v>9259</v>
      </c>
    </row>
    <row r="9262" spans="3:3" x14ac:dyDescent="0.25">
      <c r="C9262" s="26">
        <v>9260</v>
      </c>
    </row>
    <row r="9263" spans="3:3" x14ac:dyDescent="0.25">
      <c r="C9263" s="26">
        <v>9261</v>
      </c>
    </row>
    <row r="9264" spans="3:3" x14ac:dyDescent="0.25">
      <c r="C9264" s="26">
        <v>9262</v>
      </c>
    </row>
    <row r="9265" spans="3:3" x14ac:dyDescent="0.25">
      <c r="C9265" s="26">
        <v>9263</v>
      </c>
    </row>
    <row r="9266" spans="3:3" x14ac:dyDescent="0.25">
      <c r="C9266" s="26">
        <v>9264</v>
      </c>
    </row>
    <row r="9267" spans="3:3" x14ac:dyDescent="0.25">
      <c r="C9267" s="26">
        <v>9265</v>
      </c>
    </row>
    <row r="9268" spans="3:3" x14ac:dyDescent="0.25">
      <c r="C9268" s="26">
        <v>9266</v>
      </c>
    </row>
    <row r="9269" spans="3:3" x14ac:dyDescent="0.25">
      <c r="C9269" s="26">
        <v>9267</v>
      </c>
    </row>
    <row r="9270" spans="3:3" x14ac:dyDescent="0.25">
      <c r="C9270" s="26">
        <v>9268</v>
      </c>
    </row>
    <row r="9271" spans="3:3" x14ac:dyDescent="0.25">
      <c r="C9271" s="26">
        <v>9269</v>
      </c>
    </row>
    <row r="9272" spans="3:3" x14ac:dyDescent="0.25">
      <c r="C9272" s="26">
        <v>9270</v>
      </c>
    </row>
    <row r="9273" spans="3:3" x14ac:dyDescent="0.25">
      <c r="C9273" s="26">
        <v>9271</v>
      </c>
    </row>
    <row r="9274" spans="3:3" x14ac:dyDescent="0.25">
      <c r="C9274" s="26">
        <v>9272</v>
      </c>
    </row>
    <row r="9275" spans="3:3" x14ac:dyDescent="0.25">
      <c r="C9275" s="26">
        <v>9273</v>
      </c>
    </row>
    <row r="9276" spans="3:3" x14ac:dyDescent="0.25">
      <c r="C9276" s="26">
        <v>9274</v>
      </c>
    </row>
    <row r="9277" spans="3:3" x14ac:dyDescent="0.25">
      <c r="C9277" s="26">
        <v>9275</v>
      </c>
    </row>
    <row r="9278" spans="3:3" x14ac:dyDescent="0.25">
      <c r="C9278" s="26">
        <v>9276</v>
      </c>
    </row>
    <row r="9279" spans="3:3" x14ac:dyDescent="0.25">
      <c r="C9279" s="26">
        <v>9277</v>
      </c>
    </row>
    <row r="9280" spans="3:3" x14ac:dyDescent="0.25">
      <c r="C9280" s="26">
        <v>9278</v>
      </c>
    </row>
    <row r="9281" spans="3:3" x14ac:dyDescent="0.25">
      <c r="C9281" s="26">
        <v>9279</v>
      </c>
    </row>
    <row r="9282" spans="3:3" x14ac:dyDescent="0.25">
      <c r="C9282" s="26">
        <v>9280</v>
      </c>
    </row>
    <row r="9283" spans="3:3" x14ac:dyDescent="0.25">
      <c r="C9283" s="26">
        <v>9281</v>
      </c>
    </row>
    <row r="9284" spans="3:3" x14ac:dyDescent="0.25">
      <c r="C9284" s="26">
        <v>9282</v>
      </c>
    </row>
    <row r="9285" spans="3:3" x14ac:dyDescent="0.25">
      <c r="C9285" s="26">
        <v>9283</v>
      </c>
    </row>
    <row r="9286" spans="3:3" x14ac:dyDescent="0.25">
      <c r="C9286" s="26">
        <v>9284</v>
      </c>
    </row>
    <row r="9287" spans="3:3" x14ac:dyDescent="0.25">
      <c r="C9287" s="26">
        <v>9285</v>
      </c>
    </row>
    <row r="9288" spans="3:3" x14ac:dyDescent="0.25">
      <c r="C9288" s="26">
        <v>9286</v>
      </c>
    </row>
    <row r="9289" spans="3:3" x14ac:dyDescent="0.25">
      <c r="C9289" s="26">
        <v>9287</v>
      </c>
    </row>
    <row r="9290" spans="3:3" x14ac:dyDescent="0.25">
      <c r="C9290" s="26">
        <v>9288</v>
      </c>
    </row>
    <row r="9291" spans="3:3" x14ac:dyDescent="0.25">
      <c r="C9291" s="26">
        <v>9289</v>
      </c>
    </row>
    <row r="9292" spans="3:3" x14ac:dyDescent="0.25">
      <c r="C9292" s="26">
        <v>9290</v>
      </c>
    </row>
    <row r="9293" spans="3:3" x14ac:dyDescent="0.25">
      <c r="C9293" s="26">
        <v>9291</v>
      </c>
    </row>
    <row r="9294" spans="3:3" x14ac:dyDescent="0.25">
      <c r="C9294" s="26">
        <v>9292</v>
      </c>
    </row>
    <row r="9295" spans="3:3" x14ac:dyDescent="0.25">
      <c r="C9295" s="26">
        <v>9293</v>
      </c>
    </row>
    <row r="9296" spans="3:3" x14ac:dyDescent="0.25">
      <c r="C9296" s="26">
        <v>9294</v>
      </c>
    </row>
    <row r="9297" spans="3:3" x14ac:dyDescent="0.25">
      <c r="C9297" s="26">
        <v>9295</v>
      </c>
    </row>
    <row r="9298" spans="3:3" x14ac:dyDescent="0.25">
      <c r="C9298" s="26">
        <v>9296</v>
      </c>
    </row>
    <row r="9299" spans="3:3" x14ac:dyDescent="0.25">
      <c r="C9299" s="26">
        <v>9297</v>
      </c>
    </row>
    <row r="9300" spans="3:3" x14ac:dyDescent="0.25">
      <c r="C9300" s="26">
        <v>9298</v>
      </c>
    </row>
    <row r="9301" spans="3:3" x14ac:dyDescent="0.25">
      <c r="C9301" s="26">
        <v>9299</v>
      </c>
    </row>
    <row r="9302" spans="3:3" x14ac:dyDescent="0.25">
      <c r="C9302" s="26">
        <v>9300</v>
      </c>
    </row>
    <row r="9303" spans="3:3" x14ac:dyDescent="0.25">
      <c r="C9303" s="26">
        <v>9301</v>
      </c>
    </row>
    <row r="9304" spans="3:3" x14ac:dyDescent="0.25">
      <c r="C9304" s="26">
        <v>9302</v>
      </c>
    </row>
    <row r="9305" spans="3:3" x14ac:dyDescent="0.25">
      <c r="C9305" s="26">
        <v>9303</v>
      </c>
    </row>
    <row r="9306" spans="3:3" x14ac:dyDescent="0.25">
      <c r="C9306" s="26">
        <v>9304</v>
      </c>
    </row>
    <row r="9307" spans="3:3" x14ac:dyDescent="0.25">
      <c r="C9307" s="26">
        <v>9305</v>
      </c>
    </row>
    <row r="9308" spans="3:3" x14ac:dyDescent="0.25">
      <c r="C9308" s="26">
        <v>9306</v>
      </c>
    </row>
    <row r="9309" spans="3:3" x14ac:dyDescent="0.25">
      <c r="C9309" s="26">
        <v>9307</v>
      </c>
    </row>
    <row r="9310" spans="3:3" x14ac:dyDescent="0.25">
      <c r="C9310" s="26">
        <v>9308</v>
      </c>
    </row>
    <row r="9311" spans="3:3" x14ac:dyDescent="0.25">
      <c r="C9311" s="26">
        <v>9309</v>
      </c>
    </row>
    <row r="9312" spans="3:3" x14ac:dyDescent="0.25">
      <c r="C9312" s="26">
        <v>9310</v>
      </c>
    </row>
    <row r="9313" spans="3:3" x14ac:dyDescent="0.25">
      <c r="C9313" s="26">
        <v>9311</v>
      </c>
    </row>
    <row r="9314" spans="3:3" x14ac:dyDescent="0.25">
      <c r="C9314" s="26">
        <v>9312</v>
      </c>
    </row>
    <row r="9315" spans="3:3" x14ac:dyDescent="0.25">
      <c r="C9315" s="26">
        <v>9313</v>
      </c>
    </row>
    <row r="9316" spans="3:3" x14ac:dyDescent="0.25">
      <c r="C9316" s="26">
        <v>9314</v>
      </c>
    </row>
    <row r="9317" spans="3:3" x14ac:dyDescent="0.25">
      <c r="C9317" s="26">
        <v>9315</v>
      </c>
    </row>
    <row r="9318" spans="3:3" x14ac:dyDescent="0.25">
      <c r="C9318" s="26">
        <v>9316</v>
      </c>
    </row>
    <row r="9319" spans="3:3" x14ac:dyDescent="0.25">
      <c r="C9319" s="26">
        <v>9317</v>
      </c>
    </row>
    <row r="9320" spans="3:3" x14ac:dyDescent="0.25">
      <c r="C9320" s="26">
        <v>9318</v>
      </c>
    </row>
    <row r="9321" spans="3:3" x14ac:dyDescent="0.25">
      <c r="C9321" s="26">
        <v>9319</v>
      </c>
    </row>
    <row r="9322" spans="3:3" x14ac:dyDescent="0.25">
      <c r="C9322" s="26">
        <v>9320</v>
      </c>
    </row>
    <row r="9323" spans="3:3" x14ac:dyDescent="0.25">
      <c r="C9323" s="26">
        <v>9321</v>
      </c>
    </row>
    <row r="9324" spans="3:3" x14ac:dyDescent="0.25">
      <c r="C9324" s="26">
        <v>9322</v>
      </c>
    </row>
    <row r="9325" spans="3:3" x14ac:dyDescent="0.25">
      <c r="C9325" s="26">
        <v>9323</v>
      </c>
    </row>
    <row r="9326" spans="3:3" x14ac:dyDescent="0.25">
      <c r="C9326" s="26">
        <v>9324</v>
      </c>
    </row>
    <row r="9327" spans="3:3" x14ac:dyDescent="0.25">
      <c r="C9327" s="26">
        <v>9325</v>
      </c>
    </row>
    <row r="9328" spans="3:3" x14ac:dyDescent="0.25">
      <c r="C9328" s="26">
        <v>9326</v>
      </c>
    </row>
    <row r="9329" spans="3:3" x14ac:dyDescent="0.25">
      <c r="C9329" s="26">
        <v>9327</v>
      </c>
    </row>
    <row r="9330" spans="3:3" x14ac:dyDescent="0.25">
      <c r="C9330" s="26">
        <v>9328</v>
      </c>
    </row>
    <row r="9331" spans="3:3" x14ac:dyDescent="0.25">
      <c r="C9331" s="26">
        <v>9329</v>
      </c>
    </row>
    <row r="9332" spans="3:3" x14ac:dyDescent="0.25">
      <c r="C9332" s="26">
        <v>9330</v>
      </c>
    </row>
    <row r="9333" spans="3:3" x14ac:dyDescent="0.25">
      <c r="C9333" s="26">
        <v>9331</v>
      </c>
    </row>
    <row r="9334" spans="3:3" x14ac:dyDescent="0.25">
      <c r="C9334" s="26">
        <v>9332</v>
      </c>
    </row>
    <row r="9335" spans="3:3" x14ac:dyDescent="0.25">
      <c r="C9335" s="26">
        <v>9333</v>
      </c>
    </row>
    <row r="9336" spans="3:3" x14ac:dyDescent="0.25">
      <c r="C9336" s="26">
        <v>9334</v>
      </c>
    </row>
    <row r="9337" spans="3:3" x14ac:dyDescent="0.25">
      <c r="C9337" s="26">
        <v>9335</v>
      </c>
    </row>
    <row r="9338" spans="3:3" x14ac:dyDescent="0.25">
      <c r="C9338" s="26">
        <v>9336</v>
      </c>
    </row>
    <row r="9339" spans="3:3" x14ac:dyDescent="0.25">
      <c r="C9339" s="26">
        <v>9337</v>
      </c>
    </row>
    <row r="9340" spans="3:3" x14ac:dyDescent="0.25">
      <c r="C9340" s="26">
        <v>9338</v>
      </c>
    </row>
    <row r="9341" spans="3:3" x14ac:dyDescent="0.25">
      <c r="C9341" s="26">
        <v>9339</v>
      </c>
    </row>
    <row r="9342" spans="3:3" x14ac:dyDescent="0.25">
      <c r="C9342" s="26">
        <v>9340</v>
      </c>
    </row>
    <row r="9343" spans="3:3" x14ac:dyDescent="0.25">
      <c r="C9343" s="26">
        <v>9341</v>
      </c>
    </row>
    <row r="9344" spans="3:3" x14ac:dyDescent="0.25">
      <c r="C9344" s="26">
        <v>9342</v>
      </c>
    </row>
    <row r="9345" spans="3:3" x14ac:dyDescent="0.25">
      <c r="C9345" s="26">
        <v>9343</v>
      </c>
    </row>
    <row r="9346" spans="3:3" x14ac:dyDescent="0.25">
      <c r="C9346" s="26">
        <v>9344</v>
      </c>
    </row>
    <row r="9347" spans="3:3" x14ac:dyDescent="0.25">
      <c r="C9347" s="26">
        <v>9345</v>
      </c>
    </row>
    <row r="9348" spans="3:3" x14ac:dyDescent="0.25">
      <c r="C9348" s="26">
        <v>9346</v>
      </c>
    </row>
    <row r="9349" spans="3:3" x14ac:dyDescent="0.25">
      <c r="C9349" s="26">
        <v>9347</v>
      </c>
    </row>
    <row r="9350" spans="3:3" x14ac:dyDescent="0.25">
      <c r="C9350" s="26">
        <v>9348</v>
      </c>
    </row>
    <row r="9351" spans="3:3" x14ac:dyDescent="0.25">
      <c r="C9351" s="26">
        <v>9349</v>
      </c>
    </row>
    <row r="9352" spans="3:3" x14ac:dyDescent="0.25">
      <c r="C9352" s="26">
        <v>9350</v>
      </c>
    </row>
    <row r="9353" spans="3:3" x14ac:dyDescent="0.25">
      <c r="C9353" s="26">
        <v>9351</v>
      </c>
    </row>
    <row r="9354" spans="3:3" x14ac:dyDescent="0.25">
      <c r="C9354" s="26">
        <v>9352</v>
      </c>
    </row>
    <row r="9355" spans="3:3" x14ac:dyDescent="0.25">
      <c r="C9355" s="26">
        <v>9353</v>
      </c>
    </row>
    <row r="9356" spans="3:3" x14ac:dyDescent="0.25">
      <c r="C9356" s="26">
        <v>9354</v>
      </c>
    </row>
    <row r="9357" spans="3:3" x14ac:dyDescent="0.25">
      <c r="C9357" s="26">
        <v>9355</v>
      </c>
    </row>
    <row r="9358" spans="3:3" x14ac:dyDescent="0.25">
      <c r="C9358" s="26">
        <v>9356</v>
      </c>
    </row>
    <row r="9359" spans="3:3" x14ac:dyDescent="0.25">
      <c r="C9359" s="26">
        <v>9357</v>
      </c>
    </row>
    <row r="9360" spans="3:3" x14ac:dyDescent="0.25">
      <c r="C9360" s="26">
        <v>9358</v>
      </c>
    </row>
    <row r="9361" spans="3:3" x14ac:dyDescent="0.25">
      <c r="C9361" s="26">
        <v>9359</v>
      </c>
    </row>
    <row r="9362" spans="3:3" x14ac:dyDescent="0.25">
      <c r="C9362" s="26">
        <v>9360</v>
      </c>
    </row>
    <row r="9363" spans="3:3" x14ac:dyDescent="0.25">
      <c r="C9363" s="26">
        <v>9361</v>
      </c>
    </row>
    <row r="9364" spans="3:3" x14ac:dyDescent="0.25">
      <c r="C9364" s="26">
        <v>9362</v>
      </c>
    </row>
    <row r="9365" spans="3:3" x14ac:dyDescent="0.25">
      <c r="C9365" s="26">
        <v>9363</v>
      </c>
    </row>
    <row r="9366" spans="3:3" x14ac:dyDescent="0.25">
      <c r="C9366" s="26">
        <v>9364</v>
      </c>
    </row>
    <row r="9367" spans="3:3" x14ac:dyDescent="0.25">
      <c r="C9367" s="26">
        <v>9365</v>
      </c>
    </row>
    <row r="9368" spans="3:3" x14ac:dyDescent="0.25">
      <c r="C9368" s="26">
        <v>9366</v>
      </c>
    </row>
    <row r="9369" spans="3:3" x14ac:dyDescent="0.25">
      <c r="C9369" s="26">
        <v>9367</v>
      </c>
    </row>
    <row r="9370" spans="3:3" x14ac:dyDescent="0.25">
      <c r="C9370" s="26">
        <v>9368</v>
      </c>
    </row>
    <row r="9371" spans="3:3" x14ac:dyDescent="0.25">
      <c r="C9371" s="26">
        <v>9369</v>
      </c>
    </row>
    <row r="9372" spans="3:3" x14ac:dyDescent="0.25">
      <c r="C9372" s="26">
        <v>9370</v>
      </c>
    </row>
    <row r="9373" spans="3:3" x14ac:dyDescent="0.25">
      <c r="C9373" s="26">
        <v>9371</v>
      </c>
    </row>
    <row r="9374" spans="3:3" x14ac:dyDescent="0.25">
      <c r="C9374" s="26">
        <v>9372</v>
      </c>
    </row>
    <row r="9375" spans="3:3" x14ac:dyDescent="0.25">
      <c r="C9375" s="26">
        <v>9373</v>
      </c>
    </row>
    <row r="9376" spans="3:3" x14ac:dyDescent="0.25">
      <c r="C9376" s="26">
        <v>9374</v>
      </c>
    </row>
    <row r="9377" spans="3:3" x14ac:dyDescent="0.25">
      <c r="C9377" s="26">
        <v>9375</v>
      </c>
    </row>
    <row r="9378" spans="3:3" x14ac:dyDescent="0.25">
      <c r="C9378" s="26">
        <v>9376</v>
      </c>
    </row>
    <row r="9379" spans="3:3" x14ac:dyDescent="0.25">
      <c r="C9379" s="26">
        <v>9377</v>
      </c>
    </row>
    <row r="9380" spans="3:3" x14ac:dyDescent="0.25">
      <c r="C9380" s="26">
        <v>9378</v>
      </c>
    </row>
    <row r="9381" spans="3:3" x14ac:dyDescent="0.25">
      <c r="C9381" s="26">
        <v>9379</v>
      </c>
    </row>
    <row r="9382" spans="3:3" x14ac:dyDescent="0.25">
      <c r="C9382" s="26">
        <v>9380</v>
      </c>
    </row>
    <row r="9383" spans="3:3" x14ac:dyDescent="0.25">
      <c r="C9383" s="26">
        <v>9381</v>
      </c>
    </row>
    <row r="9384" spans="3:3" x14ac:dyDescent="0.25">
      <c r="C9384" s="26">
        <v>9382</v>
      </c>
    </row>
    <row r="9385" spans="3:3" x14ac:dyDescent="0.25">
      <c r="C9385" s="26">
        <v>9383</v>
      </c>
    </row>
    <row r="9386" spans="3:3" x14ac:dyDescent="0.25">
      <c r="C9386" s="26">
        <v>9384</v>
      </c>
    </row>
    <row r="9387" spans="3:3" x14ac:dyDescent="0.25">
      <c r="C9387" s="26">
        <v>9385</v>
      </c>
    </row>
    <row r="9388" spans="3:3" x14ac:dyDescent="0.25">
      <c r="C9388" s="26">
        <v>9386</v>
      </c>
    </row>
    <row r="9389" spans="3:3" x14ac:dyDescent="0.25">
      <c r="C9389" s="26">
        <v>9387</v>
      </c>
    </row>
    <row r="9390" spans="3:3" x14ac:dyDescent="0.25">
      <c r="C9390" s="26">
        <v>9388</v>
      </c>
    </row>
    <row r="9391" spans="3:3" x14ac:dyDescent="0.25">
      <c r="C9391" s="26">
        <v>9389</v>
      </c>
    </row>
    <row r="9392" spans="3:3" x14ac:dyDescent="0.25">
      <c r="C9392" s="26">
        <v>9390</v>
      </c>
    </row>
    <row r="9393" spans="3:3" x14ac:dyDescent="0.25">
      <c r="C9393" s="26">
        <v>9391</v>
      </c>
    </row>
    <row r="9394" spans="3:3" x14ac:dyDescent="0.25">
      <c r="C9394" s="26">
        <v>9392</v>
      </c>
    </row>
    <row r="9395" spans="3:3" x14ac:dyDescent="0.25">
      <c r="C9395" s="26">
        <v>9393</v>
      </c>
    </row>
    <row r="9396" spans="3:3" x14ac:dyDescent="0.25">
      <c r="C9396" s="26">
        <v>9394</v>
      </c>
    </row>
    <row r="9397" spans="3:3" x14ac:dyDescent="0.25">
      <c r="C9397" s="26">
        <v>9395</v>
      </c>
    </row>
    <row r="9398" spans="3:3" x14ac:dyDescent="0.25">
      <c r="C9398" s="26">
        <v>9396</v>
      </c>
    </row>
    <row r="9399" spans="3:3" x14ac:dyDescent="0.25">
      <c r="C9399" s="26">
        <v>9397</v>
      </c>
    </row>
    <row r="9400" spans="3:3" x14ac:dyDescent="0.25">
      <c r="C9400" s="26">
        <v>9398</v>
      </c>
    </row>
    <row r="9401" spans="3:3" x14ac:dyDescent="0.25">
      <c r="C9401" s="26">
        <v>9399</v>
      </c>
    </row>
    <row r="9402" spans="3:3" x14ac:dyDescent="0.25">
      <c r="C9402" s="26">
        <v>9400</v>
      </c>
    </row>
    <row r="9403" spans="3:3" x14ac:dyDescent="0.25">
      <c r="C9403" s="26">
        <v>9401</v>
      </c>
    </row>
    <row r="9404" spans="3:3" x14ac:dyDescent="0.25">
      <c r="C9404" s="26">
        <v>9402</v>
      </c>
    </row>
    <row r="9405" spans="3:3" x14ac:dyDescent="0.25">
      <c r="C9405" s="26">
        <v>9403</v>
      </c>
    </row>
    <row r="9406" spans="3:3" x14ac:dyDescent="0.25">
      <c r="C9406" s="26">
        <v>9404</v>
      </c>
    </row>
    <row r="9407" spans="3:3" x14ac:dyDescent="0.25">
      <c r="C9407" s="26">
        <v>9405</v>
      </c>
    </row>
    <row r="9408" spans="3:3" x14ac:dyDescent="0.25">
      <c r="C9408" s="26">
        <v>9406</v>
      </c>
    </row>
    <row r="9409" spans="3:3" x14ac:dyDescent="0.25">
      <c r="C9409" s="26">
        <v>9407</v>
      </c>
    </row>
    <row r="9410" spans="3:3" x14ac:dyDescent="0.25">
      <c r="C9410" s="26">
        <v>9408</v>
      </c>
    </row>
    <row r="9411" spans="3:3" x14ac:dyDescent="0.25">
      <c r="C9411" s="26">
        <v>9409</v>
      </c>
    </row>
    <row r="9412" spans="3:3" x14ac:dyDescent="0.25">
      <c r="C9412" s="26">
        <v>9410</v>
      </c>
    </row>
    <row r="9413" spans="3:3" x14ac:dyDescent="0.25">
      <c r="C9413" s="26">
        <v>9411</v>
      </c>
    </row>
    <row r="9414" spans="3:3" x14ac:dyDescent="0.25">
      <c r="C9414" s="26">
        <v>9412</v>
      </c>
    </row>
    <row r="9415" spans="3:3" x14ac:dyDescent="0.25">
      <c r="C9415" s="26">
        <v>9413</v>
      </c>
    </row>
    <row r="9416" spans="3:3" x14ac:dyDescent="0.25">
      <c r="C9416" s="26">
        <v>9414</v>
      </c>
    </row>
    <row r="9417" spans="3:3" x14ac:dyDescent="0.25">
      <c r="C9417" s="26">
        <v>9415</v>
      </c>
    </row>
    <row r="9418" spans="3:3" x14ac:dyDescent="0.25">
      <c r="C9418" s="26">
        <v>9416</v>
      </c>
    </row>
    <row r="9419" spans="3:3" x14ac:dyDescent="0.25">
      <c r="C9419" s="26">
        <v>9417</v>
      </c>
    </row>
    <row r="9420" spans="3:3" x14ac:dyDescent="0.25">
      <c r="C9420" s="26">
        <v>9418</v>
      </c>
    </row>
    <row r="9421" spans="3:3" x14ac:dyDescent="0.25">
      <c r="C9421" s="26">
        <v>9419</v>
      </c>
    </row>
    <row r="9422" spans="3:3" x14ac:dyDescent="0.25">
      <c r="C9422" s="26">
        <v>9420</v>
      </c>
    </row>
    <row r="9423" spans="3:3" x14ac:dyDescent="0.25">
      <c r="C9423" s="26">
        <v>9421</v>
      </c>
    </row>
    <row r="9424" spans="3:3" x14ac:dyDescent="0.25">
      <c r="C9424" s="26">
        <v>9422</v>
      </c>
    </row>
    <row r="9425" spans="3:3" x14ac:dyDescent="0.25">
      <c r="C9425" s="26">
        <v>9423</v>
      </c>
    </row>
    <row r="9426" spans="3:3" x14ac:dyDescent="0.25">
      <c r="C9426" s="26">
        <v>9424</v>
      </c>
    </row>
    <row r="9427" spans="3:3" x14ac:dyDescent="0.25">
      <c r="C9427" s="26">
        <v>9425</v>
      </c>
    </row>
    <row r="9428" spans="3:3" x14ac:dyDescent="0.25">
      <c r="C9428" s="26">
        <v>9426</v>
      </c>
    </row>
    <row r="9429" spans="3:3" x14ac:dyDescent="0.25">
      <c r="C9429" s="26">
        <v>9427</v>
      </c>
    </row>
    <row r="9430" spans="3:3" x14ac:dyDescent="0.25">
      <c r="C9430" s="26">
        <v>9428</v>
      </c>
    </row>
    <row r="9431" spans="3:3" x14ac:dyDescent="0.25">
      <c r="C9431" s="26">
        <v>9429</v>
      </c>
    </row>
    <row r="9432" spans="3:3" x14ac:dyDescent="0.25">
      <c r="C9432" s="26">
        <v>9430</v>
      </c>
    </row>
    <row r="9433" spans="3:3" x14ac:dyDescent="0.25">
      <c r="C9433" s="26">
        <v>9431</v>
      </c>
    </row>
    <row r="9434" spans="3:3" x14ac:dyDescent="0.25">
      <c r="C9434" s="26">
        <v>9432</v>
      </c>
    </row>
    <row r="9435" spans="3:3" x14ac:dyDescent="0.25">
      <c r="C9435" s="26">
        <v>9433</v>
      </c>
    </row>
    <row r="9436" spans="3:3" x14ac:dyDescent="0.25">
      <c r="C9436" s="26">
        <v>9434</v>
      </c>
    </row>
    <row r="9437" spans="3:3" x14ac:dyDescent="0.25">
      <c r="C9437" s="26">
        <v>9435</v>
      </c>
    </row>
    <row r="9438" spans="3:3" x14ac:dyDescent="0.25">
      <c r="C9438" s="26">
        <v>9436</v>
      </c>
    </row>
    <row r="9439" spans="3:3" x14ac:dyDescent="0.25">
      <c r="C9439" s="26">
        <v>9437</v>
      </c>
    </row>
    <row r="9440" spans="3:3" x14ac:dyDescent="0.25">
      <c r="C9440" s="26">
        <v>9438</v>
      </c>
    </row>
    <row r="9441" spans="3:3" x14ac:dyDescent="0.25">
      <c r="C9441" s="26">
        <v>9439</v>
      </c>
    </row>
    <row r="9442" spans="3:3" x14ac:dyDescent="0.25">
      <c r="C9442" s="26">
        <v>9440</v>
      </c>
    </row>
    <row r="9443" spans="3:3" x14ac:dyDescent="0.25">
      <c r="C9443" s="26">
        <v>9441</v>
      </c>
    </row>
    <row r="9444" spans="3:3" x14ac:dyDescent="0.25">
      <c r="C9444" s="26">
        <v>9442</v>
      </c>
    </row>
    <row r="9445" spans="3:3" x14ac:dyDescent="0.25">
      <c r="C9445" s="26">
        <v>9443</v>
      </c>
    </row>
    <row r="9446" spans="3:3" x14ac:dyDescent="0.25">
      <c r="C9446" s="26">
        <v>9444</v>
      </c>
    </row>
    <row r="9447" spans="3:3" x14ac:dyDescent="0.25">
      <c r="C9447" s="26">
        <v>9445</v>
      </c>
    </row>
    <row r="9448" spans="3:3" x14ac:dyDescent="0.25">
      <c r="C9448" s="26">
        <v>9446</v>
      </c>
    </row>
    <row r="9449" spans="3:3" x14ac:dyDescent="0.25">
      <c r="C9449" s="26">
        <v>9447</v>
      </c>
    </row>
    <row r="9450" spans="3:3" x14ac:dyDescent="0.25">
      <c r="C9450" s="26">
        <v>9448</v>
      </c>
    </row>
    <row r="9451" spans="3:3" x14ac:dyDescent="0.25">
      <c r="C9451" s="26">
        <v>9449</v>
      </c>
    </row>
    <row r="9452" spans="3:3" x14ac:dyDescent="0.25">
      <c r="C9452" s="26">
        <v>9450</v>
      </c>
    </row>
    <row r="9453" spans="3:3" x14ac:dyDescent="0.25">
      <c r="C9453" s="26">
        <v>9451</v>
      </c>
    </row>
    <row r="9454" spans="3:3" x14ac:dyDescent="0.25">
      <c r="C9454" s="26">
        <v>9452</v>
      </c>
    </row>
    <row r="9455" spans="3:3" x14ac:dyDescent="0.25">
      <c r="C9455" s="26">
        <v>9453</v>
      </c>
    </row>
    <row r="9456" spans="3:3" x14ac:dyDescent="0.25">
      <c r="C9456" s="26">
        <v>9454</v>
      </c>
    </row>
    <row r="9457" spans="3:3" x14ac:dyDescent="0.25">
      <c r="C9457" s="26">
        <v>9455</v>
      </c>
    </row>
    <row r="9458" spans="3:3" x14ac:dyDescent="0.25">
      <c r="C9458" s="26">
        <v>9456</v>
      </c>
    </row>
    <row r="9459" spans="3:3" x14ac:dyDescent="0.25">
      <c r="C9459" s="26">
        <v>9457</v>
      </c>
    </row>
    <row r="9460" spans="3:3" x14ac:dyDescent="0.25">
      <c r="C9460" s="26">
        <v>9458</v>
      </c>
    </row>
    <row r="9461" spans="3:3" x14ac:dyDescent="0.25">
      <c r="C9461" s="26">
        <v>9459</v>
      </c>
    </row>
    <row r="9462" spans="3:3" x14ac:dyDescent="0.25">
      <c r="C9462" s="26">
        <v>9460</v>
      </c>
    </row>
    <row r="9463" spans="3:3" x14ac:dyDescent="0.25">
      <c r="C9463" s="26">
        <v>9461</v>
      </c>
    </row>
    <row r="9464" spans="3:3" x14ac:dyDescent="0.25">
      <c r="C9464" s="26">
        <v>9462</v>
      </c>
    </row>
    <row r="9465" spans="3:3" x14ac:dyDescent="0.25">
      <c r="C9465" s="26">
        <v>9463</v>
      </c>
    </row>
    <row r="9466" spans="3:3" x14ac:dyDescent="0.25">
      <c r="C9466" s="26">
        <v>9464</v>
      </c>
    </row>
    <row r="9467" spans="3:3" x14ac:dyDescent="0.25">
      <c r="C9467" s="26">
        <v>9465</v>
      </c>
    </row>
    <row r="9468" spans="3:3" x14ac:dyDescent="0.25">
      <c r="C9468" s="26">
        <v>9466</v>
      </c>
    </row>
    <row r="9469" spans="3:3" x14ac:dyDescent="0.25">
      <c r="C9469" s="26">
        <v>9467</v>
      </c>
    </row>
    <row r="9470" spans="3:3" x14ac:dyDescent="0.25">
      <c r="C9470" s="26">
        <v>9468</v>
      </c>
    </row>
    <row r="9471" spans="3:3" x14ac:dyDescent="0.25">
      <c r="C9471" s="26">
        <v>9469</v>
      </c>
    </row>
    <row r="9472" spans="3:3" x14ac:dyDescent="0.25">
      <c r="C9472" s="26">
        <v>9470</v>
      </c>
    </row>
    <row r="9473" spans="3:3" x14ac:dyDescent="0.25">
      <c r="C9473" s="26">
        <v>9471</v>
      </c>
    </row>
    <row r="9474" spans="3:3" x14ac:dyDescent="0.25">
      <c r="C9474" s="26">
        <v>9472</v>
      </c>
    </row>
    <row r="9475" spans="3:3" x14ac:dyDescent="0.25">
      <c r="C9475" s="26">
        <v>9473</v>
      </c>
    </row>
    <row r="9476" spans="3:3" x14ac:dyDescent="0.25">
      <c r="C9476" s="26">
        <v>9474</v>
      </c>
    </row>
    <row r="9477" spans="3:3" x14ac:dyDescent="0.25">
      <c r="C9477" s="26">
        <v>9475</v>
      </c>
    </row>
    <row r="9478" spans="3:3" x14ac:dyDescent="0.25">
      <c r="C9478" s="26">
        <v>9476</v>
      </c>
    </row>
    <row r="9479" spans="3:3" x14ac:dyDescent="0.25">
      <c r="C9479" s="26">
        <v>9477</v>
      </c>
    </row>
    <row r="9480" spans="3:3" x14ac:dyDescent="0.25">
      <c r="C9480" s="26">
        <v>9478</v>
      </c>
    </row>
    <row r="9481" spans="3:3" x14ac:dyDescent="0.25">
      <c r="C9481" s="26">
        <v>9479</v>
      </c>
    </row>
    <row r="9482" spans="3:3" x14ac:dyDescent="0.25">
      <c r="C9482" s="26">
        <v>9480</v>
      </c>
    </row>
    <row r="9483" spans="3:3" x14ac:dyDescent="0.25">
      <c r="C9483" s="26">
        <v>9481</v>
      </c>
    </row>
    <row r="9484" spans="3:3" x14ac:dyDescent="0.25">
      <c r="C9484" s="26">
        <v>9482</v>
      </c>
    </row>
    <row r="9485" spans="3:3" x14ac:dyDescent="0.25">
      <c r="C9485" s="26">
        <v>9483</v>
      </c>
    </row>
    <row r="9486" spans="3:3" x14ac:dyDescent="0.25">
      <c r="C9486" s="26">
        <v>9484</v>
      </c>
    </row>
    <row r="9487" spans="3:3" x14ac:dyDescent="0.25">
      <c r="C9487" s="26">
        <v>9485</v>
      </c>
    </row>
    <row r="9488" spans="3:3" x14ac:dyDescent="0.25">
      <c r="C9488" s="26">
        <v>9486</v>
      </c>
    </row>
    <row r="9489" spans="3:3" x14ac:dyDescent="0.25">
      <c r="C9489" s="26">
        <v>9487</v>
      </c>
    </row>
    <row r="9490" spans="3:3" x14ac:dyDescent="0.25">
      <c r="C9490" s="26">
        <v>9488</v>
      </c>
    </row>
    <row r="9491" spans="3:3" x14ac:dyDescent="0.25">
      <c r="C9491" s="26">
        <v>9489</v>
      </c>
    </row>
    <row r="9492" spans="3:3" x14ac:dyDescent="0.25">
      <c r="C9492" s="26">
        <v>9490</v>
      </c>
    </row>
    <row r="9493" spans="3:3" x14ac:dyDescent="0.25">
      <c r="C9493" s="26">
        <v>9491</v>
      </c>
    </row>
    <row r="9494" spans="3:3" x14ac:dyDescent="0.25">
      <c r="C9494" s="26">
        <v>9492</v>
      </c>
    </row>
    <row r="9495" spans="3:3" x14ac:dyDescent="0.25">
      <c r="C9495" s="26">
        <v>9493</v>
      </c>
    </row>
    <row r="9496" spans="3:3" x14ac:dyDescent="0.25">
      <c r="C9496" s="26">
        <v>9494</v>
      </c>
    </row>
    <row r="9497" spans="3:3" x14ac:dyDescent="0.25">
      <c r="C9497" s="26">
        <v>9495</v>
      </c>
    </row>
    <row r="9498" spans="3:3" x14ac:dyDescent="0.25">
      <c r="C9498" s="26">
        <v>9496</v>
      </c>
    </row>
    <row r="9499" spans="3:3" x14ac:dyDescent="0.25">
      <c r="C9499" s="26">
        <v>9497</v>
      </c>
    </row>
    <row r="9500" spans="3:3" x14ac:dyDescent="0.25">
      <c r="C9500" s="26">
        <v>9498</v>
      </c>
    </row>
    <row r="9501" spans="3:3" x14ac:dyDescent="0.25">
      <c r="C9501" s="26">
        <v>9499</v>
      </c>
    </row>
    <row r="9502" spans="3:3" x14ac:dyDescent="0.25">
      <c r="C9502" s="26">
        <v>9500</v>
      </c>
    </row>
    <row r="9503" spans="3:3" x14ac:dyDescent="0.25">
      <c r="C9503" s="26">
        <v>9501</v>
      </c>
    </row>
    <row r="9504" spans="3:3" x14ac:dyDescent="0.25">
      <c r="C9504" s="26">
        <v>9502</v>
      </c>
    </row>
    <row r="9505" spans="3:3" x14ac:dyDescent="0.25">
      <c r="C9505" s="26">
        <v>9503</v>
      </c>
    </row>
    <row r="9506" spans="3:3" x14ac:dyDescent="0.25">
      <c r="C9506" s="26">
        <v>9504</v>
      </c>
    </row>
    <row r="9507" spans="3:3" x14ac:dyDescent="0.25">
      <c r="C9507" s="26">
        <v>9505</v>
      </c>
    </row>
    <row r="9508" spans="3:3" x14ac:dyDescent="0.25">
      <c r="C9508" s="26">
        <v>9506</v>
      </c>
    </row>
    <row r="9509" spans="3:3" x14ac:dyDescent="0.25">
      <c r="C9509" s="26">
        <v>9507</v>
      </c>
    </row>
    <row r="9510" spans="3:3" x14ac:dyDescent="0.25">
      <c r="C9510" s="26">
        <v>9508</v>
      </c>
    </row>
    <row r="9511" spans="3:3" x14ac:dyDescent="0.25">
      <c r="C9511" s="26">
        <v>9509</v>
      </c>
    </row>
    <row r="9512" spans="3:3" x14ac:dyDescent="0.25">
      <c r="C9512" s="26">
        <v>9510</v>
      </c>
    </row>
    <row r="9513" spans="3:3" x14ac:dyDescent="0.25">
      <c r="C9513" s="26">
        <v>9511</v>
      </c>
    </row>
    <row r="9514" spans="3:3" x14ac:dyDescent="0.25">
      <c r="C9514" s="26">
        <v>9512</v>
      </c>
    </row>
    <row r="9515" spans="3:3" x14ac:dyDescent="0.25">
      <c r="C9515" s="26">
        <v>9513</v>
      </c>
    </row>
    <row r="9516" spans="3:3" x14ac:dyDescent="0.25">
      <c r="C9516" s="26">
        <v>9514</v>
      </c>
    </row>
    <row r="9517" spans="3:3" x14ac:dyDescent="0.25">
      <c r="C9517" s="26">
        <v>9515</v>
      </c>
    </row>
    <row r="9518" spans="3:3" x14ac:dyDescent="0.25">
      <c r="C9518" s="26">
        <v>9516</v>
      </c>
    </row>
    <row r="9519" spans="3:3" x14ac:dyDescent="0.25">
      <c r="C9519" s="26">
        <v>9517</v>
      </c>
    </row>
    <row r="9520" spans="3:3" x14ac:dyDescent="0.25">
      <c r="C9520" s="26">
        <v>9518</v>
      </c>
    </row>
    <row r="9521" spans="3:3" x14ac:dyDescent="0.25">
      <c r="C9521" s="26">
        <v>9519</v>
      </c>
    </row>
    <row r="9522" spans="3:3" x14ac:dyDescent="0.25">
      <c r="C9522" s="26">
        <v>9520</v>
      </c>
    </row>
    <row r="9523" spans="3:3" x14ac:dyDescent="0.25">
      <c r="C9523" s="26">
        <v>9521</v>
      </c>
    </row>
    <row r="9524" spans="3:3" x14ac:dyDescent="0.25">
      <c r="C9524" s="26">
        <v>9522</v>
      </c>
    </row>
    <row r="9525" spans="3:3" x14ac:dyDescent="0.25">
      <c r="C9525" s="26">
        <v>9523</v>
      </c>
    </row>
    <row r="9526" spans="3:3" x14ac:dyDescent="0.25">
      <c r="C9526" s="26">
        <v>9524</v>
      </c>
    </row>
    <row r="9527" spans="3:3" x14ac:dyDescent="0.25">
      <c r="C9527" s="26">
        <v>9525</v>
      </c>
    </row>
    <row r="9528" spans="3:3" x14ac:dyDescent="0.25">
      <c r="C9528" s="26">
        <v>9526</v>
      </c>
    </row>
    <row r="9529" spans="3:3" x14ac:dyDescent="0.25">
      <c r="C9529" s="26">
        <v>9527</v>
      </c>
    </row>
    <row r="9530" spans="3:3" x14ac:dyDescent="0.25">
      <c r="C9530" s="26">
        <v>9528</v>
      </c>
    </row>
    <row r="9531" spans="3:3" x14ac:dyDescent="0.25">
      <c r="C9531" s="26">
        <v>9529</v>
      </c>
    </row>
    <row r="9532" spans="3:3" x14ac:dyDescent="0.25">
      <c r="C9532" s="26">
        <v>9530</v>
      </c>
    </row>
    <row r="9533" spans="3:3" x14ac:dyDescent="0.25">
      <c r="C9533" s="26">
        <v>9531</v>
      </c>
    </row>
    <row r="9534" spans="3:3" x14ac:dyDescent="0.25">
      <c r="C9534" s="26">
        <v>9532</v>
      </c>
    </row>
    <row r="9535" spans="3:3" x14ac:dyDescent="0.25">
      <c r="C9535" s="26">
        <v>9533</v>
      </c>
    </row>
    <row r="9536" spans="3:3" x14ac:dyDescent="0.25">
      <c r="C9536" s="26">
        <v>9534</v>
      </c>
    </row>
    <row r="9537" spans="3:3" x14ac:dyDescent="0.25">
      <c r="C9537" s="26">
        <v>9535</v>
      </c>
    </row>
    <row r="9538" spans="3:3" x14ac:dyDescent="0.25">
      <c r="C9538" s="26">
        <v>9536</v>
      </c>
    </row>
    <row r="9539" spans="3:3" x14ac:dyDescent="0.25">
      <c r="C9539" s="26">
        <v>9537</v>
      </c>
    </row>
    <row r="9540" spans="3:3" x14ac:dyDescent="0.25">
      <c r="C9540" s="26">
        <v>9538</v>
      </c>
    </row>
    <row r="9541" spans="3:3" x14ac:dyDescent="0.25">
      <c r="C9541" s="26">
        <v>9539</v>
      </c>
    </row>
    <row r="9542" spans="3:3" x14ac:dyDescent="0.25">
      <c r="C9542" s="26">
        <v>9540</v>
      </c>
    </row>
    <row r="9543" spans="3:3" x14ac:dyDescent="0.25">
      <c r="C9543" s="26">
        <v>9541</v>
      </c>
    </row>
    <row r="9544" spans="3:3" x14ac:dyDescent="0.25">
      <c r="C9544" s="26">
        <v>9542</v>
      </c>
    </row>
    <row r="9545" spans="3:3" x14ac:dyDescent="0.25">
      <c r="C9545" s="26">
        <v>9543</v>
      </c>
    </row>
    <row r="9546" spans="3:3" x14ac:dyDescent="0.25">
      <c r="C9546" s="26">
        <v>9544</v>
      </c>
    </row>
    <row r="9547" spans="3:3" x14ac:dyDescent="0.25">
      <c r="C9547" s="26">
        <v>9545</v>
      </c>
    </row>
    <row r="9548" spans="3:3" x14ac:dyDescent="0.25">
      <c r="C9548" s="26">
        <v>9546</v>
      </c>
    </row>
    <row r="9549" spans="3:3" x14ac:dyDescent="0.25">
      <c r="C9549" s="26">
        <v>9547</v>
      </c>
    </row>
    <row r="9550" spans="3:3" x14ac:dyDescent="0.25">
      <c r="C9550" s="26">
        <v>9548</v>
      </c>
    </row>
    <row r="9551" spans="3:3" x14ac:dyDescent="0.25">
      <c r="C9551" s="26">
        <v>9549</v>
      </c>
    </row>
    <row r="9552" spans="3:3" x14ac:dyDescent="0.25">
      <c r="C9552" s="26">
        <v>9550</v>
      </c>
    </row>
    <row r="9553" spans="3:3" x14ac:dyDescent="0.25">
      <c r="C9553" s="26">
        <v>9551</v>
      </c>
    </row>
    <row r="9554" spans="3:3" x14ac:dyDescent="0.25">
      <c r="C9554" s="26">
        <v>9552</v>
      </c>
    </row>
    <row r="9555" spans="3:3" x14ac:dyDescent="0.25">
      <c r="C9555" s="26">
        <v>9553</v>
      </c>
    </row>
    <row r="9556" spans="3:3" x14ac:dyDescent="0.25">
      <c r="C9556" s="26">
        <v>9554</v>
      </c>
    </row>
    <row r="9557" spans="3:3" x14ac:dyDescent="0.25">
      <c r="C9557" s="26">
        <v>9555</v>
      </c>
    </row>
    <row r="9558" spans="3:3" x14ac:dyDescent="0.25">
      <c r="C9558" s="26">
        <v>9556</v>
      </c>
    </row>
    <row r="9559" spans="3:3" x14ac:dyDescent="0.25">
      <c r="C9559" s="26">
        <v>9557</v>
      </c>
    </row>
    <row r="9560" spans="3:3" x14ac:dyDescent="0.25">
      <c r="C9560" s="26">
        <v>9558</v>
      </c>
    </row>
    <row r="9561" spans="3:3" x14ac:dyDescent="0.25">
      <c r="C9561" s="26">
        <v>9559</v>
      </c>
    </row>
    <row r="9562" spans="3:3" x14ac:dyDescent="0.25">
      <c r="C9562" s="26">
        <v>9560</v>
      </c>
    </row>
    <row r="9563" spans="3:3" x14ac:dyDescent="0.25">
      <c r="C9563" s="26">
        <v>9561</v>
      </c>
    </row>
    <row r="9564" spans="3:3" x14ac:dyDescent="0.25">
      <c r="C9564" s="26">
        <v>9562</v>
      </c>
    </row>
    <row r="9565" spans="3:3" x14ac:dyDescent="0.25">
      <c r="C9565" s="26">
        <v>9563</v>
      </c>
    </row>
    <row r="9566" spans="3:3" x14ac:dyDescent="0.25">
      <c r="C9566" s="26">
        <v>9564</v>
      </c>
    </row>
    <row r="9567" spans="3:3" x14ac:dyDescent="0.25">
      <c r="C9567" s="26">
        <v>9565</v>
      </c>
    </row>
    <row r="9568" spans="3:3" x14ac:dyDescent="0.25">
      <c r="C9568" s="26">
        <v>9566</v>
      </c>
    </row>
    <row r="9569" spans="3:3" x14ac:dyDescent="0.25">
      <c r="C9569" s="26">
        <v>9567</v>
      </c>
    </row>
    <row r="9570" spans="3:3" x14ac:dyDescent="0.25">
      <c r="C9570" s="26">
        <v>9568</v>
      </c>
    </row>
    <row r="9571" spans="3:3" x14ac:dyDescent="0.25">
      <c r="C9571" s="26">
        <v>9569</v>
      </c>
    </row>
    <row r="9572" spans="3:3" x14ac:dyDescent="0.25">
      <c r="C9572" s="26">
        <v>9570</v>
      </c>
    </row>
    <row r="9573" spans="3:3" x14ac:dyDescent="0.25">
      <c r="C9573" s="26">
        <v>9571</v>
      </c>
    </row>
    <row r="9574" spans="3:3" x14ac:dyDescent="0.25">
      <c r="C9574" s="26">
        <v>9572</v>
      </c>
    </row>
    <row r="9575" spans="3:3" x14ac:dyDescent="0.25">
      <c r="C9575" s="26">
        <v>9573</v>
      </c>
    </row>
    <row r="9576" spans="3:3" x14ac:dyDescent="0.25">
      <c r="C9576" s="26">
        <v>9574</v>
      </c>
    </row>
    <row r="9577" spans="3:3" x14ac:dyDescent="0.25">
      <c r="C9577" s="26">
        <v>9575</v>
      </c>
    </row>
    <row r="9578" spans="3:3" x14ac:dyDescent="0.25">
      <c r="C9578" s="26">
        <v>9576</v>
      </c>
    </row>
    <row r="9579" spans="3:3" x14ac:dyDescent="0.25">
      <c r="C9579" s="26">
        <v>9577</v>
      </c>
    </row>
    <row r="9580" spans="3:3" x14ac:dyDescent="0.25">
      <c r="C9580" s="26">
        <v>9578</v>
      </c>
    </row>
    <row r="9581" spans="3:3" x14ac:dyDescent="0.25">
      <c r="C9581" s="26">
        <v>9579</v>
      </c>
    </row>
    <row r="9582" spans="3:3" x14ac:dyDescent="0.25">
      <c r="C9582" s="26">
        <v>9580</v>
      </c>
    </row>
    <row r="9583" spans="3:3" x14ac:dyDescent="0.25">
      <c r="C9583" s="26">
        <v>9581</v>
      </c>
    </row>
    <row r="9584" spans="3:3" x14ac:dyDescent="0.25">
      <c r="C9584" s="26">
        <v>9582</v>
      </c>
    </row>
    <row r="9585" spans="3:3" x14ac:dyDescent="0.25">
      <c r="C9585" s="26">
        <v>9583</v>
      </c>
    </row>
    <row r="9586" spans="3:3" x14ac:dyDescent="0.25">
      <c r="C9586" s="26">
        <v>9584</v>
      </c>
    </row>
    <row r="9587" spans="3:3" x14ac:dyDescent="0.25">
      <c r="C9587" s="26">
        <v>9585</v>
      </c>
    </row>
    <row r="9588" spans="3:3" x14ac:dyDescent="0.25">
      <c r="C9588" s="26">
        <v>9586</v>
      </c>
    </row>
    <row r="9589" spans="3:3" x14ac:dyDescent="0.25">
      <c r="C9589" s="26">
        <v>9587</v>
      </c>
    </row>
    <row r="9590" spans="3:3" x14ac:dyDescent="0.25">
      <c r="C9590" s="26">
        <v>9588</v>
      </c>
    </row>
    <row r="9591" spans="3:3" x14ac:dyDescent="0.25">
      <c r="C9591" s="26">
        <v>9589</v>
      </c>
    </row>
    <row r="9592" spans="3:3" x14ac:dyDescent="0.25">
      <c r="C9592" s="26">
        <v>9590</v>
      </c>
    </row>
    <row r="9593" spans="3:3" x14ac:dyDescent="0.25">
      <c r="C9593" s="26">
        <v>9591</v>
      </c>
    </row>
    <row r="9594" spans="3:3" x14ac:dyDescent="0.25">
      <c r="C9594" s="26">
        <v>9592</v>
      </c>
    </row>
    <row r="9595" spans="3:3" x14ac:dyDescent="0.25">
      <c r="C9595" s="26">
        <v>9593</v>
      </c>
    </row>
    <row r="9596" spans="3:3" x14ac:dyDescent="0.25">
      <c r="C9596" s="26">
        <v>9594</v>
      </c>
    </row>
    <row r="9597" spans="3:3" x14ac:dyDescent="0.25">
      <c r="C9597" s="26">
        <v>9595</v>
      </c>
    </row>
    <row r="9598" spans="3:3" x14ac:dyDescent="0.25">
      <c r="C9598" s="26">
        <v>9596</v>
      </c>
    </row>
    <row r="9599" spans="3:3" x14ac:dyDescent="0.25">
      <c r="C9599" s="26">
        <v>9597</v>
      </c>
    </row>
    <row r="9600" spans="3:3" x14ac:dyDescent="0.25">
      <c r="C9600" s="26">
        <v>9598</v>
      </c>
    </row>
    <row r="9601" spans="3:3" x14ac:dyDescent="0.25">
      <c r="C9601" s="26">
        <v>9599</v>
      </c>
    </row>
    <row r="9602" spans="3:3" x14ac:dyDescent="0.25">
      <c r="C9602" s="26">
        <v>9600</v>
      </c>
    </row>
    <row r="9603" spans="3:3" x14ac:dyDescent="0.25">
      <c r="C9603" s="26">
        <v>9601</v>
      </c>
    </row>
    <row r="9604" spans="3:3" x14ac:dyDescent="0.25">
      <c r="C9604" s="26">
        <v>9602</v>
      </c>
    </row>
    <row r="9605" spans="3:3" x14ac:dyDescent="0.25">
      <c r="C9605" s="26">
        <v>9603</v>
      </c>
    </row>
    <row r="9606" spans="3:3" x14ac:dyDescent="0.25">
      <c r="C9606" s="26">
        <v>9604</v>
      </c>
    </row>
    <row r="9607" spans="3:3" x14ac:dyDescent="0.25">
      <c r="C9607" s="26">
        <v>9605</v>
      </c>
    </row>
    <row r="9608" spans="3:3" x14ac:dyDescent="0.25">
      <c r="C9608" s="26">
        <v>9606</v>
      </c>
    </row>
    <row r="9609" spans="3:3" x14ac:dyDescent="0.25">
      <c r="C9609" s="26">
        <v>9607</v>
      </c>
    </row>
    <row r="9610" spans="3:3" x14ac:dyDescent="0.25">
      <c r="C9610" s="26">
        <v>9608</v>
      </c>
    </row>
    <row r="9611" spans="3:3" x14ac:dyDescent="0.25">
      <c r="C9611" s="26">
        <v>9609</v>
      </c>
    </row>
    <row r="9612" spans="3:3" x14ac:dyDescent="0.25">
      <c r="C9612" s="26">
        <v>9610</v>
      </c>
    </row>
    <row r="9613" spans="3:3" x14ac:dyDescent="0.25">
      <c r="C9613" s="26">
        <v>9611</v>
      </c>
    </row>
    <row r="9614" spans="3:3" x14ac:dyDescent="0.25">
      <c r="C9614" s="26">
        <v>9612</v>
      </c>
    </row>
    <row r="9615" spans="3:3" x14ac:dyDescent="0.25">
      <c r="C9615" s="26">
        <v>9613</v>
      </c>
    </row>
    <row r="9616" spans="3:3" x14ac:dyDescent="0.25">
      <c r="C9616" s="26">
        <v>9614</v>
      </c>
    </row>
    <row r="9617" spans="3:3" x14ac:dyDescent="0.25">
      <c r="C9617" s="26">
        <v>9615</v>
      </c>
    </row>
    <row r="9618" spans="3:3" x14ac:dyDescent="0.25">
      <c r="C9618" s="26">
        <v>9616</v>
      </c>
    </row>
    <row r="9619" spans="3:3" x14ac:dyDescent="0.25">
      <c r="C9619" s="26">
        <v>9617</v>
      </c>
    </row>
    <row r="9620" spans="3:3" x14ac:dyDescent="0.25">
      <c r="C9620" s="26">
        <v>9618</v>
      </c>
    </row>
    <row r="9621" spans="3:3" x14ac:dyDescent="0.25">
      <c r="C9621" s="26">
        <v>9619</v>
      </c>
    </row>
    <row r="9622" spans="3:3" x14ac:dyDescent="0.25">
      <c r="C9622" s="26">
        <v>9620</v>
      </c>
    </row>
    <row r="9623" spans="3:3" x14ac:dyDescent="0.25">
      <c r="C9623" s="26">
        <v>9621</v>
      </c>
    </row>
    <row r="9624" spans="3:3" x14ac:dyDescent="0.25">
      <c r="C9624" s="26">
        <v>9622</v>
      </c>
    </row>
    <row r="9625" spans="3:3" x14ac:dyDescent="0.25">
      <c r="C9625" s="26">
        <v>9623</v>
      </c>
    </row>
    <row r="9626" spans="3:3" x14ac:dyDescent="0.25">
      <c r="C9626" s="26">
        <v>9624</v>
      </c>
    </row>
    <row r="9627" spans="3:3" x14ac:dyDescent="0.25">
      <c r="C9627" s="26">
        <v>9625</v>
      </c>
    </row>
    <row r="9628" spans="3:3" x14ac:dyDescent="0.25">
      <c r="C9628" s="26">
        <v>9626</v>
      </c>
    </row>
    <row r="9629" spans="3:3" x14ac:dyDescent="0.25">
      <c r="C9629" s="26">
        <v>9627</v>
      </c>
    </row>
    <row r="9630" spans="3:3" x14ac:dyDescent="0.25">
      <c r="C9630" s="26">
        <v>9628</v>
      </c>
    </row>
    <row r="9631" spans="3:3" x14ac:dyDescent="0.25">
      <c r="C9631" s="26">
        <v>9629</v>
      </c>
    </row>
    <row r="9632" spans="3:3" x14ac:dyDescent="0.25">
      <c r="C9632" s="26">
        <v>9630</v>
      </c>
    </row>
    <row r="9633" spans="3:3" x14ac:dyDescent="0.25">
      <c r="C9633" s="26">
        <v>9631</v>
      </c>
    </row>
    <row r="9634" spans="3:3" x14ac:dyDescent="0.25">
      <c r="C9634" s="26">
        <v>9632</v>
      </c>
    </row>
    <row r="9635" spans="3:3" x14ac:dyDescent="0.25">
      <c r="C9635" s="26">
        <v>9633</v>
      </c>
    </row>
    <row r="9636" spans="3:3" x14ac:dyDescent="0.25">
      <c r="C9636" s="26">
        <v>9634</v>
      </c>
    </row>
    <row r="9637" spans="3:3" x14ac:dyDescent="0.25">
      <c r="C9637" s="26">
        <v>9635</v>
      </c>
    </row>
    <row r="9638" spans="3:3" x14ac:dyDescent="0.25">
      <c r="C9638" s="26">
        <v>9636</v>
      </c>
    </row>
    <row r="9639" spans="3:3" x14ac:dyDescent="0.25">
      <c r="C9639" s="26">
        <v>9637</v>
      </c>
    </row>
    <row r="9640" spans="3:3" x14ac:dyDescent="0.25">
      <c r="C9640" s="26">
        <v>9638</v>
      </c>
    </row>
    <row r="9641" spans="3:3" x14ac:dyDescent="0.25">
      <c r="C9641" s="26">
        <v>9639</v>
      </c>
    </row>
    <row r="9642" spans="3:3" x14ac:dyDescent="0.25">
      <c r="C9642" s="26">
        <v>9640</v>
      </c>
    </row>
    <row r="9643" spans="3:3" x14ac:dyDescent="0.25">
      <c r="C9643" s="26">
        <v>9641</v>
      </c>
    </row>
    <row r="9644" spans="3:3" x14ac:dyDescent="0.25">
      <c r="C9644" s="26">
        <v>9642</v>
      </c>
    </row>
    <row r="9645" spans="3:3" x14ac:dyDescent="0.25">
      <c r="C9645" s="26">
        <v>9643</v>
      </c>
    </row>
    <row r="9646" spans="3:3" x14ac:dyDescent="0.25">
      <c r="C9646" s="26">
        <v>9644</v>
      </c>
    </row>
    <row r="9647" spans="3:3" x14ac:dyDescent="0.25">
      <c r="C9647" s="26">
        <v>9645</v>
      </c>
    </row>
    <row r="9648" spans="3:3" x14ac:dyDescent="0.25">
      <c r="C9648" s="26">
        <v>9646</v>
      </c>
    </row>
    <row r="9649" spans="3:3" x14ac:dyDescent="0.25">
      <c r="C9649" s="26">
        <v>9647</v>
      </c>
    </row>
    <row r="9650" spans="3:3" x14ac:dyDescent="0.25">
      <c r="C9650" s="26">
        <v>9648</v>
      </c>
    </row>
    <row r="9651" spans="3:3" x14ac:dyDescent="0.25">
      <c r="C9651" s="26">
        <v>9649</v>
      </c>
    </row>
    <row r="9652" spans="3:3" x14ac:dyDescent="0.25">
      <c r="C9652" s="26">
        <v>9650</v>
      </c>
    </row>
    <row r="9653" spans="3:3" x14ac:dyDescent="0.25">
      <c r="C9653" s="26">
        <v>9651</v>
      </c>
    </row>
    <row r="9654" spans="3:3" x14ac:dyDescent="0.25">
      <c r="C9654" s="26">
        <v>9652</v>
      </c>
    </row>
    <row r="9655" spans="3:3" x14ac:dyDescent="0.25">
      <c r="C9655" s="26">
        <v>9653</v>
      </c>
    </row>
    <row r="9656" spans="3:3" x14ac:dyDescent="0.25">
      <c r="C9656" s="26">
        <v>9654</v>
      </c>
    </row>
    <row r="9657" spans="3:3" x14ac:dyDescent="0.25">
      <c r="C9657" s="26">
        <v>9655</v>
      </c>
    </row>
    <row r="9658" spans="3:3" x14ac:dyDescent="0.25">
      <c r="C9658" s="26">
        <v>9656</v>
      </c>
    </row>
    <row r="9659" spans="3:3" x14ac:dyDescent="0.25">
      <c r="C9659" s="26">
        <v>9657</v>
      </c>
    </row>
    <row r="9660" spans="3:3" x14ac:dyDescent="0.25">
      <c r="C9660" s="26">
        <v>9658</v>
      </c>
    </row>
    <row r="9661" spans="3:3" x14ac:dyDescent="0.25">
      <c r="C9661" s="26">
        <v>9659</v>
      </c>
    </row>
    <row r="9662" spans="3:3" x14ac:dyDescent="0.25">
      <c r="C9662" s="26">
        <v>9660</v>
      </c>
    </row>
    <row r="9663" spans="3:3" x14ac:dyDescent="0.25">
      <c r="C9663" s="26">
        <v>9661</v>
      </c>
    </row>
    <row r="9664" spans="3:3" x14ac:dyDescent="0.25">
      <c r="C9664" s="26">
        <v>9662</v>
      </c>
    </row>
    <row r="9665" spans="3:3" x14ac:dyDescent="0.25">
      <c r="C9665" s="26">
        <v>9663</v>
      </c>
    </row>
    <row r="9666" spans="3:3" x14ac:dyDescent="0.25">
      <c r="C9666" s="26">
        <v>9664</v>
      </c>
    </row>
    <row r="9667" spans="3:3" x14ac:dyDescent="0.25">
      <c r="C9667" s="26">
        <v>9665</v>
      </c>
    </row>
    <row r="9668" spans="3:3" x14ac:dyDescent="0.25">
      <c r="C9668" s="26">
        <v>9666</v>
      </c>
    </row>
    <row r="9669" spans="3:3" x14ac:dyDescent="0.25">
      <c r="C9669" s="26">
        <v>9667</v>
      </c>
    </row>
    <row r="9670" spans="3:3" x14ac:dyDescent="0.25">
      <c r="C9670" s="26">
        <v>9668</v>
      </c>
    </row>
    <row r="9671" spans="3:3" x14ac:dyDescent="0.25">
      <c r="C9671" s="26">
        <v>9669</v>
      </c>
    </row>
    <row r="9672" spans="3:3" x14ac:dyDescent="0.25">
      <c r="C9672" s="26">
        <v>9670</v>
      </c>
    </row>
    <row r="9673" spans="3:3" x14ac:dyDescent="0.25">
      <c r="C9673" s="26">
        <v>9671</v>
      </c>
    </row>
    <row r="9674" spans="3:3" x14ac:dyDescent="0.25">
      <c r="C9674" s="26">
        <v>9672</v>
      </c>
    </row>
    <row r="9675" spans="3:3" x14ac:dyDescent="0.25">
      <c r="C9675" s="26">
        <v>9673</v>
      </c>
    </row>
    <row r="9676" spans="3:3" x14ac:dyDescent="0.25">
      <c r="C9676" s="26">
        <v>9674</v>
      </c>
    </row>
    <row r="9677" spans="3:3" x14ac:dyDescent="0.25">
      <c r="C9677" s="26">
        <v>9675</v>
      </c>
    </row>
    <row r="9678" spans="3:3" x14ac:dyDescent="0.25">
      <c r="C9678" s="26">
        <v>9676</v>
      </c>
    </row>
    <row r="9679" spans="3:3" x14ac:dyDescent="0.25">
      <c r="C9679" s="26">
        <v>9677</v>
      </c>
    </row>
    <row r="9680" spans="3:3" x14ac:dyDescent="0.25">
      <c r="C9680" s="26">
        <v>9678</v>
      </c>
    </row>
    <row r="9681" spans="3:3" x14ac:dyDescent="0.25">
      <c r="C9681" s="26">
        <v>9679</v>
      </c>
    </row>
    <row r="9682" spans="3:3" x14ac:dyDescent="0.25">
      <c r="C9682" s="26">
        <v>9680</v>
      </c>
    </row>
    <row r="9683" spans="3:3" x14ac:dyDescent="0.25">
      <c r="C9683" s="26">
        <v>9681</v>
      </c>
    </row>
    <row r="9684" spans="3:3" x14ac:dyDescent="0.25">
      <c r="C9684" s="26">
        <v>9682</v>
      </c>
    </row>
    <row r="9685" spans="3:3" x14ac:dyDescent="0.25">
      <c r="C9685" s="26">
        <v>9683</v>
      </c>
    </row>
    <row r="9686" spans="3:3" x14ac:dyDescent="0.25">
      <c r="C9686" s="26">
        <v>9684</v>
      </c>
    </row>
    <row r="9687" spans="3:3" x14ac:dyDescent="0.25">
      <c r="C9687" s="26">
        <v>9685</v>
      </c>
    </row>
    <row r="9688" spans="3:3" x14ac:dyDescent="0.25">
      <c r="C9688" s="26">
        <v>9686</v>
      </c>
    </row>
    <row r="9689" spans="3:3" x14ac:dyDescent="0.25">
      <c r="C9689" s="26">
        <v>9687</v>
      </c>
    </row>
    <row r="9690" spans="3:3" x14ac:dyDescent="0.25">
      <c r="C9690" s="26">
        <v>9688</v>
      </c>
    </row>
    <row r="9691" spans="3:3" x14ac:dyDescent="0.25">
      <c r="C9691" s="26">
        <v>9689</v>
      </c>
    </row>
    <row r="9692" spans="3:3" x14ac:dyDescent="0.25">
      <c r="C9692" s="26">
        <v>9690</v>
      </c>
    </row>
    <row r="9693" spans="3:3" x14ac:dyDescent="0.25">
      <c r="C9693" s="26">
        <v>9691</v>
      </c>
    </row>
    <row r="9694" spans="3:3" x14ac:dyDescent="0.25">
      <c r="C9694" s="26">
        <v>9692</v>
      </c>
    </row>
    <row r="9695" spans="3:3" x14ac:dyDescent="0.25">
      <c r="C9695" s="26">
        <v>9693</v>
      </c>
    </row>
    <row r="9696" spans="3:3" x14ac:dyDescent="0.25">
      <c r="C9696" s="26">
        <v>9694</v>
      </c>
    </row>
    <row r="9697" spans="3:3" x14ac:dyDescent="0.25">
      <c r="C9697" s="26">
        <v>9695</v>
      </c>
    </row>
    <row r="9698" spans="3:3" x14ac:dyDescent="0.25">
      <c r="C9698" s="26">
        <v>9696</v>
      </c>
    </row>
    <row r="9699" spans="3:3" x14ac:dyDescent="0.25">
      <c r="C9699" s="26">
        <v>9697</v>
      </c>
    </row>
    <row r="9700" spans="3:3" x14ac:dyDescent="0.25">
      <c r="C9700" s="26">
        <v>9698</v>
      </c>
    </row>
    <row r="9701" spans="3:3" x14ac:dyDescent="0.25">
      <c r="C9701" s="26">
        <v>9699</v>
      </c>
    </row>
    <row r="9702" spans="3:3" x14ac:dyDescent="0.25">
      <c r="C9702" s="26">
        <v>9700</v>
      </c>
    </row>
    <row r="9703" spans="3:3" x14ac:dyDescent="0.25">
      <c r="C9703" s="26">
        <v>9701</v>
      </c>
    </row>
    <row r="9704" spans="3:3" x14ac:dyDescent="0.25">
      <c r="C9704" s="26">
        <v>9702</v>
      </c>
    </row>
    <row r="9705" spans="3:3" x14ac:dyDescent="0.25">
      <c r="C9705" s="26">
        <v>9703</v>
      </c>
    </row>
    <row r="9706" spans="3:3" x14ac:dyDescent="0.25">
      <c r="C9706" s="26">
        <v>9704</v>
      </c>
    </row>
    <row r="9707" spans="3:3" x14ac:dyDescent="0.25">
      <c r="C9707" s="26">
        <v>9705</v>
      </c>
    </row>
    <row r="9708" spans="3:3" x14ac:dyDescent="0.25">
      <c r="C9708" s="26">
        <v>9706</v>
      </c>
    </row>
    <row r="9709" spans="3:3" x14ac:dyDescent="0.25">
      <c r="C9709" s="26">
        <v>9707</v>
      </c>
    </row>
    <row r="9710" spans="3:3" x14ac:dyDescent="0.25">
      <c r="C9710" s="26">
        <v>9708</v>
      </c>
    </row>
    <row r="9711" spans="3:3" x14ac:dyDescent="0.25">
      <c r="C9711" s="26">
        <v>9709</v>
      </c>
    </row>
    <row r="9712" spans="3:3" x14ac:dyDescent="0.25">
      <c r="C9712" s="26">
        <v>9710</v>
      </c>
    </row>
    <row r="9713" spans="3:3" x14ac:dyDescent="0.25">
      <c r="C9713" s="26">
        <v>9711</v>
      </c>
    </row>
    <row r="9714" spans="3:3" x14ac:dyDescent="0.25">
      <c r="C9714" s="26">
        <v>9712</v>
      </c>
    </row>
    <row r="9715" spans="3:3" x14ac:dyDescent="0.25">
      <c r="C9715" s="26">
        <v>9713</v>
      </c>
    </row>
    <row r="9716" spans="3:3" x14ac:dyDescent="0.25">
      <c r="C9716" s="26">
        <v>9714</v>
      </c>
    </row>
    <row r="9717" spans="3:3" x14ac:dyDescent="0.25">
      <c r="C9717" s="26">
        <v>9715</v>
      </c>
    </row>
    <row r="9718" spans="3:3" x14ac:dyDescent="0.25">
      <c r="C9718" s="26">
        <v>9716</v>
      </c>
    </row>
    <row r="9719" spans="3:3" x14ac:dyDescent="0.25">
      <c r="C9719" s="26">
        <v>9717</v>
      </c>
    </row>
    <row r="9720" spans="3:3" x14ac:dyDescent="0.25">
      <c r="C9720" s="26">
        <v>9718</v>
      </c>
    </row>
    <row r="9721" spans="3:3" x14ac:dyDescent="0.25">
      <c r="C9721" s="26">
        <v>9719</v>
      </c>
    </row>
    <row r="9722" spans="3:3" x14ac:dyDescent="0.25">
      <c r="C9722" s="26">
        <v>9720</v>
      </c>
    </row>
    <row r="9723" spans="3:3" x14ac:dyDescent="0.25">
      <c r="C9723" s="26">
        <v>9721</v>
      </c>
    </row>
    <row r="9724" spans="3:3" x14ac:dyDescent="0.25">
      <c r="C9724" s="26">
        <v>9722</v>
      </c>
    </row>
    <row r="9725" spans="3:3" x14ac:dyDescent="0.25">
      <c r="C9725" s="26">
        <v>9723</v>
      </c>
    </row>
    <row r="9726" spans="3:3" x14ac:dyDescent="0.25">
      <c r="C9726" s="26">
        <v>9724</v>
      </c>
    </row>
    <row r="9727" spans="3:3" x14ac:dyDescent="0.25">
      <c r="C9727" s="26">
        <v>9725</v>
      </c>
    </row>
    <row r="9728" spans="3:3" x14ac:dyDescent="0.25">
      <c r="C9728" s="26">
        <v>9726</v>
      </c>
    </row>
    <row r="9729" spans="3:3" x14ac:dyDescent="0.25">
      <c r="C9729" s="26">
        <v>9727</v>
      </c>
    </row>
    <row r="9730" spans="3:3" x14ac:dyDescent="0.25">
      <c r="C9730" s="26">
        <v>9728</v>
      </c>
    </row>
    <row r="9731" spans="3:3" x14ac:dyDescent="0.25">
      <c r="C9731" s="26">
        <v>9729</v>
      </c>
    </row>
    <row r="9732" spans="3:3" x14ac:dyDescent="0.25">
      <c r="C9732" s="26">
        <v>9730</v>
      </c>
    </row>
    <row r="9733" spans="3:3" x14ac:dyDescent="0.25">
      <c r="C9733" s="26">
        <v>9731</v>
      </c>
    </row>
    <row r="9734" spans="3:3" x14ac:dyDescent="0.25">
      <c r="C9734" s="26">
        <v>9732</v>
      </c>
    </row>
    <row r="9735" spans="3:3" x14ac:dyDescent="0.25">
      <c r="C9735" s="26">
        <v>9733</v>
      </c>
    </row>
    <row r="9736" spans="3:3" x14ac:dyDescent="0.25">
      <c r="C9736" s="26">
        <v>9734</v>
      </c>
    </row>
    <row r="9737" spans="3:3" x14ac:dyDescent="0.25">
      <c r="C9737" s="26">
        <v>9735</v>
      </c>
    </row>
    <row r="9738" spans="3:3" x14ac:dyDescent="0.25">
      <c r="C9738" s="26">
        <v>9736</v>
      </c>
    </row>
    <row r="9739" spans="3:3" x14ac:dyDescent="0.25">
      <c r="C9739" s="26">
        <v>9737</v>
      </c>
    </row>
    <row r="9740" spans="3:3" x14ac:dyDescent="0.25">
      <c r="C9740" s="26">
        <v>9738</v>
      </c>
    </row>
    <row r="9741" spans="3:3" x14ac:dyDescent="0.25">
      <c r="C9741" s="26">
        <v>9739</v>
      </c>
    </row>
    <row r="9742" spans="3:3" x14ac:dyDescent="0.25">
      <c r="C9742" s="26">
        <v>9740</v>
      </c>
    </row>
    <row r="9743" spans="3:3" x14ac:dyDescent="0.25">
      <c r="C9743" s="26">
        <v>9741</v>
      </c>
    </row>
    <row r="9744" spans="3:3" x14ac:dyDescent="0.25">
      <c r="C9744" s="26">
        <v>9742</v>
      </c>
    </row>
    <row r="9745" spans="3:3" x14ac:dyDescent="0.25">
      <c r="C9745" s="26">
        <v>9743</v>
      </c>
    </row>
    <row r="9746" spans="3:3" x14ac:dyDescent="0.25">
      <c r="C9746" s="26">
        <v>9744</v>
      </c>
    </row>
    <row r="9747" spans="3:3" x14ac:dyDescent="0.25">
      <c r="C9747" s="26">
        <v>9745</v>
      </c>
    </row>
    <row r="9748" spans="3:3" x14ac:dyDescent="0.25">
      <c r="C9748" s="26">
        <v>9746</v>
      </c>
    </row>
    <row r="9749" spans="3:3" x14ac:dyDescent="0.25">
      <c r="C9749" s="26">
        <v>9747</v>
      </c>
    </row>
    <row r="9750" spans="3:3" x14ac:dyDescent="0.25">
      <c r="C9750" s="26">
        <v>9748</v>
      </c>
    </row>
    <row r="9751" spans="3:3" x14ac:dyDescent="0.25">
      <c r="C9751" s="26">
        <v>9749</v>
      </c>
    </row>
    <row r="9752" spans="3:3" x14ac:dyDescent="0.25">
      <c r="C9752" s="26">
        <v>9750</v>
      </c>
    </row>
    <row r="9753" spans="3:3" x14ac:dyDescent="0.25">
      <c r="C9753" s="26">
        <v>9751</v>
      </c>
    </row>
    <row r="9754" spans="3:3" x14ac:dyDescent="0.25">
      <c r="C9754" s="26">
        <v>9752</v>
      </c>
    </row>
    <row r="9755" spans="3:3" x14ac:dyDescent="0.25">
      <c r="C9755" s="26">
        <v>9753</v>
      </c>
    </row>
    <row r="9756" spans="3:3" x14ac:dyDescent="0.25">
      <c r="C9756" s="26">
        <v>9754</v>
      </c>
    </row>
    <row r="9757" spans="3:3" x14ac:dyDescent="0.25">
      <c r="C9757" s="26">
        <v>9755</v>
      </c>
    </row>
    <row r="9758" spans="3:3" x14ac:dyDescent="0.25">
      <c r="C9758" s="26">
        <v>9756</v>
      </c>
    </row>
    <row r="9759" spans="3:3" x14ac:dyDescent="0.25">
      <c r="C9759" s="26">
        <v>9757</v>
      </c>
    </row>
    <row r="9760" spans="3:3" x14ac:dyDescent="0.25">
      <c r="C9760" s="26">
        <v>9758</v>
      </c>
    </row>
    <row r="9761" spans="3:3" x14ac:dyDescent="0.25">
      <c r="C9761" s="26">
        <v>9759</v>
      </c>
    </row>
    <row r="9762" spans="3:3" x14ac:dyDescent="0.25">
      <c r="C9762" s="26">
        <v>9760</v>
      </c>
    </row>
    <row r="9763" spans="3:3" x14ac:dyDescent="0.25">
      <c r="C9763" s="26">
        <v>9761</v>
      </c>
    </row>
    <row r="9764" spans="3:3" x14ac:dyDescent="0.25">
      <c r="C9764" s="26">
        <v>9762</v>
      </c>
    </row>
    <row r="9765" spans="3:3" x14ac:dyDescent="0.25">
      <c r="C9765" s="26">
        <v>9763</v>
      </c>
    </row>
    <row r="9766" spans="3:3" x14ac:dyDescent="0.25">
      <c r="C9766" s="26">
        <v>9764</v>
      </c>
    </row>
    <row r="9767" spans="3:3" x14ac:dyDescent="0.25">
      <c r="C9767" s="26">
        <v>9765</v>
      </c>
    </row>
    <row r="9768" spans="3:3" x14ac:dyDescent="0.25">
      <c r="C9768" s="26">
        <v>9766</v>
      </c>
    </row>
    <row r="9769" spans="3:3" x14ac:dyDescent="0.25">
      <c r="C9769" s="26">
        <v>9767</v>
      </c>
    </row>
    <row r="9770" spans="3:3" x14ac:dyDescent="0.25">
      <c r="C9770" s="26">
        <v>9768</v>
      </c>
    </row>
    <row r="9771" spans="3:3" x14ac:dyDescent="0.25">
      <c r="C9771" s="26">
        <v>9769</v>
      </c>
    </row>
    <row r="9772" spans="3:3" x14ac:dyDescent="0.25">
      <c r="C9772" s="26">
        <v>9770</v>
      </c>
    </row>
    <row r="9773" spans="3:3" x14ac:dyDescent="0.25">
      <c r="C9773" s="26">
        <v>9771</v>
      </c>
    </row>
    <row r="9774" spans="3:3" x14ac:dyDescent="0.25">
      <c r="C9774" s="26">
        <v>9772</v>
      </c>
    </row>
    <row r="9775" spans="3:3" x14ac:dyDescent="0.25">
      <c r="C9775" s="26">
        <v>9773</v>
      </c>
    </row>
    <row r="9776" spans="3:3" x14ac:dyDescent="0.25">
      <c r="C9776" s="26">
        <v>9774</v>
      </c>
    </row>
    <row r="9777" spans="3:3" x14ac:dyDescent="0.25">
      <c r="C9777" s="26">
        <v>9775</v>
      </c>
    </row>
    <row r="9778" spans="3:3" x14ac:dyDescent="0.25">
      <c r="C9778" s="26">
        <v>9776</v>
      </c>
    </row>
    <row r="9779" spans="3:3" x14ac:dyDescent="0.25">
      <c r="C9779" s="26">
        <v>9777</v>
      </c>
    </row>
    <row r="9780" spans="3:3" x14ac:dyDescent="0.25">
      <c r="C9780" s="26">
        <v>9778</v>
      </c>
    </row>
    <row r="9781" spans="3:3" x14ac:dyDescent="0.25">
      <c r="C9781" s="26">
        <v>9779</v>
      </c>
    </row>
    <row r="9782" spans="3:3" x14ac:dyDescent="0.25">
      <c r="C9782" s="26">
        <v>9780</v>
      </c>
    </row>
    <row r="9783" spans="3:3" x14ac:dyDescent="0.25">
      <c r="C9783" s="26">
        <v>9781</v>
      </c>
    </row>
    <row r="9784" spans="3:3" x14ac:dyDescent="0.25">
      <c r="C9784" s="26">
        <v>9782</v>
      </c>
    </row>
    <row r="9785" spans="3:3" x14ac:dyDescent="0.25">
      <c r="C9785" s="26">
        <v>9783</v>
      </c>
    </row>
    <row r="9786" spans="3:3" x14ac:dyDescent="0.25">
      <c r="C9786" s="26">
        <v>9784</v>
      </c>
    </row>
    <row r="9787" spans="3:3" x14ac:dyDescent="0.25">
      <c r="C9787" s="26">
        <v>9785</v>
      </c>
    </row>
    <row r="9788" spans="3:3" x14ac:dyDescent="0.25">
      <c r="C9788" s="26">
        <v>9786</v>
      </c>
    </row>
    <row r="9789" spans="3:3" x14ac:dyDescent="0.25">
      <c r="C9789" s="26">
        <v>9787</v>
      </c>
    </row>
    <row r="9790" spans="3:3" x14ac:dyDescent="0.25">
      <c r="C9790" s="26">
        <v>9788</v>
      </c>
    </row>
    <row r="9791" spans="3:3" x14ac:dyDescent="0.25">
      <c r="C9791" s="26">
        <v>9789</v>
      </c>
    </row>
    <row r="9792" spans="3:3" x14ac:dyDescent="0.25">
      <c r="C9792" s="26">
        <v>9790</v>
      </c>
    </row>
    <row r="9793" spans="3:3" x14ac:dyDescent="0.25">
      <c r="C9793" s="26">
        <v>9791</v>
      </c>
    </row>
    <row r="9794" spans="3:3" x14ac:dyDescent="0.25">
      <c r="C9794" s="26">
        <v>9792</v>
      </c>
    </row>
    <row r="9795" spans="3:3" x14ac:dyDescent="0.25">
      <c r="C9795" s="26">
        <v>9793</v>
      </c>
    </row>
    <row r="9796" spans="3:3" x14ac:dyDescent="0.25">
      <c r="C9796" s="26">
        <v>9794</v>
      </c>
    </row>
    <row r="9797" spans="3:3" x14ac:dyDescent="0.25">
      <c r="C9797" s="26">
        <v>9795</v>
      </c>
    </row>
    <row r="9798" spans="3:3" x14ac:dyDescent="0.25">
      <c r="C9798" s="26">
        <v>9796</v>
      </c>
    </row>
    <row r="9799" spans="3:3" x14ac:dyDescent="0.25">
      <c r="C9799" s="26">
        <v>9797</v>
      </c>
    </row>
    <row r="9800" spans="3:3" x14ac:dyDescent="0.25">
      <c r="C9800" s="26">
        <v>9798</v>
      </c>
    </row>
    <row r="9801" spans="3:3" x14ac:dyDescent="0.25">
      <c r="C9801" s="26">
        <v>9799</v>
      </c>
    </row>
    <row r="9802" spans="3:3" x14ac:dyDescent="0.25">
      <c r="C9802" s="26">
        <v>9800</v>
      </c>
    </row>
    <row r="9803" spans="3:3" x14ac:dyDescent="0.25">
      <c r="C9803" s="26">
        <v>9801</v>
      </c>
    </row>
    <row r="9804" spans="3:3" x14ac:dyDescent="0.25">
      <c r="C9804" s="26">
        <v>9802</v>
      </c>
    </row>
    <row r="9805" spans="3:3" x14ac:dyDescent="0.25">
      <c r="C9805" s="26">
        <v>9803</v>
      </c>
    </row>
    <row r="9806" spans="3:3" x14ac:dyDescent="0.25">
      <c r="C9806" s="26">
        <v>9804</v>
      </c>
    </row>
    <row r="9807" spans="3:3" x14ac:dyDescent="0.25">
      <c r="C9807" s="26">
        <v>9805</v>
      </c>
    </row>
    <row r="9808" spans="3:3" x14ac:dyDescent="0.25">
      <c r="C9808" s="26">
        <v>9806</v>
      </c>
    </row>
    <row r="9809" spans="3:3" x14ac:dyDescent="0.25">
      <c r="C9809" s="26">
        <v>9807</v>
      </c>
    </row>
    <row r="9810" spans="3:3" x14ac:dyDescent="0.25">
      <c r="C9810" s="26">
        <v>9808</v>
      </c>
    </row>
    <row r="9811" spans="3:3" x14ac:dyDescent="0.25">
      <c r="C9811" s="26">
        <v>9809</v>
      </c>
    </row>
    <row r="9812" spans="3:3" x14ac:dyDescent="0.25">
      <c r="C9812" s="26">
        <v>9810</v>
      </c>
    </row>
    <row r="9813" spans="3:3" x14ac:dyDescent="0.25">
      <c r="C9813" s="26">
        <v>9811</v>
      </c>
    </row>
    <row r="9814" spans="3:3" x14ac:dyDescent="0.25">
      <c r="C9814" s="26">
        <v>9812</v>
      </c>
    </row>
    <row r="9815" spans="3:3" x14ac:dyDescent="0.25">
      <c r="C9815" s="26">
        <v>9813</v>
      </c>
    </row>
    <row r="9816" spans="3:3" x14ac:dyDescent="0.25">
      <c r="C9816" s="26">
        <v>9814</v>
      </c>
    </row>
    <row r="9817" spans="3:3" x14ac:dyDescent="0.25">
      <c r="C9817" s="26">
        <v>9815</v>
      </c>
    </row>
    <row r="9818" spans="3:3" x14ac:dyDescent="0.25">
      <c r="C9818" s="26">
        <v>9816</v>
      </c>
    </row>
    <row r="9819" spans="3:3" x14ac:dyDescent="0.25">
      <c r="C9819" s="26">
        <v>9817</v>
      </c>
    </row>
    <row r="9820" spans="3:3" x14ac:dyDescent="0.25">
      <c r="C9820" s="26">
        <v>9818</v>
      </c>
    </row>
    <row r="9821" spans="3:3" x14ac:dyDescent="0.25">
      <c r="C9821" s="26">
        <v>9819</v>
      </c>
    </row>
    <row r="9822" spans="3:3" x14ac:dyDescent="0.25">
      <c r="C9822" s="26">
        <v>9820</v>
      </c>
    </row>
    <row r="9823" spans="3:3" x14ac:dyDescent="0.25">
      <c r="C9823" s="26">
        <v>9821</v>
      </c>
    </row>
    <row r="9824" spans="3:3" x14ac:dyDescent="0.25">
      <c r="C9824" s="26">
        <v>9822</v>
      </c>
    </row>
    <row r="9825" spans="3:3" x14ac:dyDescent="0.25">
      <c r="C9825" s="26">
        <v>9823</v>
      </c>
    </row>
    <row r="9826" spans="3:3" x14ac:dyDescent="0.25">
      <c r="C9826" s="26">
        <v>9824</v>
      </c>
    </row>
    <row r="9827" spans="3:3" x14ac:dyDescent="0.25">
      <c r="C9827" s="26">
        <v>9825</v>
      </c>
    </row>
    <row r="9828" spans="3:3" x14ac:dyDescent="0.25">
      <c r="C9828" s="26">
        <v>9826</v>
      </c>
    </row>
    <row r="9829" spans="3:3" x14ac:dyDescent="0.25">
      <c r="C9829" s="26">
        <v>9827</v>
      </c>
    </row>
    <row r="9830" spans="3:3" x14ac:dyDescent="0.25">
      <c r="C9830" s="26">
        <v>9828</v>
      </c>
    </row>
    <row r="9831" spans="3:3" x14ac:dyDescent="0.25">
      <c r="C9831" s="26">
        <v>9829</v>
      </c>
    </row>
    <row r="9832" spans="3:3" x14ac:dyDescent="0.25">
      <c r="C9832" s="26">
        <v>9830</v>
      </c>
    </row>
    <row r="9833" spans="3:3" x14ac:dyDescent="0.25">
      <c r="C9833" s="26">
        <v>9831</v>
      </c>
    </row>
    <row r="9834" spans="3:3" x14ac:dyDescent="0.25">
      <c r="C9834" s="26">
        <v>9832</v>
      </c>
    </row>
    <row r="9835" spans="3:3" x14ac:dyDescent="0.25">
      <c r="C9835" s="26">
        <v>9833</v>
      </c>
    </row>
    <row r="9836" spans="3:3" x14ac:dyDescent="0.25">
      <c r="C9836" s="26">
        <v>9834</v>
      </c>
    </row>
    <row r="9837" spans="3:3" x14ac:dyDescent="0.25">
      <c r="C9837" s="26">
        <v>9835</v>
      </c>
    </row>
    <row r="9838" spans="3:3" x14ac:dyDescent="0.25">
      <c r="C9838" s="26">
        <v>9836</v>
      </c>
    </row>
    <row r="9839" spans="3:3" x14ac:dyDescent="0.25">
      <c r="C9839" s="26">
        <v>9837</v>
      </c>
    </row>
    <row r="9840" spans="3:3" x14ac:dyDescent="0.25">
      <c r="C9840" s="26">
        <v>9838</v>
      </c>
    </row>
    <row r="9841" spans="3:3" x14ac:dyDescent="0.25">
      <c r="C9841" s="26">
        <v>9839</v>
      </c>
    </row>
    <row r="9842" spans="3:3" x14ac:dyDescent="0.25">
      <c r="C9842" s="26">
        <v>9840</v>
      </c>
    </row>
    <row r="9843" spans="3:3" x14ac:dyDescent="0.25">
      <c r="C9843" s="26">
        <v>9841</v>
      </c>
    </row>
    <row r="9844" spans="3:3" x14ac:dyDescent="0.25">
      <c r="C9844" s="26">
        <v>9842</v>
      </c>
    </row>
    <row r="9845" spans="3:3" x14ac:dyDescent="0.25">
      <c r="C9845" s="26">
        <v>9843</v>
      </c>
    </row>
    <row r="9846" spans="3:3" x14ac:dyDescent="0.25">
      <c r="C9846" s="26">
        <v>9844</v>
      </c>
    </row>
    <row r="9847" spans="3:3" x14ac:dyDescent="0.25">
      <c r="C9847" s="26">
        <v>9845</v>
      </c>
    </row>
    <row r="9848" spans="3:3" x14ac:dyDescent="0.25">
      <c r="C9848" s="26">
        <v>9846</v>
      </c>
    </row>
    <row r="9849" spans="3:3" x14ac:dyDescent="0.25">
      <c r="C9849" s="26">
        <v>9847</v>
      </c>
    </row>
    <row r="9850" spans="3:3" x14ac:dyDescent="0.25">
      <c r="C9850" s="26">
        <v>9848</v>
      </c>
    </row>
    <row r="9851" spans="3:3" x14ac:dyDescent="0.25">
      <c r="C9851" s="26">
        <v>9849</v>
      </c>
    </row>
    <row r="9852" spans="3:3" x14ac:dyDescent="0.25">
      <c r="C9852" s="26">
        <v>9850</v>
      </c>
    </row>
    <row r="9853" spans="3:3" x14ac:dyDescent="0.25">
      <c r="C9853" s="26">
        <v>9851</v>
      </c>
    </row>
    <row r="9854" spans="3:3" x14ac:dyDescent="0.25">
      <c r="C9854" s="26">
        <v>9852</v>
      </c>
    </row>
    <row r="9855" spans="3:3" x14ac:dyDescent="0.25">
      <c r="C9855" s="26">
        <v>9853</v>
      </c>
    </row>
    <row r="9856" spans="3:3" x14ac:dyDescent="0.25">
      <c r="C9856" s="26">
        <v>9854</v>
      </c>
    </row>
    <row r="9857" spans="3:3" x14ac:dyDescent="0.25">
      <c r="C9857" s="26">
        <v>9855</v>
      </c>
    </row>
    <row r="9858" spans="3:3" x14ac:dyDescent="0.25">
      <c r="C9858" s="26">
        <v>9856</v>
      </c>
    </row>
    <row r="9859" spans="3:3" x14ac:dyDescent="0.25">
      <c r="C9859" s="26">
        <v>9857</v>
      </c>
    </row>
    <row r="9860" spans="3:3" x14ac:dyDescent="0.25">
      <c r="C9860" s="26">
        <v>9858</v>
      </c>
    </row>
    <row r="9861" spans="3:3" x14ac:dyDescent="0.25">
      <c r="C9861" s="26">
        <v>9859</v>
      </c>
    </row>
    <row r="9862" spans="3:3" x14ac:dyDescent="0.25">
      <c r="C9862" s="26">
        <v>9860</v>
      </c>
    </row>
    <row r="9863" spans="3:3" x14ac:dyDescent="0.25">
      <c r="C9863" s="26">
        <v>9861</v>
      </c>
    </row>
    <row r="9864" spans="3:3" x14ac:dyDescent="0.25">
      <c r="C9864" s="26">
        <v>9862</v>
      </c>
    </row>
    <row r="9865" spans="3:3" x14ac:dyDescent="0.25">
      <c r="C9865" s="26">
        <v>9863</v>
      </c>
    </row>
    <row r="9866" spans="3:3" x14ac:dyDescent="0.25">
      <c r="C9866" s="26">
        <v>9864</v>
      </c>
    </row>
    <row r="9867" spans="3:3" x14ac:dyDescent="0.25">
      <c r="C9867" s="26">
        <v>9865</v>
      </c>
    </row>
    <row r="9868" spans="3:3" x14ac:dyDescent="0.25">
      <c r="C9868" s="26">
        <v>9866</v>
      </c>
    </row>
    <row r="9869" spans="3:3" x14ac:dyDescent="0.25">
      <c r="C9869" s="26">
        <v>9867</v>
      </c>
    </row>
    <row r="9870" spans="3:3" x14ac:dyDescent="0.25">
      <c r="C9870" s="26">
        <v>9868</v>
      </c>
    </row>
    <row r="9871" spans="3:3" x14ac:dyDescent="0.25">
      <c r="C9871" s="26">
        <v>9869</v>
      </c>
    </row>
    <row r="9872" spans="3:3" x14ac:dyDescent="0.25">
      <c r="C9872" s="26">
        <v>9870</v>
      </c>
    </row>
    <row r="9873" spans="3:3" x14ac:dyDescent="0.25">
      <c r="C9873" s="26">
        <v>9871</v>
      </c>
    </row>
    <row r="9874" spans="3:3" x14ac:dyDescent="0.25">
      <c r="C9874" s="26">
        <v>9872</v>
      </c>
    </row>
    <row r="9875" spans="3:3" x14ac:dyDescent="0.25">
      <c r="C9875" s="26">
        <v>9873</v>
      </c>
    </row>
    <row r="9876" spans="3:3" x14ac:dyDescent="0.25">
      <c r="C9876" s="26">
        <v>9874</v>
      </c>
    </row>
    <row r="9877" spans="3:3" x14ac:dyDescent="0.25">
      <c r="C9877" s="26">
        <v>9875</v>
      </c>
    </row>
    <row r="9878" spans="3:3" x14ac:dyDescent="0.25">
      <c r="C9878" s="26">
        <v>9876</v>
      </c>
    </row>
    <row r="9879" spans="3:3" x14ac:dyDescent="0.25">
      <c r="C9879" s="26">
        <v>9877</v>
      </c>
    </row>
    <row r="9880" spans="3:3" x14ac:dyDescent="0.25">
      <c r="C9880" s="26">
        <v>9878</v>
      </c>
    </row>
    <row r="9881" spans="3:3" x14ac:dyDescent="0.25">
      <c r="C9881" s="26">
        <v>9879</v>
      </c>
    </row>
    <row r="9882" spans="3:3" x14ac:dyDescent="0.25">
      <c r="C9882" s="26">
        <v>9880</v>
      </c>
    </row>
    <row r="9883" spans="3:3" x14ac:dyDescent="0.25">
      <c r="C9883" s="26">
        <v>9881</v>
      </c>
    </row>
    <row r="9884" spans="3:3" x14ac:dyDescent="0.25">
      <c r="C9884" s="26">
        <v>9882</v>
      </c>
    </row>
    <row r="9885" spans="3:3" x14ac:dyDescent="0.25">
      <c r="C9885" s="26">
        <v>9883</v>
      </c>
    </row>
    <row r="9886" spans="3:3" x14ac:dyDescent="0.25">
      <c r="C9886" s="26">
        <v>9884</v>
      </c>
    </row>
    <row r="9887" spans="3:3" x14ac:dyDescent="0.25">
      <c r="C9887" s="26">
        <v>9885</v>
      </c>
    </row>
    <row r="9888" spans="3:3" x14ac:dyDescent="0.25">
      <c r="C9888" s="26">
        <v>9886</v>
      </c>
    </row>
    <row r="9889" spans="3:3" x14ac:dyDescent="0.25">
      <c r="C9889" s="26">
        <v>9887</v>
      </c>
    </row>
    <row r="9890" spans="3:3" x14ac:dyDescent="0.25">
      <c r="C9890" s="26">
        <v>9888</v>
      </c>
    </row>
    <row r="9891" spans="3:3" x14ac:dyDescent="0.25">
      <c r="C9891" s="26">
        <v>9889</v>
      </c>
    </row>
    <row r="9892" spans="3:3" x14ac:dyDescent="0.25">
      <c r="C9892" s="26">
        <v>9890</v>
      </c>
    </row>
    <row r="9893" spans="3:3" x14ac:dyDescent="0.25">
      <c r="C9893" s="26">
        <v>9891</v>
      </c>
    </row>
    <row r="9894" spans="3:3" x14ac:dyDescent="0.25">
      <c r="C9894" s="26">
        <v>9892</v>
      </c>
    </row>
    <row r="9895" spans="3:3" x14ac:dyDescent="0.25">
      <c r="C9895" s="26">
        <v>9893</v>
      </c>
    </row>
    <row r="9896" spans="3:3" x14ac:dyDescent="0.25">
      <c r="C9896" s="26">
        <v>9894</v>
      </c>
    </row>
    <row r="9897" spans="3:3" x14ac:dyDescent="0.25">
      <c r="C9897" s="26">
        <v>9895</v>
      </c>
    </row>
    <row r="9898" spans="3:3" x14ac:dyDescent="0.25">
      <c r="C9898" s="26">
        <v>9896</v>
      </c>
    </row>
    <row r="9899" spans="3:3" x14ac:dyDescent="0.25">
      <c r="C9899" s="26">
        <v>9897</v>
      </c>
    </row>
    <row r="9900" spans="3:3" x14ac:dyDescent="0.25">
      <c r="C9900" s="26">
        <v>9898</v>
      </c>
    </row>
    <row r="9901" spans="3:3" x14ac:dyDescent="0.25">
      <c r="C9901" s="26">
        <v>9899</v>
      </c>
    </row>
    <row r="9902" spans="3:3" x14ac:dyDescent="0.25">
      <c r="C9902" s="26">
        <v>9900</v>
      </c>
    </row>
    <row r="9903" spans="3:3" x14ac:dyDescent="0.25">
      <c r="C9903" s="26">
        <v>9901</v>
      </c>
    </row>
    <row r="9904" spans="3:3" x14ac:dyDescent="0.25">
      <c r="C9904" s="26">
        <v>9902</v>
      </c>
    </row>
    <row r="9905" spans="3:3" x14ac:dyDescent="0.25">
      <c r="C9905" s="26">
        <v>9903</v>
      </c>
    </row>
    <row r="9906" spans="3:3" x14ac:dyDescent="0.25">
      <c r="C9906" s="26">
        <v>9904</v>
      </c>
    </row>
    <row r="9907" spans="3:3" x14ac:dyDescent="0.25">
      <c r="C9907" s="26">
        <v>9905</v>
      </c>
    </row>
    <row r="9908" spans="3:3" x14ac:dyDescent="0.25">
      <c r="C9908" s="26">
        <v>9906</v>
      </c>
    </row>
    <row r="9909" spans="3:3" x14ac:dyDescent="0.25">
      <c r="C9909" s="26">
        <v>9907</v>
      </c>
    </row>
    <row r="9910" spans="3:3" x14ac:dyDescent="0.25">
      <c r="C9910" s="26">
        <v>9908</v>
      </c>
    </row>
    <row r="9911" spans="3:3" x14ac:dyDescent="0.25">
      <c r="C9911" s="26">
        <v>9909</v>
      </c>
    </row>
    <row r="9912" spans="3:3" x14ac:dyDescent="0.25">
      <c r="C9912" s="26">
        <v>9910</v>
      </c>
    </row>
    <row r="9913" spans="3:3" x14ac:dyDescent="0.25">
      <c r="C9913" s="26">
        <v>9911</v>
      </c>
    </row>
    <row r="9914" spans="3:3" x14ac:dyDescent="0.25">
      <c r="C9914" s="26">
        <v>9912</v>
      </c>
    </row>
    <row r="9915" spans="3:3" x14ac:dyDescent="0.25">
      <c r="C9915" s="26">
        <v>9913</v>
      </c>
    </row>
    <row r="9916" spans="3:3" x14ac:dyDescent="0.25">
      <c r="C9916" s="26">
        <v>9914</v>
      </c>
    </row>
    <row r="9917" spans="3:3" x14ac:dyDescent="0.25">
      <c r="C9917" s="26">
        <v>9915</v>
      </c>
    </row>
    <row r="9918" spans="3:3" x14ac:dyDescent="0.25">
      <c r="C9918" s="26">
        <v>9916</v>
      </c>
    </row>
    <row r="9919" spans="3:3" x14ac:dyDescent="0.25">
      <c r="C9919" s="26">
        <v>9917</v>
      </c>
    </row>
    <row r="9920" spans="3:3" x14ac:dyDescent="0.25">
      <c r="C9920" s="26">
        <v>9918</v>
      </c>
    </row>
    <row r="9921" spans="3:3" x14ac:dyDescent="0.25">
      <c r="C9921" s="26">
        <v>9919</v>
      </c>
    </row>
    <row r="9922" spans="3:3" x14ac:dyDescent="0.25">
      <c r="C9922" s="26">
        <v>9920</v>
      </c>
    </row>
    <row r="9923" spans="3:3" x14ac:dyDescent="0.25">
      <c r="C9923" s="26">
        <v>9921</v>
      </c>
    </row>
    <row r="9924" spans="3:3" x14ac:dyDescent="0.25">
      <c r="C9924" s="26">
        <v>9922</v>
      </c>
    </row>
    <row r="9925" spans="3:3" x14ac:dyDescent="0.25">
      <c r="C9925" s="26">
        <v>9923</v>
      </c>
    </row>
    <row r="9926" spans="3:3" x14ac:dyDescent="0.25">
      <c r="C9926" s="26">
        <v>9924</v>
      </c>
    </row>
    <row r="9927" spans="3:3" x14ac:dyDescent="0.25">
      <c r="C9927" s="26">
        <v>9925</v>
      </c>
    </row>
    <row r="9928" spans="3:3" x14ac:dyDescent="0.25">
      <c r="C9928" s="26">
        <v>9926</v>
      </c>
    </row>
    <row r="9929" spans="3:3" x14ac:dyDescent="0.25">
      <c r="C9929" s="26">
        <v>9927</v>
      </c>
    </row>
    <row r="9930" spans="3:3" x14ac:dyDescent="0.25">
      <c r="C9930" s="26">
        <v>9928</v>
      </c>
    </row>
    <row r="9931" spans="3:3" x14ac:dyDescent="0.25">
      <c r="C9931" s="26">
        <v>9929</v>
      </c>
    </row>
    <row r="9932" spans="3:3" x14ac:dyDescent="0.25">
      <c r="C9932" s="26">
        <v>9930</v>
      </c>
    </row>
    <row r="9933" spans="3:3" x14ac:dyDescent="0.25">
      <c r="C9933" s="26">
        <v>9931</v>
      </c>
    </row>
    <row r="9934" spans="3:3" x14ac:dyDescent="0.25">
      <c r="C9934" s="26">
        <v>9932</v>
      </c>
    </row>
    <row r="9935" spans="3:3" x14ac:dyDescent="0.25">
      <c r="C9935" s="26">
        <v>9933</v>
      </c>
    </row>
    <row r="9936" spans="3:3" x14ac:dyDescent="0.25">
      <c r="C9936" s="26">
        <v>9934</v>
      </c>
    </row>
    <row r="9937" spans="3:3" x14ac:dyDescent="0.25">
      <c r="C9937" s="26">
        <v>9935</v>
      </c>
    </row>
    <row r="9938" spans="3:3" x14ac:dyDescent="0.25">
      <c r="C9938" s="26">
        <v>9936</v>
      </c>
    </row>
    <row r="9939" spans="3:3" x14ac:dyDescent="0.25">
      <c r="C9939" s="26">
        <v>9937</v>
      </c>
    </row>
    <row r="9940" spans="3:3" x14ac:dyDescent="0.25">
      <c r="C9940" s="26">
        <v>9938</v>
      </c>
    </row>
    <row r="9941" spans="3:3" x14ac:dyDescent="0.25">
      <c r="C9941" s="26">
        <v>9939</v>
      </c>
    </row>
    <row r="9942" spans="3:3" x14ac:dyDescent="0.25">
      <c r="C9942" s="26">
        <v>9940</v>
      </c>
    </row>
    <row r="9943" spans="3:3" x14ac:dyDescent="0.25">
      <c r="C9943" s="26">
        <v>9941</v>
      </c>
    </row>
    <row r="9944" spans="3:3" x14ac:dyDescent="0.25">
      <c r="C9944" s="26">
        <v>9942</v>
      </c>
    </row>
    <row r="9945" spans="3:3" x14ac:dyDescent="0.25">
      <c r="C9945" s="26">
        <v>9943</v>
      </c>
    </row>
    <row r="9946" spans="3:3" x14ac:dyDescent="0.25">
      <c r="C9946" s="26">
        <v>9944</v>
      </c>
    </row>
    <row r="9947" spans="3:3" x14ac:dyDescent="0.25">
      <c r="C9947" s="26">
        <v>9945</v>
      </c>
    </row>
    <row r="9948" spans="3:3" x14ac:dyDescent="0.25">
      <c r="C9948" s="26">
        <v>9946</v>
      </c>
    </row>
    <row r="9949" spans="3:3" x14ac:dyDescent="0.25">
      <c r="C9949" s="26">
        <v>9947</v>
      </c>
    </row>
    <row r="9950" spans="3:3" x14ac:dyDescent="0.25">
      <c r="C9950" s="26">
        <v>9948</v>
      </c>
    </row>
    <row r="9951" spans="3:3" x14ac:dyDescent="0.25">
      <c r="C9951" s="26">
        <v>9949</v>
      </c>
    </row>
    <row r="9952" spans="3:3" x14ac:dyDescent="0.25">
      <c r="C9952" s="26">
        <v>9950</v>
      </c>
    </row>
    <row r="9953" spans="3:3" x14ac:dyDescent="0.25">
      <c r="C9953" s="26">
        <v>9951</v>
      </c>
    </row>
    <row r="9954" spans="3:3" x14ac:dyDescent="0.25">
      <c r="C9954" s="26">
        <v>9952</v>
      </c>
    </row>
    <row r="9955" spans="3:3" x14ac:dyDescent="0.25">
      <c r="C9955" s="26">
        <v>9953</v>
      </c>
    </row>
    <row r="9956" spans="3:3" x14ac:dyDescent="0.25">
      <c r="C9956" s="26">
        <v>9954</v>
      </c>
    </row>
    <row r="9957" spans="3:3" x14ac:dyDescent="0.25">
      <c r="C9957" s="26">
        <v>9955</v>
      </c>
    </row>
    <row r="9958" spans="3:3" x14ac:dyDescent="0.25">
      <c r="C9958" s="26">
        <v>9956</v>
      </c>
    </row>
    <row r="9959" spans="3:3" x14ac:dyDescent="0.25">
      <c r="C9959" s="26">
        <v>9957</v>
      </c>
    </row>
    <row r="9960" spans="3:3" x14ac:dyDescent="0.25">
      <c r="C9960" s="26">
        <v>9958</v>
      </c>
    </row>
    <row r="9961" spans="3:3" x14ac:dyDescent="0.25">
      <c r="C9961" s="26">
        <v>9959</v>
      </c>
    </row>
    <row r="9962" spans="3:3" x14ac:dyDescent="0.25">
      <c r="C9962" s="26">
        <v>9960</v>
      </c>
    </row>
    <row r="9963" spans="3:3" x14ac:dyDescent="0.25">
      <c r="C9963" s="26">
        <v>9961</v>
      </c>
    </row>
    <row r="9964" spans="3:3" x14ac:dyDescent="0.25">
      <c r="C9964" s="26">
        <v>9962</v>
      </c>
    </row>
    <row r="9965" spans="3:3" x14ac:dyDescent="0.25">
      <c r="C9965" s="26">
        <v>9963</v>
      </c>
    </row>
    <row r="9966" spans="3:3" x14ac:dyDescent="0.25">
      <c r="C9966" s="26">
        <v>9964</v>
      </c>
    </row>
    <row r="9967" spans="3:3" x14ac:dyDescent="0.25">
      <c r="C9967" s="26">
        <v>9965</v>
      </c>
    </row>
    <row r="9968" spans="3:3" x14ac:dyDescent="0.25">
      <c r="C9968" s="26">
        <v>9966</v>
      </c>
    </row>
    <row r="9969" spans="3:3" x14ac:dyDescent="0.25">
      <c r="C9969" s="26">
        <v>9967</v>
      </c>
    </row>
    <row r="9970" spans="3:3" x14ac:dyDescent="0.25">
      <c r="C9970" s="26">
        <v>9968</v>
      </c>
    </row>
    <row r="9971" spans="3:3" x14ac:dyDescent="0.25">
      <c r="C9971" s="26">
        <v>9969</v>
      </c>
    </row>
    <row r="9972" spans="3:3" x14ac:dyDescent="0.25">
      <c r="C9972" s="26">
        <v>9970</v>
      </c>
    </row>
    <row r="9973" spans="3:3" x14ac:dyDescent="0.25">
      <c r="C9973" s="26">
        <v>9971</v>
      </c>
    </row>
    <row r="9974" spans="3:3" x14ac:dyDescent="0.25">
      <c r="C9974" s="26">
        <v>9972</v>
      </c>
    </row>
    <row r="9975" spans="3:3" x14ac:dyDescent="0.25">
      <c r="C9975" s="26">
        <v>9973</v>
      </c>
    </row>
    <row r="9976" spans="3:3" x14ac:dyDescent="0.25">
      <c r="C9976" s="26">
        <v>9974</v>
      </c>
    </row>
    <row r="9977" spans="3:3" x14ac:dyDescent="0.25">
      <c r="C9977" s="26">
        <v>9975</v>
      </c>
    </row>
    <row r="9978" spans="3:3" x14ac:dyDescent="0.25">
      <c r="C9978" s="26">
        <v>9976</v>
      </c>
    </row>
    <row r="9979" spans="3:3" x14ac:dyDescent="0.25">
      <c r="C9979" s="26">
        <v>9977</v>
      </c>
    </row>
    <row r="9980" spans="3:3" x14ac:dyDescent="0.25">
      <c r="C9980" s="26">
        <v>9978</v>
      </c>
    </row>
    <row r="9981" spans="3:3" x14ac:dyDescent="0.25">
      <c r="C9981" s="26">
        <v>9979</v>
      </c>
    </row>
    <row r="9982" spans="3:3" x14ac:dyDescent="0.25">
      <c r="C9982" s="26">
        <v>9980</v>
      </c>
    </row>
    <row r="9983" spans="3:3" x14ac:dyDescent="0.25">
      <c r="C9983" s="26">
        <v>9981</v>
      </c>
    </row>
    <row r="9984" spans="3:3" x14ac:dyDescent="0.25">
      <c r="C9984" s="26">
        <v>9982</v>
      </c>
    </row>
    <row r="9985" spans="3:3" x14ac:dyDescent="0.25">
      <c r="C9985" s="26">
        <v>9983</v>
      </c>
    </row>
    <row r="9986" spans="3:3" x14ac:dyDescent="0.25">
      <c r="C9986" s="26">
        <v>9984</v>
      </c>
    </row>
    <row r="9987" spans="3:3" x14ac:dyDescent="0.25">
      <c r="C9987" s="26">
        <v>9985</v>
      </c>
    </row>
    <row r="9988" spans="3:3" x14ac:dyDescent="0.25">
      <c r="C9988" s="26">
        <v>9986</v>
      </c>
    </row>
    <row r="9989" spans="3:3" x14ac:dyDescent="0.25">
      <c r="C9989" s="26">
        <v>9987</v>
      </c>
    </row>
    <row r="9990" spans="3:3" x14ac:dyDescent="0.25">
      <c r="C9990" s="26">
        <v>9988</v>
      </c>
    </row>
    <row r="9991" spans="3:3" x14ac:dyDescent="0.25">
      <c r="C9991" s="26">
        <v>9989</v>
      </c>
    </row>
    <row r="9992" spans="3:3" x14ac:dyDescent="0.25">
      <c r="C9992" s="26">
        <v>9990</v>
      </c>
    </row>
    <row r="9993" spans="3:3" x14ac:dyDescent="0.25">
      <c r="C9993" s="26">
        <v>9991</v>
      </c>
    </row>
    <row r="9994" spans="3:3" x14ac:dyDescent="0.25">
      <c r="C9994" s="26">
        <v>9992</v>
      </c>
    </row>
    <row r="9995" spans="3:3" x14ac:dyDescent="0.25">
      <c r="C9995" s="26">
        <v>9993</v>
      </c>
    </row>
    <row r="9996" spans="3:3" x14ac:dyDescent="0.25">
      <c r="C9996" s="26">
        <v>9994</v>
      </c>
    </row>
    <row r="9997" spans="3:3" x14ac:dyDescent="0.25">
      <c r="C9997" s="26">
        <v>9995</v>
      </c>
    </row>
    <row r="9998" spans="3:3" x14ac:dyDescent="0.25">
      <c r="C9998" s="26">
        <v>9996</v>
      </c>
    </row>
    <row r="9999" spans="3:3" x14ac:dyDescent="0.25">
      <c r="C9999" s="26">
        <v>9997</v>
      </c>
    </row>
    <row r="10000" spans="3:3" x14ac:dyDescent="0.25">
      <c r="C10000" s="26">
        <v>9998</v>
      </c>
    </row>
    <row r="10001" spans="3:3" x14ac:dyDescent="0.25">
      <c r="C10001" s="26">
        <v>9999</v>
      </c>
    </row>
    <row r="10002" spans="3:3" x14ac:dyDescent="0.25">
      <c r="C10002" s="26">
        <v>10000</v>
      </c>
    </row>
    <row r="10003" spans="3:3" x14ac:dyDescent="0.25">
      <c r="C10003" s="26">
        <v>10001</v>
      </c>
    </row>
    <row r="10004" spans="3:3" x14ac:dyDescent="0.25">
      <c r="C10004" s="26">
        <v>10002</v>
      </c>
    </row>
    <row r="10005" spans="3:3" x14ac:dyDescent="0.25">
      <c r="C10005" s="26">
        <v>10003</v>
      </c>
    </row>
    <row r="10006" spans="3:3" x14ac:dyDescent="0.25">
      <c r="C10006" s="26">
        <v>10004</v>
      </c>
    </row>
    <row r="10007" spans="3:3" x14ac:dyDescent="0.25">
      <c r="C10007" s="26">
        <v>10005</v>
      </c>
    </row>
    <row r="10008" spans="3:3" x14ac:dyDescent="0.25">
      <c r="C10008" s="26">
        <v>10006</v>
      </c>
    </row>
    <row r="10009" spans="3:3" x14ac:dyDescent="0.25">
      <c r="C10009" s="26">
        <v>10007</v>
      </c>
    </row>
    <row r="10010" spans="3:3" x14ac:dyDescent="0.25">
      <c r="C10010" s="26">
        <v>10008</v>
      </c>
    </row>
    <row r="10011" spans="3:3" x14ac:dyDescent="0.25">
      <c r="C10011" s="26">
        <v>10009</v>
      </c>
    </row>
    <row r="10012" spans="3:3" x14ac:dyDescent="0.25">
      <c r="C10012" s="26">
        <v>10010</v>
      </c>
    </row>
    <row r="10013" spans="3:3" x14ac:dyDescent="0.25">
      <c r="C10013" s="26">
        <v>10011</v>
      </c>
    </row>
    <row r="10014" spans="3:3" x14ac:dyDescent="0.25">
      <c r="C10014" s="26">
        <v>10012</v>
      </c>
    </row>
    <row r="10015" spans="3:3" x14ac:dyDescent="0.25">
      <c r="C10015" s="26">
        <v>10013</v>
      </c>
    </row>
    <row r="10016" spans="3:3" x14ac:dyDescent="0.25">
      <c r="C10016" s="26">
        <v>10014</v>
      </c>
    </row>
    <row r="10017" spans="3:3" x14ac:dyDescent="0.25">
      <c r="C10017" s="26">
        <v>10015</v>
      </c>
    </row>
    <row r="10018" spans="3:3" x14ac:dyDescent="0.25">
      <c r="C10018" s="26">
        <v>10016</v>
      </c>
    </row>
    <row r="10019" spans="3:3" x14ac:dyDescent="0.25">
      <c r="C10019" s="26">
        <v>10017</v>
      </c>
    </row>
    <row r="10020" spans="3:3" x14ac:dyDescent="0.25">
      <c r="C10020" s="26">
        <v>10018</v>
      </c>
    </row>
    <row r="10021" spans="3:3" x14ac:dyDescent="0.25">
      <c r="C10021" s="26">
        <v>10019</v>
      </c>
    </row>
    <row r="10022" spans="3:3" x14ac:dyDescent="0.25">
      <c r="C10022" s="26">
        <v>10020</v>
      </c>
    </row>
    <row r="10023" spans="3:3" x14ac:dyDescent="0.25">
      <c r="C10023" s="26">
        <v>10021</v>
      </c>
    </row>
    <row r="10024" spans="3:3" x14ac:dyDescent="0.25">
      <c r="C10024" s="26">
        <v>10022</v>
      </c>
    </row>
    <row r="10025" spans="3:3" x14ac:dyDescent="0.25">
      <c r="C10025" s="26">
        <v>10023</v>
      </c>
    </row>
    <row r="10026" spans="3:3" x14ac:dyDescent="0.25">
      <c r="C10026" s="26">
        <v>10024</v>
      </c>
    </row>
    <row r="10027" spans="3:3" x14ac:dyDescent="0.25">
      <c r="C10027" s="26">
        <v>10025</v>
      </c>
    </row>
    <row r="10028" spans="3:3" x14ac:dyDescent="0.25">
      <c r="C10028" s="26">
        <v>10026</v>
      </c>
    </row>
    <row r="10029" spans="3:3" x14ac:dyDescent="0.25">
      <c r="C10029" s="26">
        <v>10027</v>
      </c>
    </row>
    <row r="10030" spans="3:3" x14ac:dyDescent="0.25">
      <c r="C10030" s="26">
        <v>10028</v>
      </c>
    </row>
    <row r="10031" spans="3:3" x14ac:dyDescent="0.25">
      <c r="C10031" s="26">
        <v>10029</v>
      </c>
    </row>
    <row r="10032" spans="3:3" x14ac:dyDescent="0.25">
      <c r="C10032" s="26">
        <v>10030</v>
      </c>
    </row>
    <row r="10033" spans="3:3" x14ac:dyDescent="0.25">
      <c r="C10033" s="26">
        <v>10031</v>
      </c>
    </row>
    <row r="10034" spans="3:3" x14ac:dyDescent="0.25">
      <c r="C10034" s="26">
        <v>10032</v>
      </c>
    </row>
    <row r="10035" spans="3:3" x14ac:dyDescent="0.25">
      <c r="C10035" s="26">
        <v>10033</v>
      </c>
    </row>
    <row r="10036" spans="3:3" x14ac:dyDescent="0.25">
      <c r="C10036" s="26">
        <v>10034</v>
      </c>
    </row>
    <row r="10037" spans="3:3" x14ac:dyDescent="0.25">
      <c r="C10037" s="26">
        <v>10035</v>
      </c>
    </row>
    <row r="10038" spans="3:3" x14ac:dyDescent="0.25">
      <c r="C10038" s="26">
        <v>10036</v>
      </c>
    </row>
    <row r="10039" spans="3:3" x14ac:dyDescent="0.25">
      <c r="C10039" s="26">
        <v>10037</v>
      </c>
    </row>
    <row r="10040" spans="3:3" x14ac:dyDescent="0.25">
      <c r="C10040" s="26">
        <v>10038</v>
      </c>
    </row>
    <row r="10041" spans="3:3" x14ac:dyDescent="0.25">
      <c r="C10041" s="26">
        <v>10039</v>
      </c>
    </row>
    <row r="10042" spans="3:3" x14ac:dyDescent="0.25">
      <c r="C10042" s="26">
        <v>10040</v>
      </c>
    </row>
    <row r="10043" spans="3:3" x14ac:dyDescent="0.25">
      <c r="C10043" s="26">
        <v>10041</v>
      </c>
    </row>
    <row r="10044" spans="3:3" x14ac:dyDescent="0.25">
      <c r="C10044" s="26">
        <v>10042</v>
      </c>
    </row>
    <row r="10045" spans="3:3" x14ac:dyDescent="0.25">
      <c r="C10045" s="26">
        <v>10043</v>
      </c>
    </row>
    <row r="10046" spans="3:3" x14ac:dyDescent="0.25">
      <c r="C10046" s="26">
        <v>10044</v>
      </c>
    </row>
    <row r="10047" spans="3:3" x14ac:dyDescent="0.25">
      <c r="C10047" s="26">
        <v>10045</v>
      </c>
    </row>
    <row r="10048" spans="3:3" x14ac:dyDescent="0.25">
      <c r="C10048" s="26">
        <v>10046</v>
      </c>
    </row>
    <row r="10049" spans="3:3" x14ac:dyDescent="0.25">
      <c r="C10049" s="26">
        <v>10047</v>
      </c>
    </row>
    <row r="10050" spans="3:3" x14ac:dyDescent="0.25">
      <c r="C10050" s="26">
        <v>10048</v>
      </c>
    </row>
    <row r="10051" spans="3:3" x14ac:dyDescent="0.25">
      <c r="C10051" s="26">
        <v>10049</v>
      </c>
    </row>
    <row r="10052" spans="3:3" x14ac:dyDescent="0.25">
      <c r="C10052" s="26">
        <v>10050</v>
      </c>
    </row>
    <row r="10053" spans="3:3" x14ac:dyDescent="0.25">
      <c r="C10053" s="26">
        <v>10051</v>
      </c>
    </row>
    <row r="10054" spans="3:3" x14ac:dyDescent="0.25">
      <c r="C10054" s="26">
        <v>10052</v>
      </c>
    </row>
    <row r="10055" spans="3:3" x14ac:dyDescent="0.25">
      <c r="C10055" s="26">
        <v>10053</v>
      </c>
    </row>
    <row r="10056" spans="3:3" x14ac:dyDescent="0.25">
      <c r="C10056" s="26">
        <v>10054</v>
      </c>
    </row>
    <row r="10057" spans="3:3" x14ac:dyDescent="0.25">
      <c r="C10057" s="26">
        <v>10055</v>
      </c>
    </row>
    <row r="10058" spans="3:3" x14ac:dyDescent="0.25">
      <c r="C10058" s="26">
        <v>10056</v>
      </c>
    </row>
    <row r="10059" spans="3:3" x14ac:dyDescent="0.25">
      <c r="C10059" s="26">
        <v>10057</v>
      </c>
    </row>
    <row r="10060" spans="3:3" x14ac:dyDescent="0.25">
      <c r="C10060" s="26">
        <v>10058</v>
      </c>
    </row>
    <row r="10061" spans="3:3" x14ac:dyDescent="0.25">
      <c r="C10061" s="26">
        <v>10059</v>
      </c>
    </row>
    <row r="10062" spans="3:3" x14ac:dyDescent="0.25">
      <c r="C10062" s="26">
        <v>10060</v>
      </c>
    </row>
    <row r="10063" spans="3:3" x14ac:dyDescent="0.25">
      <c r="C10063" s="26">
        <v>10061</v>
      </c>
    </row>
    <row r="10064" spans="3:3" x14ac:dyDescent="0.25">
      <c r="C10064" s="26">
        <v>10062</v>
      </c>
    </row>
    <row r="10065" spans="3:3" x14ac:dyDescent="0.25">
      <c r="C10065" s="26">
        <v>10063</v>
      </c>
    </row>
    <row r="10066" spans="3:3" x14ac:dyDescent="0.25">
      <c r="C10066" s="26">
        <v>10064</v>
      </c>
    </row>
    <row r="10067" spans="3:3" x14ac:dyDescent="0.25">
      <c r="C10067" s="26">
        <v>10065</v>
      </c>
    </row>
    <row r="10068" spans="3:3" x14ac:dyDescent="0.25">
      <c r="C10068" s="26">
        <v>10066</v>
      </c>
    </row>
    <row r="10069" spans="3:3" x14ac:dyDescent="0.25">
      <c r="C10069" s="26">
        <v>10067</v>
      </c>
    </row>
    <row r="10070" spans="3:3" x14ac:dyDescent="0.25">
      <c r="C10070" s="26">
        <v>10068</v>
      </c>
    </row>
    <row r="10071" spans="3:3" x14ac:dyDescent="0.25">
      <c r="C10071" s="26">
        <v>10069</v>
      </c>
    </row>
    <row r="10072" spans="3:3" x14ac:dyDescent="0.25">
      <c r="C10072" s="26">
        <v>10070</v>
      </c>
    </row>
    <row r="10073" spans="3:3" x14ac:dyDescent="0.25">
      <c r="C10073" s="26">
        <v>10071</v>
      </c>
    </row>
    <row r="10074" spans="3:3" x14ac:dyDescent="0.25">
      <c r="C10074" s="26">
        <v>10072</v>
      </c>
    </row>
    <row r="10075" spans="3:3" x14ac:dyDescent="0.25">
      <c r="C10075" s="26">
        <v>10073</v>
      </c>
    </row>
    <row r="10076" spans="3:3" x14ac:dyDescent="0.25">
      <c r="C10076" s="26">
        <v>10074</v>
      </c>
    </row>
    <row r="10077" spans="3:3" x14ac:dyDescent="0.25">
      <c r="C10077" s="26">
        <v>10075</v>
      </c>
    </row>
    <row r="10078" spans="3:3" x14ac:dyDescent="0.25">
      <c r="C10078" s="26">
        <v>10076</v>
      </c>
    </row>
    <row r="10079" spans="3:3" x14ac:dyDescent="0.25">
      <c r="C10079" s="26">
        <v>10077</v>
      </c>
    </row>
    <row r="10080" spans="3:3" x14ac:dyDescent="0.25">
      <c r="C10080" s="26">
        <v>10078</v>
      </c>
    </row>
    <row r="10081" spans="3:3" x14ac:dyDescent="0.25">
      <c r="C10081" s="26">
        <v>10079</v>
      </c>
    </row>
    <row r="10082" spans="3:3" x14ac:dyDescent="0.25">
      <c r="C10082" s="26">
        <v>10080</v>
      </c>
    </row>
    <row r="10083" spans="3:3" x14ac:dyDescent="0.25">
      <c r="C10083" s="26">
        <v>10081</v>
      </c>
    </row>
    <row r="10084" spans="3:3" x14ac:dyDescent="0.25">
      <c r="C10084" s="26">
        <v>10082</v>
      </c>
    </row>
    <row r="10085" spans="3:3" x14ac:dyDescent="0.25">
      <c r="C10085" s="26">
        <v>10083</v>
      </c>
    </row>
    <row r="10086" spans="3:3" x14ac:dyDescent="0.25">
      <c r="C10086" s="26">
        <v>10084</v>
      </c>
    </row>
    <row r="10087" spans="3:3" x14ac:dyDescent="0.25">
      <c r="C10087" s="26">
        <v>10085</v>
      </c>
    </row>
    <row r="10088" spans="3:3" x14ac:dyDescent="0.25">
      <c r="C10088" s="26">
        <v>10086</v>
      </c>
    </row>
    <row r="10089" spans="3:3" x14ac:dyDescent="0.25">
      <c r="C10089" s="26">
        <v>10087</v>
      </c>
    </row>
    <row r="10090" spans="3:3" x14ac:dyDescent="0.25">
      <c r="C10090" s="26">
        <v>10088</v>
      </c>
    </row>
    <row r="10091" spans="3:3" x14ac:dyDescent="0.25">
      <c r="C10091" s="26">
        <v>10089</v>
      </c>
    </row>
    <row r="10092" spans="3:3" x14ac:dyDescent="0.25">
      <c r="C10092" s="26">
        <v>10090</v>
      </c>
    </row>
    <row r="10093" spans="3:3" x14ac:dyDescent="0.25">
      <c r="C10093" s="26">
        <v>10091</v>
      </c>
    </row>
    <row r="10094" spans="3:3" x14ac:dyDescent="0.25">
      <c r="C10094" s="26">
        <v>10092</v>
      </c>
    </row>
    <row r="10095" spans="3:3" x14ac:dyDescent="0.25">
      <c r="C10095" s="26">
        <v>10093</v>
      </c>
    </row>
    <row r="10096" spans="3:3" x14ac:dyDescent="0.25">
      <c r="C10096" s="26">
        <v>10094</v>
      </c>
    </row>
    <row r="10097" spans="3:3" x14ac:dyDescent="0.25">
      <c r="C10097" s="26">
        <v>10095</v>
      </c>
    </row>
    <row r="10098" spans="3:3" x14ac:dyDescent="0.25">
      <c r="C10098" s="26">
        <v>10096</v>
      </c>
    </row>
    <row r="10099" spans="3:3" x14ac:dyDescent="0.25">
      <c r="C10099" s="26">
        <v>10097</v>
      </c>
    </row>
    <row r="10100" spans="3:3" x14ac:dyDescent="0.25">
      <c r="C10100" s="26">
        <v>10098</v>
      </c>
    </row>
    <row r="10101" spans="3:3" x14ac:dyDescent="0.25">
      <c r="C10101" s="26">
        <v>10099</v>
      </c>
    </row>
    <row r="10102" spans="3:3" x14ac:dyDescent="0.25">
      <c r="C10102" s="26">
        <v>10100</v>
      </c>
    </row>
    <row r="10103" spans="3:3" x14ac:dyDescent="0.25">
      <c r="C10103" s="26">
        <v>10101</v>
      </c>
    </row>
    <row r="10104" spans="3:3" x14ac:dyDescent="0.25">
      <c r="C10104" s="26">
        <v>10102</v>
      </c>
    </row>
    <row r="10105" spans="3:3" x14ac:dyDescent="0.25">
      <c r="C10105" s="26">
        <v>10103</v>
      </c>
    </row>
    <row r="10106" spans="3:3" x14ac:dyDescent="0.25">
      <c r="C10106" s="26">
        <v>10104</v>
      </c>
    </row>
    <row r="10107" spans="3:3" x14ac:dyDescent="0.25">
      <c r="C10107" s="26">
        <v>10105</v>
      </c>
    </row>
    <row r="10108" spans="3:3" x14ac:dyDescent="0.25">
      <c r="C10108" s="26">
        <v>10106</v>
      </c>
    </row>
    <row r="10109" spans="3:3" x14ac:dyDescent="0.25">
      <c r="C10109" s="26">
        <v>10107</v>
      </c>
    </row>
    <row r="10110" spans="3:3" x14ac:dyDescent="0.25">
      <c r="C10110" s="26">
        <v>10108</v>
      </c>
    </row>
    <row r="10111" spans="3:3" x14ac:dyDescent="0.25">
      <c r="C10111" s="26">
        <v>10109</v>
      </c>
    </row>
    <row r="10112" spans="3:3" x14ac:dyDescent="0.25">
      <c r="C10112" s="26">
        <v>10110</v>
      </c>
    </row>
    <row r="10113" spans="3:3" x14ac:dyDescent="0.25">
      <c r="C10113" s="26">
        <v>10111</v>
      </c>
    </row>
    <row r="10114" spans="3:3" x14ac:dyDescent="0.25">
      <c r="C10114" s="26">
        <v>10112</v>
      </c>
    </row>
    <row r="10115" spans="3:3" x14ac:dyDescent="0.25">
      <c r="C10115" s="26">
        <v>10113</v>
      </c>
    </row>
    <row r="10116" spans="3:3" x14ac:dyDescent="0.25">
      <c r="C10116" s="26">
        <v>10114</v>
      </c>
    </row>
    <row r="10117" spans="3:3" x14ac:dyDescent="0.25">
      <c r="C10117" s="26">
        <v>10115</v>
      </c>
    </row>
    <row r="10118" spans="3:3" x14ac:dyDescent="0.25">
      <c r="C10118" s="26">
        <v>10116</v>
      </c>
    </row>
    <row r="10119" spans="3:3" x14ac:dyDescent="0.25">
      <c r="C10119" s="26">
        <v>10117</v>
      </c>
    </row>
    <row r="10120" spans="3:3" x14ac:dyDescent="0.25">
      <c r="C10120" s="26">
        <v>10118</v>
      </c>
    </row>
    <row r="10121" spans="3:3" x14ac:dyDescent="0.25">
      <c r="C10121" s="26">
        <v>10119</v>
      </c>
    </row>
    <row r="10122" spans="3:3" x14ac:dyDescent="0.25">
      <c r="C10122" s="26">
        <v>10120</v>
      </c>
    </row>
    <row r="10123" spans="3:3" x14ac:dyDescent="0.25">
      <c r="C10123" s="26">
        <v>10121</v>
      </c>
    </row>
    <row r="10124" spans="3:3" x14ac:dyDescent="0.25">
      <c r="C10124" s="26">
        <v>10122</v>
      </c>
    </row>
    <row r="10125" spans="3:3" x14ac:dyDescent="0.25">
      <c r="C10125" s="26">
        <v>10123</v>
      </c>
    </row>
    <row r="10126" spans="3:3" x14ac:dyDescent="0.25">
      <c r="C10126" s="26">
        <v>10124</v>
      </c>
    </row>
    <row r="10127" spans="3:3" x14ac:dyDescent="0.25">
      <c r="C10127" s="26">
        <v>10125</v>
      </c>
    </row>
    <row r="10128" spans="3:3" x14ac:dyDescent="0.25">
      <c r="C10128" s="26">
        <v>10126</v>
      </c>
    </row>
    <row r="10129" spans="3:3" x14ac:dyDescent="0.25">
      <c r="C10129" s="26">
        <v>10127</v>
      </c>
    </row>
    <row r="10130" spans="3:3" x14ac:dyDescent="0.25">
      <c r="C10130" s="26">
        <v>10128</v>
      </c>
    </row>
    <row r="10131" spans="3:3" x14ac:dyDescent="0.25">
      <c r="C10131" s="26">
        <v>10129</v>
      </c>
    </row>
    <row r="10132" spans="3:3" x14ac:dyDescent="0.25">
      <c r="C10132" s="26">
        <v>10130</v>
      </c>
    </row>
    <row r="10133" spans="3:3" x14ac:dyDescent="0.25">
      <c r="C10133" s="26">
        <v>10131</v>
      </c>
    </row>
    <row r="10134" spans="3:3" x14ac:dyDescent="0.25">
      <c r="C10134" s="26">
        <v>10132</v>
      </c>
    </row>
    <row r="10135" spans="3:3" x14ac:dyDescent="0.25">
      <c r="C10135" s="26">
        <v>10133</v>
      </c>
    </row>
    <row r="10136" spans="3:3" x14ac:dyDescent="0.25">
      <c r="C10136" s="26">
        <v>10134</v>
      </c>
    </row>
    <row r="10137" spans="3:3" x14ac:dyDescent="0.25">
      <c r="C10137" s="26">
        <v>10135</v>
      </c>
    </row>
    <row r="10138" spans="3:3" x14ac:dyDescent="0.25">
      <c r="C10138" s="26">
        <v>10136</v>
      </c>
    </row>
    <row r="10139" spans="3:3" x14ac:dyDescent="0.25">
      <c r="C10139" s="26">
        <v>10137</v>
      </c>
    </row>
    <row r="10140" spans="3:3" x14ac:dyDescent="0.25">
      <c r="C10140" s="26">
        <v>10138</v>
      </c>
    </row>
    <row r="10141" spans="3:3" x14ac:dyDescent="0.25">
      <c r="C10141" s="26">
        <v>10139</v>
      </c>
    </row>
    <row r="10142" spans="3:3" x14ac:dyDescent="0.25">
      <c r="C10142" s="26">
        <v>10140</v>
      </c>
    </row>
    <row r="10143" spans="3:3" x14ac:dyDescent="0.25">
      <c r="C10143" s="26">
        <v>10141</v>
      </c>
    </row>
    <row r="10144" spans="3:3" x14ac:dyDescent="0.25">
      <c r="C10144" s="26">
        <v>10142</v>
      </c>
    </row>
    <row r="10145" spans="3:3" x14ac:dyDescent="0.25">
      <c r="C10145" s="26">
        <v>10143</v>
      </c>
    </row>
    <row r="10146" spans="3:3" x14ac:dyDescent="0.25">
      <c r="C10146" s="26">
        <v>10144</v>
      </c>
    </row>
    <row r="10147" spans="3:3" x14ac:dyDescent="0.25">
      <c r="C10147" s="26">
        <v>10145</v>
      </c>
    </row>
    <row r="10148" spans="3:3" x14ac:dyDescent="0.25">
      <c r="C10148" s="26">
        <v>10146</v>
      </c>
    </row>
    <row r="10149" spans="3:3" x14ac:dyDescent="0.25">
      <c r="C10149" s="26">
        <v>10147</v>
      </c>
    </row>
    <row r="10150" spans="3:3" x14ac:dyDescent="0.25">
      <c r="C10150" s="26">
        <v>10148</v>
      </c>
    </row>
    <row r="10151" spans="3:3" x14ac:dyDescent="0.25">
      <c r="C10151" s="26">
        <v>10149</v>
      </c>
    </row>
    <row r="10152" spans="3:3" x14ac:dyDescent="0.25">
      <c r="C10152" s="26">
        <v>10150</v>
      </c>
    </row>
    <row r="10153" spans="3:3" x14ac:dyDescent="0.25">
      <c r="C10153" s="26">
        <v>10151</v>
      </c>
    </row>
    <row r="10154" spans="3:3" x14ac:dyDescent="0.25">
      <c r="C10154" s="26">
        <v>10152</v>
      </c>
    </row>
    <row r="10155" spans="3:3" x14ac:dyDescent="0.25">
      <c r="C10155" s="26">
        <v>10153</v>
      </c>
    </row>
    <row r="10156" spans="3:3" x14ac:dyDescent="0.25">
      <c r="C10156" s="26">
        <v>10154</v>
      </c>
    </row>
    <row r="10157" spans="3:3" x14ac:dyDescent="0.25">
      <c r="C10157" s="26">
        <v>10155</v>
      </c>
    </row>
    <row r="10158" spans="3:3" x14ac:dyDescent="0.25">
      <c r="C10158" s="26">
        <v>10156</v>
      </c>
    </row>
    <row r="10159" spans="3:3" x14ac:dyDescent="0.25">
      <c r="C10159" s="26">
        <v>10157</v>
      </c>
    </row>
    <row r="10160" spans="3:3" x14ac:dyDescent="0.25">
      <c r="C10160" s="26">
        <v>10158</v>
      </c>
    </row>
    <row r="10161" spans="3:3" x14ac:dyDescent="0.25">
      <c r="C10161" s="26">
        <v>10159</v>
      </c>
    </row>
    <row r="10162" spans="3:3" x14ac:dyDescent="0.25">
      <c r="C10162" s="26">
        <v>10160</v>
      </c>
    </row>
    <row r="10163" spans="3:3" x14ac:dyDescent="0.25">
      <c r="C10163" s="26">
        <v>10161</v>
      </c>
    </row>
    <row r="10164" spans="3:3" x14ac:dyDescent="0.25">
      <c r="C10164" s="26">
        <v>10162</v>
      </c>
    </row>
    <row r="10165" spans="3:3" x14ac:dyDescent="0.25">
      <c r="C10165" s="26">
        <v>10163</v>
      </c>
    </row>
    <row r="10166" spans="3:3" x14ac:dyDescent="0.25">
      <c r="C10166" s="26">
        <v>10164</v>
      </c>
    </row>
    <row r="10167" spans="3:3" x14ac:dyDescent="0.25">
      <c r="C10167" s="26">
        <v>10165</v>
      </c>
    </row>
    <row r="10168" spans="3:3" x14ac:dyDescent="0.25">
      <c r="C10168" s="26">
        <v>10166</v>
      </c>
    </row>
    <row r="10169" spans="3:3" x14ac:dyDescent="0.25">
      <c r="C10169" s="26">
        <v>10167</v>
      </c>
    </row>
    <row r="10170" spans="3:3" x14ac:dyDescent="0.25">
      <c r="C10170" s="26">
        <v>10168</v>
      </c>
    </row>
    <row r="10171" spans="3:3" x14ac:dyDescent="0.25">
      <c r="C10171" s="26">
        <v>10169</v>
      </c>
    </row>
    <row r="10172" spans="3:3" x14ac:dyDescent="0.25">
      <c r="C10172" s="26">
        <v>10170</v>
      </c>
    </row>
    <row r="10173" spans="3:3" x14ac:dyDescent="0.25">
      <c r="C10173" s="26">
        <v>10171</v>
      </c>
    </row>
    <row r="10174" spans="3:3" x14ac:dyDescent="0.25">
      <c r="C10174" s="26">
        <v>10172</v>
      </c>
    </row>
    <row r="10175" spans="3:3" x14ac:dyDescent="0.25">
      <c r="C10175" s="26">
        <v>10173</v>
      </c>
    </row>
    <row r="10176" spans="3:3" x14ac:dyDescent="0.25">
      <c r="C10176" s="26">
        <v>10174</v>
      </c>
    </row>
    <row r="10177" spans="3:3" x14ac:dyDescent="0.25">
      <c r="C10177" s="26">
        <v>10175</v>
      </c>
    </row>
    <row r="10178" spans="3:3" x14ac:dyDescent="0.25">
      <c r="C10178" s="26">
        <v>10176</v>
      </c>
    </row>
    <row r="10179" spans="3:3" x14ac:dyDescent="0.25">
      <c r="C10179" s="26">
        <v>10177</v>
      </c>
    </row>
    <row r="10180" spans="3:3" x14ac:dyDescent="0.25">
      <c r="C10180" s="26">
        <v>10178</v>
      </c>
    </row>
    <row r="10181" spans="3:3" x14ac:dyDescent="0.25">
      <c r="C10181" s="26">
        <v>10179</v>
      </c>
    </row>
    <row r="10182" spans="3:3" x14ac:dyDescent="0.25">
      <c r="C10182" s="26">
        <v>10180</v>
      </c>
    </row>
    <row r="10183" spans="3:3" x14ac:dyDescent="0.25">
      <c r="C10183" s="26">
        <v>10181</v>
      </c>
    </row>
    <row r="10184" spans="3:3" x14ac:dyDescent="0.25">
      <c r="C10184" s="26">
        <v>10182</v>
      </c>
    </row>
    <row r="10185" spans="3:3" x14ac:dyDescent="0.25">
      <c r="C10185" s="26">
        <v>10183</v>
      </c>
    </row>
    <row r="10186" spans="3:3" x14ac:dyDescent="0.25">
      <c r="C10186" s="26">
        <v>10184</v>
      </c>
    </row>
    <row r="10187" spans="3:3" x14ac:dyDescent="0.25">
      <c r="C10187" s="26">
        <v>10185</v>
      </c>
    </row>
    <row r="10188" spans="3:3" x14ac:dyDescent="0.25">
      <c r="C10188" s="26">
        <v>10186</v>
      </c>
    </row>
    <row r="10189" spans="3:3" x14ac:dyDescent="0.25">
      <c r="C10189" s="26">
        <v>10187</v>
      </c>
    </row>
    <row r="10190" spans="3:3" x14ac:dyDescent="0.25">
      <c r="C10190" s="26">
        <v>10188</v>
      </c>
    </row>
    <row r="10191" spans="3:3" x14ac:dyDescent="0.25">
      <c r="C10191" s="26">
        <v>10189</v>
      </c>
    </row>
    <row r="10192" spans="3:3" x14ac:dyDescent="0.25">
      <c r="C10192" s="26">
        <v>10190</v>
      </c>
    </row>
    <row r="10193" spans="3:3" x14ac:dyDescent="0.25">
      <c r="C10193" s="26">
        <v>10191</v>
      </c>
    </row>
    <row r="10194" spans="3:3" x14ac:dyDescent="0.25">
      <c r="C10194" s="26">
        <v>10192</v>
      </c>
    </row>
    <row r="10195" spans="3:3" x14ac:dyDescent="0.25">
      <c r="C10195" s="26">
        <v>10193</v>
      </c>
    </row>
    <row r="10196" spans="3:3" x14ac:dyDescent="0.25">
      <c r="C10196" s="26">
        <v>10194</v>
      </c>
    </row>
    <row r="10197" spans="3:3" x14ac:dyDescent="0.25">
      <c r="C10197" s="26">
        <v>10195</v>
      </c>
    </row>
    <row r="10198" spans="3:3" x14ac:dyDescent="0.25">
      <c r="C10198" s="26">
        <v>10196</v>
      </c>
    </row>
    <row r="10199" spans="3:3" x14ac:dyDescent="0.25">
      <c r="C10199" s="26">
        <v>10197</v>
      </c>
    </row>
    <row r="10200" spans="3:3" x14ac:dyDescent="0.25">
      <c r="C10200" s="26">
        <v>10198</v>
      </c>
    </row>
    <row r="10201" spans="3:3" x14ac:dyDescent="0.25">
      <c r="C10201" s="26">
        <v>10199</v>
      </c>
    </row>
    <row r="10202" spans="3:3" x14ac:dyDescent="0.25">
      <c r="C10202" s="26">
        <v>10200</v>
      </c>
    </row>
    <row r="10203" spans="3:3" x14ac:dyDescent="0.25">
      <c r="C10203" s="26">
        <v>10201</v>
      </c>
    </row>
    <row r="10204" spans="3:3" x14ac:dyDescent="0.25">
      <c r="C10204" s="26">
        <v>10202</v>
      </c>
    </row>
    <row r="10205" spans="3:3" x14ac:dyDescent="0.25">
      <c r="C10205" s="26">
        <v>10203</v>
      </c>
    </row>
    <row r="10206" spans="3:3" x14ac:dyDescent="0.25">
      <c r="C10206" s="26">
        <v>10204</v>
      </c>
    </row>
    <row r="10207" spans="3:3" x14ac:dyDescent="0.25">
      <c r="C10207" s="26">
        <v>10205</v>
      </c>
    </row>
    <row r="10208" spans="3:3" x14ac:dyDescent="0.25">
      <c r="C10208" s="26">
        <v>10206</v>
      </c>
    </row>
    <row r="10209" spans="3:3" x14ac:dyDescent="0.25">
      <c r="C10209" s="26">
        <v>10207</v>
      </c>
    </row>
    <row r="10210" spans="3:3" x14ac:dyDescent="0.25">
      <c r="C10210" s="26">
        <v>10208</v>
      </c>
    </row>
    <row r="10211" spans="3:3" x14ac:dyDescent="0.25">
      <c r="C10211" s="26">
        <v>10209</v>
      </c>
    </row>
    <row r="10212" spans="3:3" x14ac:dyDescent="0.25">
      <c r="C10212" s="26">
        <v>10210</v>
      </c>
    </row>
    <row r="10213" spans="3:3" x14ac:dyDescent="0.25">
      <c r="C10213" s="26">
        <v>10211</v>
      </c>
    </row>
    <row r="10214" spans="3:3" x14ac:dyDescent="0.25">
      <c r="C10214" s="26">
        <v>10212</v>
      </c>
    </row>
    <row r="10215" spans="3:3" x14ac:dyDescent="0.25">
      <c r="C10215" s="26">
        <v>10213</v>
      </c>
    </row>
    <row r="10216" spans="3:3" x14ac:dyDescent="0.25">
      <c r="C10216" s="26">
        <v>10214</v>
      </c>
    </row>
    <row r="10217" spans="3:3" x14ac:dyDescent="0.25">
      <c r="C10217" s="26">
        <v>10215</v>
      </c>
    </row>
    <row r="10218" spans="3:3" x14ac:dyDescent="0.25">
      <c r="C10218" s="26">
        <v>10216</v>
      </c>
    </row>
    <row r="10219" spans="3:3" x14ac:dyDescent="0.25">
      <c r="C10219" s="26">
        <v>10217</v>
      </c>
    </row>
    <row r="10220" spans="3:3" x14ac:dyDescent="0.25">
      <c r="C10220" s="26">
        <v>10218</v>
      </c>
    </row>
    <row r="10221" spans="3:3" x14ac:dyDescent="0.25">
      <c r="C10221" s="26">
        <v>10219</v>
      </c>
    </row>
    <row r="10222" spans="3:3" x14ac:dyDescent="0.25">
      <c r="C10222" s="26">
        <v>10220</v>
      </c>
    </row>
    <row r="10223" spans="3:3" x14ac:dyDescent="0.25">
      <c r="C10223" s="26">
        <v>10221</v>
      </c>
    </row>
    <row r="10224" spans="3:3" x14ac:dyDescent="0.25">
      <c r="C10224" s="26">
        <v>10222</v>
      </c>
    </row>
    <row r="10225" spans="3:3" x14ac:dyDescent="0.25">
      <c r="C10225" s="26">
        <v>10223</v>
      </c>
    </row>
    <row r="10226" spans="3:3" x14ac:dyDescent="0.25">
      <c r="C10226" s="26">
        <v>10224</v>
      </c>
    </row>
    <row r="10227" spans="3:3" x14ac:dyDescent="0.25">
      <c r="C10227" s="26">
        <v>10225</v>
      </c>
    </row>
    <row r="10228" spans="3:3" x14ac:dyDescent="0.25">
      <c r="C10228" s="26">
        <v>10226</v>
      </c>
    </row>
    <row r="10229" spans="3:3" x14ac:dyDescent="0.25">
      <c r="C10229" s="26">
        <v>10227</v>
      </c>
    </row>
    <row r="10230" spans="3:3" x14ac:dyDescent="0.25">
      <c r="C10230" s="26">
        <v>10228</v>
      </c>
    </row>
    <row r="10231" spans="3:3" x14ac:dyDescent="0.25">
      <c r="C10231" s="26">
        <v>10229</v>
      </c>
    </row>
    <row r="10232" spans="3:3" x14ac:dyDescent="0.25">
      <c r="C10232" s="26">
        <v>10230</v>
      </c>
    </row>
    <row r="10233" spans="3:3" x14ac:dyDescent="0.25">
      <c r="C10233" s="26">
        <v>10231</v>
      </c>
    </row>
    <row r="10234" spans="3:3" x14ac:dyDescent="0.25">
      <c r="C10234" s="26">
        <v>10232</v>
      </c>
    </row>
    <row r="10235" spans="3:3" x14ac:dyDescent="0.25">
      <c r="C10235" s="26">
        <v>10233</v>
      </c>
    </row>
    <row r="10236" spans="3:3" x14ac:dyDescent="0.25">
      <c r="C10236" s="26">
        <v>10234</v>
      </c>
    </row>
    <row r="10237" spans="3:3" x14ac:dyDescent="0.25">
      <c r="C10237" s="26">
        <v>10235</v>
      </c>
    </row>
    <row r="10238" spans="3:3" x14ac:dyDescent="0.25">
      <c r="C10238" s="26">
        <v>10236</v>
      </c>
    </row>
    <row r="10239" spans="3:3" x14ac:dyDescent="0.25">
      <c r="C10239" s="26">
        <v>10237</v>
      </c>
    </row>
    <row r="10240" spans="3:3" x14ac:dyDescent="0.25">
      <c r="C10240" s="26">
        <v>10238</v>
      </c>
    </row>
    <row r="10241" spans="3:3" x14ac:dyDescent="0.25">
      <c r="C10241" s="26">
        <v>10239</v>
      </c>
    </row>
    <row r="10242" spans="3:3" x14ac:dyDescent="0.25">
      <c r="C10242" s="26">
        <v>10240</v>
      </c>
    </row>
    <row r="10243" spans="3:3" x14ac:dyDescent="0.25">
      <c r="C10243" s="26">
        <v>10241</v>
      </c>
    </row>
    <row r="10244" spans="3:3" x14ac:dyDescent="0.25">
      <c r="C10244" s="26">
        <v>10242</v>
      </c>
    </row>
    <row r="10245" spans="3:3" x14ac:dyDescent="0.25">
      <c r="C10245" s="26">
        <v>10243</v>
      </c>
    </row>
    <row r="10246" spans="3:3" x14ac:dyDescent="0.25">
      <c r="C10246" s="26">
        <v>10244</v>
      </c>
    </row>
    <row r="10247" spans="3:3" x14ac:dyDescent="0.25">
      <c r="C10247" s="26">
        <v>10245</v>
      </c>
    </row>
    <row r="10248" spans="3:3" x14ac:dyDescent="0.25">
      <c r="C10248" s="26">
        <v>10246</v>
      </c>
    </row>
    <row r="10249" spans="3:3" x14ac:dyDescent="0.25">
      <c r="C10249" s="26">
        <v>10247</v>
      </c>
    </row>
    <row r="10250" spans="3:3" x14ac:dyDescent="0.25">
      <c r="C10250" s="26">
        <v>10248</v>
      </c>
    </row>
    <row r="10251" spans="3:3" x14ac:dyDescent="0.25">
      <c r="C10251" s="26">
        <v>10249</v>
      </c>
    </row>
    <row r="10252" spans="3:3" x14ac:dyDescent="0.25">
      <c r="C10252" s="26">
        <v>10250</v>
      </c>
    </row>
    <row r="10253" spans="3:3" x14ac:dyDescent="0.25">
      <c r="C10253" s="26">
        <v>10251</v>
      </c>
    </row>
    <row r="10254" spans="3:3" x14ac:dyDescent="0.25">
      <c r="C10254" s="26">
        <v>10252</v>
      </c>
    </row>
    <row r="10255" spans="3:3" x14ac:dyDescent="0.25">
      <c r="C10255" s="26">
        <v>10253</v>
      </c>
    </row>
    <row r="10256" spans="3:3" x14ac:dyDescent="0.25">
      <c r="C10256" s="26">
        <v>10254</v>
      </c>
    </row>
    <row r="10257" spans="3:3" x14ac:dyDescent="0.25">
      <c r="C10257" s="26">
        <v>10255</v>
      </c>
    </row>
    <row r="10258" spans="3:3" x14ac:dyDescent="0.25">
      <c r="C10258" s="26">
        <v>10256</v>
      </c>
    </row>
    <row r="10259" spans="3:3" x14ac:dyDescent="0.25">
      <c r="C10259" s="26">
        <v>10257</v>
      </c>
    </row>
    <row r="10260" spans="3:3" x14ac:dyDescent="0.25">
      <c r="C10260" s="26">
        <v>10258</v>
      </c>
    </row>
    <row r="10261" spans="3:3" x14ac:dyDescent="0.25">
      <c r="C10261" s="26">
        <v>10259</v>
      </c>
    </row>
    <row r="10262" spans="3:3" x14ac:dyDescent="0.25">
      <c r="C10262" s="26">
        <v>10260</v>
      </c>
    </row>
    <row r="10263" spans="3:3" x14ac:dyDescent="0.25">
      <c r="C10263" s="26">
        <v>10261</v>
      </c>
    </row>
    <row r="10264" spans="3:3" x14ac:dyDescent="0.25">
      <c r="C10264" s="26">
        <v>10262</v>
      </c>
    </row>
    <row r="10265" spans="3:3" x14ac:dyDescent="0.25">
      <c r="C10265" s="26">
        <v>10263</v>
      </c>
    </row>
    <row r="10266" spans="3:3" x14ac:dyDescent="0.25">
      <c r="C10266" s="26">
        <v>10264</v>
      </c>
    </row>
    <row r="10267" spans="3:3" x14ac:dyDescent="0.25">
      <c r="C10267" s="26">
        <v>10265</v>
      </c>
    </row>
    <row r="10268" spans="3:3" x14ac:dyDescent="0.25">
      <c r="C10268" s="26">
        <v>10266</v>
      </c>
    </row>
    <row r="10269" spans="3:3" x14ac:dyDescent="0.25">
      <c r="C10269" s="26">
        <v>10267</v>
      </c>
    </row>
    <row r="10270" spans="3:3" x14ac:dyDescent="0.25">
      <c r="C10270" s="26">
        <v>10268</v>
      </c>
    </row>
    <row r="10271" spans="3:3" x14ac:dyDescent="0.25">
      <c r="C10271" s="26">
        <v>10269</v>
      </c>
    </row>
    <row r="10272" spans="3:3" x14ac:dyDescent="0.25">
      <c r="C10272" s="26">
        <v>10270</v>
      </c>
    </row>
    <row r="10273" spans="3:3" x14ac:dyDescent="0.25">
      <c r="C10273" s="26">
        <v>10271</v>
      </c>
    </row>
    <row r="10274" spans="3:3" x14ac:dyDescent="0.25">
      <c r="C10274" s="26">
        <v>10272</v>
      </c>
    </row>
    <row r="10275" spans="3:3" x14ac:dyDescent="0.25">
      <c r="C10275" s="26">
        <v>10273</v>
      </c>
    </row>
    <row r="10276" spans="3:3" x14ac:dyDescent="0.25">
      <c r="C10276" s="26">
        <v>10274</v>
      </c>
    </row>
    <row r="10277" spans="3:3" x14ac:dyDescent="0.25">
      <c r="C10277" s="26">
        <v>10275</v>
      </c>
    </row>
    <row r="10278" spans="3:3" x14ac:dyDescent="0.25">
      <c r="C10278" s="26">
        <v>10276</v>
      </c>
    </row>
    <row r="10279" spans="3:3" x14ac:dyDescent="0.25">
      <c r="C10279" s="26">
        <v>10277</v>
      </c>
    </row>
    <row r="10280" spans="3:3" x14ac:dyDescent="0.25">
      <c r="C10280" s="26">
        <v>10278</v>
      </c>
    </row>
    <row r="10281" spans="3:3" x14ac:dyDescent="0.25">
      <c r="C10281" s="26">
        <v>10279</v>
      </c>
    </row>
    <row r="10282" spans="3:3" x14ac:dyDescent="0.25">
      <c r="C10282" s="26">
        <v>10280</v>
      </c>
    </row>
    <row r="10283" spans="3:3" x14ac:dyDescent="0.25">
      <c r="C10283" s="26">
        <v>10281</v>
      </c>
    </row>
    <row r="10284" spans="3:3" x14ac:dyDescent="0.25">
      <c r="C10284" s="26">
        <v>10282</v>
      </c>
    </row>
    <row r="10285" spans="3:3" x14ac:dyDescent="0.25">
      <c r="C10285" s="26">
        <v>10283</v>
      </c>
    </row>
    <row r="10286" spans="3:3" x14ac:dyDescent="0.25">
      <c r="C10286" s="26">
        <v>10284</v>
      </c>
    </row>
    <row r="10287" spans="3:3" x14ac:dyDescent="0.25">
      <c r="C10287" s="26">
        <v>10285</v>
      </c>
    </row>
    <row r="10288" spans="3:3" x14ac:dyDescent="0.25">
      <c r="C10288" s="26">
        <v>10286</v>
      </c>
    </row>
    <row r="10289" spans="3:3" x14ac:dyDescent="0.25">
      <c r="C10289" s="26">
        <v>10287</v>
      </c>
    </row>
    <row r="10290" spans="3:3" x14ac:dyDescent="0.25">
      <c r="C10290" s="26">
        <v>10288</v>
      </c>
    </row>
    <row r="10291" spans="3:3" x14ac:dyDescent="0.25">
      <c r="C10291" s="26">
        <v>10289</v>
      </c>
    </row>
    <row r="10292" spans="3:3" x14ac:dyDescent="0.25">
      <c r="C10292" s="26">
        <v>10290</v>
      </c>
    </row>
    <row r="10293" spans="3:3" x14ac:dyDescent="0.25">
      <c r="C10293" s="26">
        <v>10291</v>
      </c>
    </row>
    <row r="10294" spans="3:3" x14ac:dyDescent="0.25">
      <c r="C10294" s="26">
        <v>10292</v>
      </c>
    </row>
    <row r="10295" spans="3:3" x14ac:dyDescent="0.25">
      <c r="C10295" s="26">
        <v>10293</v>
      </c>
    </row>
    <row r="10296" spans="3:3" x14ac:dyDescent="0.25">
      <c r="C10296" s="26">
        <v>10294</v>
      </c>
    </row>
    <row r="10297" spans="3:3" x14ac:dyDescent="0.25">
      <c r="C10297" s="26">
        <v>10295</v>
      </c>
    </row>
    <row r="10298" spans="3:3" x14ac:dyDescent="0.25">
      <c r="C10298" s="26">
        <v>10296</v>
      </c>
    </row>
    <row r="10299" spans="3:3" x14ac:dyDescent="0.25">
      <c r="C10299" s="26">
        <v>10297</v>
      </c>
    </row>
    <row r="10300" spans="3:3" x14ac:dyDescent="0.25">
      <c r="C10300" s="26">
        <v>10298</v>
      </c>
    </row>
    <row r="10301" spans="3:3" x14ac:dyDescent="0.25">
      <c r="C10301" s="26">
        <v>10299</v>
      </c>
    </row>
    <row r="10302" spans="3:3" x14ac:dyDescent="0.25">
      <c r="C10302" s="26">
        <v>10300</v>
      </c>
    </row>
    <row r="10303" spans="3:3" x14ac:dyDescent="0.25">
      <c r="C10303" s="26">
        <v>10301</v>
      </c>
    </row>
    <row r="10304" spans="3:3" x14ac:dyDescent="0.25">
      <c r="C10304" s="26">
        <v>10302</v>
      </c>
    </row>
    <row r="10305" spans="3:3" x14ac:dyDescent="0.25">
      <c r="C10305" s="26">
        <v>10303</v>
      </c>
    </row>
    <row r="10306" spans="3:3" x14ac:dyDescent="0.25">
      <c r="C10306" s="26">
        <v>10304</v>
      </c>
    </row>
    <row r="10307" spans="3:3" x14ac:dyDescent="0.25">
      <c r="C10307" s="26">
        <v>10305</v>
      </c>
    </row>
    <row r="10308" spans="3:3" x14ac:dyDescent="0.25">
      <c r="C10308" s="26">
        <v>10306</v>
      </c>
    </row>
    <row r="10309" spans="3:3" x14ac:dyDescent="0.25">
      <c r="C10309" s="26">
        <v>10307</v>
      </c>
    </row>
    <row r="10310" spans="3:3" x14ac:dyDescent="0.25">
      <c r="C10310" s="26">
        <v>10308</v>
      </c>
    </row>
    <row r="10311" spans="3:3" x14ac:dyDescent="0.25">
      <c r="C10311" s="26">
        <v>10309</v>
      </c>
    </row>
    <row r="10312" spans="3:3" x14ac:dyDescent="0.25">
      <c r="C10312" s="26">
        <v>10310</v>
      </c>
    </row>
    <row r="10313" spans="3:3" x14ac:dyDescent="0.25">
      <c r="C10313" s="26">
        <v>10311</v>
      </c>
    </row>
    <row r="10314" spans="3:3" x14ac:dyDescent="0.25">
      <c r="C10314" s="26">
        <v>10312</v>
      </c>
    </row>
    <row r="10315" spans="3:3" x14ac:dyDescent="0.25">
      <c r="C10315" s="26">
        <v>10313</v>
      </c>
    </row>
    <row r="10316" spans="3:3" x14ac:dyDescent="0.25">
      <c r="C10316" s="26">
        <v>10314</v>
      </c>
    </row>
    <row r="10317" spans="3:3" x14ac:dyDescent="0.25">
      <c r="C10317" s="26">
        <v>10315</v>
      </c>
    </row>
    <row r="10318" spans="3:3" x14ac:dyDescent="0.25">
      <c r="C10318" s="26">
        <v>10316</v>
      </c>
    </row>
    <row r="10319" spans="3:3" x14ac:dyDescent="0.25">
      <c r="C10319" s="26">
        <v>10317</v>
      </c>
    </row>
    <row r="10320" spans="3:3" x14ac:dyDescent="0.25">
      <c r="C10320" s="26">
        <v>10318</v>
      </c>
    </row>
    <row r="10321" spans="3:3" x14ac:dyDescent="0.25">
      <c r="C10321" s="26">
        <v>10319</v>
      </c>
    </row>
    <row r="10322" spans="3:3" x14ac:dyDescent="0.25">
      <c r="C10322" s="26">
        <v>10320</v>
      </c>
    </row>
    <row r="10323" spans="3:3" x14ac:dyDescent="0.25">
      <c r="C10323" s="26">
        <v>10321</v>
      </c>
    </row>
    <row r="10324" spans="3:3" x14ac:dyDescent="0.25">
      <c r="C10324" s="26">
        <v>10322</v>
      </c>
    </row>
    <row r="10325" spans="3:3" x14ac:dyDescent="0.25">
      <c r="C10325" s="26">
        <v>10323</v>
      </c>
    </row>
    <row r="10326" spans="3:3" x14ac:dyDescent="0.25">
      <c r="C10326" s="26">
        <v>10324</v>
      </c>
    </row>
    <row r="10327" spans="3:3" x14ac:dyDescent="0.25">
      <c r="C10327" s="26">
        <v>10325</v>
      </c>
    </row>
    <row r="10328" spans="3:3" x14ac:dyDescent="0.25">
      <c r="C10328" s="26">
        <v>10326</v>
      </c>
    </row>
    <row r="10329" spans="3:3" x14ac:dyDescent="0.25">
      <c r="C10329" s="26">
        <v>10327</v>
      </c>
    </row>
    <row r="10330" spans="3:3" x14ac:dyDescent="0.25">
      <c r="C10330" s="26">
        <v>10328</v>
      </c>
    </row>
    <row r="10331" spans="3:3" x14ac:dyDescent="0.25">
      <c r="C10331" s="26">
        <v>10329</v>
      </c>
    </row>
    <row r="10332" spans="3:3" x14ac:dyDescent="0.25">
      <c r="C10332" s="26">
        <v>10330</v>
      </c>
    </row>
    <row r="10333" spans="3:3" x14ac:dyDescent="0.25">
      <c r="C10333" s="26">
        <v>10331</v>
      </c>
    </row>
    <row r="10334" spans="3:3" x14ac:dyDescent="0.25">
      <c r="C10334" s="26">
        <v>10332</v>
      </c>
    </row>
    <row r="10335" spans="3:3" x14ac:dyDescent="0.25">
      <c r="C10335" s="26">
        <v>10333</v>
      </c>
    </row>
    <row r="10336" spans="3:3" x14ac:dyDescent="0.25">
      <c r="C10336" s="26">
        <v>10334</v>
      </c>
    </row>
    <row r="10337" spans="3:3" x14ac:dyDescent="0.25">
      <c r="C10337" s="26">
        <v>10335</v>
      </c>
    </row>
    <row r="10338" spans="3:3" x14ac:dyDescent="0.25">
      <c r="C10338" s="26">
        <v>10336</v>
      </c>
    </row>
    <row r="10339" spans="3:3" x14ac:dyDescent="0.25">
      <c r="C10339" s="26">
        <v>10337</v>
      </c>
    </row>
    <row r="10340" spans="3:3" x14ac:dyDescent="0.25">
      <c r="C10340" s="26">
        <v>10338</v>
      </c>
    </row>
    <row r="10341" spans="3:3" x14ac:dyDescent="0.25">
      <c r="C10341" s="26">
        <v>10339</v>
      </c>
    </row>
    <row r="10342" spans="3:3" x14ac:dyDescent="0.25">
      <c r="C10342" s="26">
        <v>10340</v>
      </c>
    </row>
    <row r="10343" spans="3:3" x14ac:dyDescent="0.25">
      <c r="C10343" s="26">
        <v>10341</v>
      </c>
    </row>
    <row r="10344" spans="3:3" x14ac:dyDescent="0.25">
      <c r="C10344" s="26">
        <v>10342</v>
      </c>
    </row>
    <row r="10345" spans="3:3" x14ac:dyDescent="0.25">
      <c r="C10345" s="26">
        <v>10343</v>
      </c>
    </row>
    <row r="10346" spans="3:3" x14ac:dyDescent="0.25">
      <c r="C10346" s="26">
        <v>10344</v>
      </c>
    </row>
    <row r="10347" spans="3:3" x14ac:dyDescent="0.25">
      <c r="C10347" s="26">
        <v>10345</v>
      </c>
    </row>
    <row r="10348" spans="3:3" x14ac:dyDescent="0.25">
      <c r="C10348" s="26">
        <v>10346</v>
      </c>
    </row>
    <row r="10349" spans="3:3" x14ac:dyDescent="0.25">
      <c r="C10349" s="26">
        <v>10347</v>
      </c>
    </row>
    <row r="10350" spans="3:3" x14ac:dyDescent="0.25">
      <c r="C10350" s="26">
        <v>10348</v>
      </c>
    </row>
    <row r="10351" spans="3:3" x14ac:dyDescent="0.25">
      <c r="C10351" s="26">
        <v>10349</v>
      </c>
    </row>
    <row r="10352" spans="3:3" x14ac:dyDescent="0.25">
      <c r="C10352" s="26">
        <v>10350</v>
      </c>
    </row>
    <row r="10353" spans="3:3" x14ac:dyDescent="0.25">
      <c r="C10353" s="26">
        <v>10351</v>
      </c>
    </row>
    <row r="10354" spans="3:3" x14ac:dyDescent="0.25">
      <c r="C10354" s="26">
        <v>10352</v>
      </c>
    </row>
    <row r="10355" spans="3:3" x14ac:dyDescent="0.25">
      <c r="C10355" s="26">
        <v>10353</v>
      </c>
    </row>
    <row r="10356" spans="3:3" x14ac:dyDescent="0.25">
      <c r="C10356" s="26">
        <v>10354</v>
      </c>
    </row>
    <row r="10357" spans="3:3" x14ac:dyDescent="0.25">
      <c r="C10357" s="26">
        <v>10355</v>
      </c>
    </row>
    <row r="10358" spans="3:3" x14ac:dyDescent="0.25">
      <c r="C10358" s="26">
        <v>10356</v>
      </c>
    </row>
    <row r="10359" spans="3:3" x14ac:dyDescent="0.25">
      <c r="C10359" s="26">
        <v>10357</v>
      </c>
    </row>
    <row r="10360" spans="3:3" x14ac:dyDescent="0.25">
      <c r="C10360" s="26">
        <v>10358</v>
      </c>
    </row>
    <row r="10361" spans="3:3" x14ac:dyDescent="0.25">
      <c r="C10361" s="26">
        <v>10359</v>
      </c>
    </row>
    <row r="10362" spans="3:3" x14ac:dyDescent="0.25">
      <c r="C10362" s="26">
        <v>10360</v>
      </c>
    </row>
    <row r="10363" spans="3:3" x14ac:dyDescent="0.25">
      <c r="C10363" s="26">
        <v>10361</v>
      </c>
    </row>
    <row r="10364" spans="3:3" x14ac:dyDescent="0.25">
      <c r="C10364" s="26">
        <v>10362</v>
      </c>
    </row>
    <row r="10365" spans="3:3" x14ac:dyDescent="0.25">
      <c r="C10365" s="26">
        <v>10363</v>
      </c>
    </row>
    <row r="10366" spans="3:3" x14ac:dyDescent="0.25">
      <c r="C10366" s="26">
        <v>10364</v>
      </c>
    </row>
    <row r="10367" spans="3:3" x14ac:dyDescent="0.25">
      <c r="C10367" s="26">
        <v>10365</v>
      </c>
    </row>
    <row r="10368" spans="3:3" x14ac:dyDescent="0.25">
      <c r="C10368" s="26">
        <v>10366</v>
      </c>
    </row>
    <row r="10369" spans="3:3" x14ac:dyDescent="0.25">
      <c r="C10369" s="26">
        <v>10367</v>
      </c>
    </row>
    <row r="10370" spans="3:3" x14ac:dyDescent="0.25">
      <c r="C10370" s="26">
        <v>10368</v>
      </c>
    </row>
    <row r="10371" spans="3:3" x14ac:dyDescent="0.25">
      <c r="C10371" s="26">
        <v>10369</v>
      </c>
    </row>
    <row r="10372" spans="3:3" x14ac:dyDescent="0.25">
      <c r="C10372" s="26">
        <v>10370</v>
      </c>
    </row>
    <row r="10373" spans="3:3" x14ac:dyDescent="0.25">
      <c r="C10373" s="26">
        <v>10371</v>
      </c>
    </row>
    <row r="10374" spans="3:3" x14ac:dyDescent="0.25">
      <c r="C10374" s="26">
        <v>10372</v>
      </c>
    </row>
    <row r="10375" spans="3:3" x14ac:dyDescent="0.25">
      <c r="C10375" s="26">
        <v>10373</v>
      </c>
    </row>
    <row r="10376" spans="3:3" x14ac:dyDescent="0.25">
      <c r="C10376" s="26">
        <v>10374</v>
      </c>
    </row>
    <row r="10377" spans="3:3" x14ac:dyDescent="0.25">
      <c r="C10377" s="26">
        <v>10375</v>
      </c>
    </row>
    <row r="10378" spans="3:3" x14ac:dyDescent="0.25">
      <c r="C10378" s="26">
        <v>10376</v>
      </c>
    </row>
    <row r="10379" spans="3:3" x14ac:dyDescent="0.25">
      <c r="C10379" s="26">
        <v>10377</v>
      </c>
    </row>
    <row r="10380" spans="3:3" x14ac:dyDescent="0.25">
      <c r="C10380" s="26">
        <v>10378</v>
      </c>
    </row>
    <row r="10381" spans="3:3" x14ac:dyDescent="0.25">
      <c r="C10381" s="26">
        <v>10379</v>
      </c>
    </row>
    <row r="10382" spans="3:3" x14ac:dyDescent="0.25">
      <c r="C10382" s="26">
        <v>10380</v>
      </c>
    </row>
    <row r="10383" spans="3:3" x14ac:dyDescent="0.25">
      <c r="C10383" s="26">
        <v>10381</v>
      </c>
    </row>
    <row r="10384" spans="3:3" x14ac:dyDescent="0.25">
      <c r="C10384" s="26">
        <v>10382</v>
      </c>
    </row>
    <row r="10385" spans="3:3" x14ac:dyDescent="0.25">
      <c r="C10385" s="26">
        <v>10383</v>
      </c>
    </row>
    <row r="10386" spans="3:3" x14ac:dyDescent="0.25">
      <c r="C10386" s="26">
        <v>10384</v>
      </c>
    </row>
    <row r="10387" spans="3:3" x14ac:dyDescent="0.25">
      <c r="C10387" s="26">
        <v>10385</v>
      </c>
    </row>
    <row r="10388" spans="3:3" x14ac:dyDescent="0.25">
      <c r="C10388" s="26">
        <v>10386</v>
      </c>
    </row>
    <row r="10389" spans="3:3" x14ac:dyDescent="0.25">
      <c r="C10389" s="26">
        <v>10387</v>
      </c>
    </row>
    <row r="10390" spans="3:3" x14ac:dyDescent="0.25">
      <c r="C10390" s="26">
        <v>10388</v>
      </c>
    </row>
    <row r="10391" spans="3:3" x14ac:dyDescent="0.25">
      <c r="C10391" s="26">
        <v>10389</v>
      </c>
    </row>
    <row r="10392" spans="3:3" x14ac:dyDescent="0.25">
      <c r="C10392" s="26">
        <v>10390</v>
      </c>
    </row>
    <row r="10393" spans="3:3" x14ac:dyDescent="0.25">
      <c r="C10393" s="26">
        <v>10391</v>
      </c>
    </row>
    <row r="10394" spans="3:3" x14ac:dyDescent="0.25">
      <c r="C10394" s="26">
        <v>10392</v>
      </c>
    </row>
    <row r="10395" spans="3:3" x14ac:dyDescent="0.25">
      <c r="C10395" s="26">
        <v>10393</v>
      </c>
    </row>
    <row r="10396" spans="3:3" x14ac:dyDescent="0.25">
      <c r="C10396" s="26">
        <v>10394</v>
      </c>
    </row>
    <row r="10397" spans="3:3" x14ac:dyDescent="0.25">
      <c r="C10397" s="26">
        <v>10395</v>
      </c>
    </row>
    <row r="10398" spans="3:3" x14ac:dyDescent="0.25">
      <c r="C10398" s="26">
        <v>10396</v>
      </c>
    </row>
    <row r="10399" spans="3:3" x14ac:dyDescent="0.25">
      <c r="C10399" s="26">
        <v>10397</v>
      </c>
    </row>
    <row r="10400" spans="3:3" x14ac:dyDescent="0.25">
      <c r="C10400" s="26">
        <v>10398</v>
      </c>
    </row>
    <row r="10401" spans="3:3" x14ac:dyDescent="0.25">
      <c r="C10401" s="26">
        <v>10399</v>
      </c>
    </row>
    <row r="10402" spans="3:3" x14ac:dyDescent="0.25">
      <c r="C10402" s="26">
        <v>10400</v>
      </c>
    </row>
    <row r="10403" spans="3:3" x14ac:dyDescent="0.25">
      <c r="C10403" s="26">
        <v>10401</v>
      </c>
    </row>
    <row r="10404" spans="3:3" x14ac:dyDescent="0.25">
      <c r="C10404" s="26">
        <v>10402</v>
      </c>
    </row>
    <row r="10405" spans="3:3" x14ac:dyDescent="0.25">
      <c r="C10405" s="26">
        <v>10403</v>
      </c>
    </row>
    <row r="10406" spans="3:3" x14ac:dyDescent="0.25">
      <c r="C10406" s="26">
        <v>10404</v>
      </c>
    </row>
    <row r="10407" spans="3:3" x14ac:dyDescent="0.25">
      <c r="C10407" s="26">
        <v>10405</v>
      </c>
    </row>
    <row r="10408" spans="3:3" x14ac:dyDescent="0.25">
      <c r="C10408" s="26">
        <v>10406</v>
      </c>
    </row>
    <row r="10409" spans="3:3" x14ac:dyDescent="0.25">
      <c r="C10409" s="26">
        <v>10407</v>
      </c>
    </row>
    <row r="10410" spans="3:3" x14ac:dyDescent="0.25">
      <c r="C10410" s="26">
        <v>10408</v>
      </c>
    </row>
    <row r="10411" spans="3:3" x14ac:dyDescent="0.25">
      <c r="C10411" s="26">
        <v>10409</v>
      </c>
    </row>
    <row r="10412" spans="3:3" x14ac:dyDescent="0.25">
      <c r="C10412" s="26">
        <v>10410</v>
      </c>
    </row>
    <row r="10413" spans="3:3" x14ac:dyDescent="0.25">
      <c r="C10413" s="26">
        <v>10411</v>
      </c>
    </row>
    <row r="10414" spans="3:3" x14ac:dyDescent="0.25">
      <c r="C10414" s="26">
        <v>10412</v>
      </c>
    </row>
    <row r="10415" spans="3:3" x14ac:dyDescent="0.25">
      <c r="C10415" s="26">
        <v>10413</v>
      </c>
    </row>
    <row r="10416" spans="3:3" x14ac:dyDescent="0.25">
      <c r="C10416" s="26">
        <v>10414</v>
      </c>
    </row>
    <row r="10417" spans="3:3" x14ac:dyDescent="0.25">
      <c r="C10417" s="26">
        <v>10415</v>
      </c>
    </row>
    <row r="10418" spans="3:3" x14ac:dyDescent="0.25">
      <c r="C10418" s="26">
        <v>10416</v>
      </c>
    </row>
    <row r="10419" spans="3:3" x14ac:dyDescent="0.25">
      <c r="C10419" s="26">
        <v>10417</v>
      </c>
    </row>
    <row r="10420" spans="3:3" x14ac:dyDescent="0.25">
      <c r="C10420" s="26">
        <v>10418</v>
      </c>
    </row>
    <row r="10421" spans="3:3" x14ac:dyDescent="0.25">
      <c r="C10421" s="26">
        <v>10419</v>
      </c>
    </row>
    <row r="10422" spans="3:3" x14ac:dyDescent="0.25">
      <c r="C10422" s="26">
        <v>10420</v>
      </c>
    </row>
    <row r="10423" spans="3:3" x14ac:dyDescent="0.25">
      <c r="C10423" s="26">
        <v>10421</v>
      </c>
    </row>
    <row r="10424" spans="3:3" x14ac:dyDescent="0.25">
      <c r="C10424" s="26">
        <v>10422</v>
      </c>
    </row>
    <row r="10425" spans="3:3" x14ac:dyDescent="0.25">
      <c r="C10425" s="26">
        <v>10423</v>
      </c>
    </row>
    <row r="10426" spans="3:3" x14ac:dyDescent="0.25">
      <c r="C10426" s="26">
        <v>10424</v>
      </c>
    </row>
    <row r="10427" spans="3:3" x14ac:dyDescent="0.25">
      <c r="C10427" s="26">
        <v>10425</v>
      </c>
    </row>
    <row r="10428" spans="3:3" x14ac:dyDescent="0.25">
      <c r="C10428" s="26">
        <v>10426</v>
      </c>
    </row>
    <row r="10429" spans="3:3" x14ac:dyDescent="0.25">
      <c r="C10429" s="26">
        <v>10427</v>
      </c>
    </row>
    <row r="10430" spans="3:3" x14ac:dyDescent="0.25">
      <c r="C10430" s="26">
        <v>10428</v>
      </c>
    </row>
    <row r="10431" spans="3:3" x14ac:dyDescent="0.25">
      <c r="C10431" s="26">
        <v>10429</v>
      </c>
    </row>
    <row r="10432" spans="3:3" x14ac:dyDescent="0.25">
      <c r="C10432" s="26">
        <v>10430</v>
      </c>
    </row>
    <row r="10433" spans="3:3" x14ac:dyDescent="0.25">
      <c r="C10433" s="26">
        <v>10431</v>
      </c>
    </row>
    <row r="10434" spans="3:3" x14ac:dyDescent="0.25">
      <c r="C10434" s="26">
        <v>10432</v>
      </c>
    </row>
    <row r="10435" spans="3:3" x14ac:dyDescent="0.25">
      <c r="C10435" s="26">
        <v>10433</v>
      </c>
    </row>
    <row r="10436" spans="3:3" x14ac:dyDescent="0.25">
      <c r="C10436" s="26">
        <v>10434</v>
      </c>
    </row>
    <row r="10437" spans="3:3" x14ac:dyDescent="0.25">
      <c r="C10437" s="26">
        <v>10435</v>
      </c>
    </row>
    <row r="10438" spans="3:3" x14ac:dyDescent="0.25">
      <c r="C10438" s="26">
        <v>10436</v>
      </c>
    </row>
    <row r="10439" spans="3:3" x14ac:dyDescent="0.25">
      <c r="C10439" s="26">
        <v>10437</v>
      </c>
    </row>
    <row r="10440" spans="3:3" x14ac:dyDescent="0.25">
      <c r="C10440" s="26">
        <v>10438</v>
      </c>
    </row>
    <row r="10441" spans="3:3" x14ac:dyDescent="0.25">
      <c r="C10441" s="26">
        <v>10439</v>
      </c>
    </row>
    <row r="10442" spans="3:3" x14ac:dyDescent="0.25">
      <c r="C10442" s="26">
        <v>10440</v>
      </c>
    </row>
    <row r="10443" spans="3:3" x14ac:dyDescent="0.25">
      <c r="C10443" s="26">
        <v>10441</v>
      </c>
    </row>
    <row r="10444" spans="3:3" x14ac:dyDescent="0.25">
      <c r="C10444" s="26">
        <v>10442</v>
      </c>
    </row>
    <row r="10445" spans="3:3" x14ac:dyDescent="0.25">
      <c r="C10445" s="26">
        <v>10443</v>
      </c>
    </row>
    <row r="10446" spans="3:3" x14ac:dyDescent="0.25">
      <c r="C10446" s="26">
        <v>10444</v>
      </c>
    </row>
    <row r="10447" spans="3:3" x14ac:dyDescent="0.25">
      <c r="C10447" s="26">
        <v>10445</v>
      </c>
    </row>
    <row r="10448" spans="3:3" x14ac:dyDescent="0.25">
      <c r="C10448" s="26">
        <v>10446</v>
      </c>
    </row>
    <row r="10449" spans="3:3" x14ac:dyDescent="0.25">
      <c r="C10449" s="26">
        <v>10447</v>
      </c>
    </row>
    <row r="10450" spans="3:3" x14ac:dyDescent="0.25">
      <c r="C10450" s="26">
        <v>10448</v>
      </c>
    </row>
    <row r="10451" spans="3:3" x14ac:dyDescent="0.25">
      <c r="C10451" s="26">
        <v>10449</v>
      </c>
    </row>
    <row r="10452" spans="3:3" x14ac:dyDescent="0.25">
      <c r="C10452" s="26">
        <v>10450</v>
      </c>
    </row>
    <row r="10453" spans="3:3" x14ac:dyDescent="0.25">
      <c r="C10453" s="26">
        <v>10451</v>
      </c>
    </row>
    <row r="10454" spans="3:3" x14ac:dyDescent="0.25">
      <c r="C10454" s="26">
        <v>10452</v>
      </c>
    </row>
    <row r="10455" spans="3:3" x14ac:dyDescent="0.25">
      <c r="C10455" s="26">
        <v>10453</v>
      </c>
    </row>
    <row r="10456" spans="3:3" x14ac:dyDescent="0.25">
      <c r="C10456" s="26">
        <v>10454</v>
      </c>
    </row>
    <row r="10457" spans="3:3" x14ac:dyDescent="0.25">
      <c r="C10457" s="26">
        <v>10455</v>
      </c>
    </row>
    <row r="10458" spans="3:3" x14ac:dyDescent="0.25">
      <c r="C10458" s="26">
        <v>10456</v>
      </c>
    </row>
    <row r="10459" spans="3:3" x14ac:dyDescent="0.25">
      <c r="C10459" s="26">
        <v>10457</v>
      </c>
    </row>
    <row r="10460" spans="3:3" x14ac:dyDescent="0.25">
      <c r="C10460" s="26">
        <v>10458</v>
      </c>
    </row>
    <row r="10461" spans="3:3" x14ac:dyDescent="0.25">
      <c r="C10461" s="26">
        <v>10459</v>
      </c>
    </row>
    <row r="10462" spans="3:3" x14ac:dyDescent="0.25">
      <c r="C10462" s="26">
        <v>10460</v>
      </c>
    </row>
    <row r="10463" spans="3:3" x14ac:dyDescent="0.25">
      <c r="C10463" s="26">
        <v>10461</v>
      </c>
    </row>
    <row r="10464" spans="3:3" x14ac:dyDescent="0.25">
      <c r="C10464" s="26">
        <v>10462</v>
      </c>
    </row>
    <row r="10465" spans="3:3" x14ac:dyDescent="0.25">
      <c r="C10465" s="26">
        <v>10463</v>
      </c>
    </row>
    <row r="10466" spans="3:3" x14ac:dyDescent="0.25">
      <c r="C10466" s="26">
        <v>10464</v>
      </c>
    </row>
    <row r="10467" spans="3:3" x14ac:dyDescent="0.25">
      <c r="C10467" s="26">
        <v>10465</v>
      </c>
    </row>
    <row r="10468" spans="3:3" x14ac:dyDescent="0.25">
      <c r="C10468" s="26">
        <v>10466</v>
      </c>
    </row>
    <row r="10469" spans="3:3" x14ac:dyDescent="0.25">
      <c r="C10469" s="26">
        <v>10467</v>
      </c>
    </row>
    <row r="10470" spans="3:3" x14ac:dyDescent="0.25">
      <c r="C10470" s="26">
        <v>10468</v>
      </c>
    </row>
    <row r="10471" spans="3:3" x14ac:dyDescent="0.25">
      <c r="C10471" s="26">
        <v>10469</v>
      </c>
    </row>
    <row r="10472" spans="3:3" x14ac:dyDescent="0.25">
      <c r="C10472" s="26">
        <v>10470</v>
      </c>
    </row>
    <row r="10473" spans="3:3" x14ac:dyDescent="0.25">
      <c r="C10473" s="26">
        <v>10471</v>
      </c>
    </row>
    <row r="10474" spans="3:3" x14ac:dyDescent="0.25">
      <c r="C10474" s="26">
        <v>10472</v>
      </c>
    </row>
    <row r="10475" spans="3:3" x14ac:dyDescent="0.25">
      <c r="C10475" s="26">
        <v>10473</v>
      </c>
    </row>
    <row r="10476" spans="3:3" x14ac:dyDescent="0.25">
      <c r="C10476" s="26">
        <v>10474</v>
      </c>
    </row>
    <row r="10477" spans="3:3" x14ac:dyDescent="0.25">
      <c r="C10477" s="26">
        <v>10475</v>
      </c>
    </row>
    <row r="10478" spans="3:3" x14ac:dyDescent="0.25">
      <c r="C10478" s="26">
        <v>10476</v>
      </c>
    </row>
    <row r="10479" spans="3:3" x14ac:dyDescent="0.25">
      <c r="C10479" s="26">
        <v>10477</v>
      </c>
    </row>
    <row r="10480" spans="3:3" x14ac:dyDescent="0.25">
      <c r="C10480" s="26">
        <v>10478</v>
      </c>
    </row>
    <row r="10481" spans="3:3" x14ac:dyDescent="0.25">
      <c r="C10481" s="26">
        <v>10479</v>
      </c>
    </row>
    <row r="10482" spans="3:3" x14ac:dyDescent="0.25">
      <c r="C10482" s="26">
        <v>10480</v>
      </c>
    </row>
    <row r="10483" spans="3:3" x14ac:dyDescent="0.25">
      <c r="C10483" s="26">
        <v>10481</v>
      </c>
    </row>
    <row r="10484" spans="3:3" x14ac:dyDescent="0.25">
      <c r="C10484" s="26">
        <v>10482</v>
      </c>
    </row>
    <row r="10485" spans="3:3" x14ac:dyDescent="0.25">
      <c r="C10485" s="26">
        <v>10483</v>
      </c>
    </row>
    <row r="10486" spans="3:3" x14ac:dyDescent="0.25">
      <c r="C10486" s="26">
        <v>10484</v>
      </c>
    </row>
    <row r="10487" spans="3:3" x14ac:dyDescent="0.25">
      <c r="C10487" s="26">
        <v>10485</v>
      </c>
    </row>
    <row r="10488" spans="3:3" x14ac:dyDescent="0.25">
      <c r="C10488" s="26">
        <v>10486</v>
      </c>
    </row>
    <row r="10489" spans="3:3" x14ac:dyDescent="0.25">
      <c r="C10489" s="26">
        <v>10487</v>
      </c>
    </row>
    <row r="10490" spans="3:3" x14ac:dyDescent="0.25">
      <c r="C10490" s="26">
        <v>10488</v>
      </c>
    </row>
    <row r="10491" spans="3:3" x14ac:dyDescent="0.25">
      <c r="C10491" s="26">
        <v>10489</v>
      </c>
    </row>
    <row r="10492" spans="3:3" x14ac:dyDescent="0.25">
      <c r="C10492" s="26">
        <v>10490</v>
      </c>
    </row>
    <row r="10493" spans="3:3" x14ac:dyDescent="0.25">
      <c r="C10493" s="26">
        <v>10491</v>
      </c>
    </row>
    <row r="10494" spans="3:3" x14ac:dyDescent="0.25">
      <c r="C10494" s="26">
        <v>10492</v>
      </c>
    </row>
    <row r="10495" spans="3:3" x14ac:dyDescent="0.25">
      <c r="C10495" s="26">
        <v>10493</v>
      </c>
    </row>
    <row r="10496" spans="3:3" x14ac:dyDescent="0.25">
      <c r="C10496" s="26">
        <v>10494</v>
      </c>
    </row>
    <row r="10497" spans="3:3" x14ac:dyDescent="0.25">
      <c r="C10497" s="26">
        <v>10495</v>
      </c>
    </row>
    <row r="10498" spans="3:3" x14ac:dyDescent="0.25">
      <c r="C10498" s="26">
        <v>10496</v>
      </c>
    </row>
    <row r="10499" spans="3:3" x14ac:dyDescent="0.25">
      <c r="C10499" s="26">
        <v>10497</v>
      </c>
    </row>
    <row r="10500" spans="3:3" x14ac:dyDescent="0.25">
      <c r="C10500" s="26">
        <v>10498</v>
      </c>
    </row>
    <row r="10501" spans="3:3" x14ac:dyDescent="0.25">
      <c r="C10501" s="26">
        <v>10499</v>
      </c>
    </row>
    <row r="10502" spans="3:3" x14ac:dyDescent="0.25">
      <c r="C10502" s="26">
        <v>10500</v>
      </c>
    </row>
    <row r="10503" spans="3:3" x14ac:dyDescent="0.25">
      <c r="C10503" s="26">
        <v>10501</v>
      </c>
    </row>
    <row r="10504" spans="3:3" x14ac:dyDescent="0.25">
      <c r="C10504" s="26">
        <v>10502</v>
      </c>
    </row>
    <row r="10505" spans="3:3" x14ac:dyDescent="0.25">
      <c r="C10505" s="26">
        <v>10503</v>
      </c>
    </row>
    <row r="10506" spans="3:3" x14ac:dyDescent="0.25">
      <c r="C10506" s="26">
        <v>10504</v>
      </c>
    </row>
    <row r="10507" spans="3:3" x14ac:dyDescent="0.25">
      <c r="C10507" s="26">
        <v>10505</v>
      </c>
    </row>
    <row r="10508" spans="3:3" x14ac:dyDescent="0.25">
      <c r="C10508" s="26">
        <v>10506</v>
      </c>
    </row>
    <row r="10509" spans="3:3" x14ac:dyDescent="0.25">
      <c r="C10509" s="26">
        <v>10507</v>
      </c>
    </row>
    <row r="10510" spans="3:3" x14ac:dyDescent="0.25">
      <c r="C10510" s="26">
        <v>10508</v>
      </c>
    </row>
    <row r="10511" spans="3:3" x14ac:dyDescent="0.25">
      <c r="C10511" s="26">
        <v>10509</v>
      </c>
    </row>
    <row r="10512" spans="3:3" x14ac:dyDescent="0.25">
      <c r="C10512" s="26">
        <v>10510</v>
      </c>
    </row>
    <row r="10513" spans="3:3" x14ac:dyDescent="0.25">
      <c r="C10513" s="26">
        <v>10511</v>
      </c>
    </row>
    <row r="10514" spans="3:3" x14ac:dyDescent="0.25">
      <c r="C10514" s="26">
        <v>10512</v>
      </c>
    </row>
    <row r="10515" spans="3:3" x14ac:dyDescent="0.25">
      <c r="C10515" s="26">
        <v>10513</v>
      </c>
    </row>
    <row r="10516" spans="3:3" x14ac:dyDescent="0.25">
      <c r="C10516" s="26">
        <v>10514</v>
      </c>
    </row>
    <row r="10517" spans="3:3" x14ac:dyDescent="0.25">
      <c r="C10517" s="26">
        <v>10515</v>
      </c>
    </row>
    <row r="10518" spans="3:3" x14ac:dyDescent="0.25">
      <c r="C10518" s="26">
        <v>10516</v>
      </c>
    </row>
    <row r="10519" spans="3:3" x14ac:dyDescent="0.25">
      <c r="C10519" s="26">
        <v>10517</v>
      </c>
    </row>
    <row r="10520" spans="3:3" x14ac:dyDescent="0.25">
      <c r="C10520" s="26">
        <v>10518</v>
      </c>
    </row>
    <row r="10521" spans="3:3" x14ac:dyDescent="0.25">
      <c r="C10521" s="26">
        <v>10519</v>
      </c>
    </row>
    <row r="10522" spans="3:3" x14ac:dyDescent="0.25">
      <c r="C10522" s="26">
        <v>10520</v>
      </c>
    </row>
    <row r="10523" spans="3:3" x14ac:dyDescent="0.25">
      <c r="C10523" s="26">
        <v>10521</v>
      </c>
    </row>
    <row r="10524" spans="3:3" x14ac:dyDescent="0.25">
      <c r="C10524" s="26">
        <v>10522</v>
      </c>
    </row>
    <row r="10525" spans="3:3" x14ac:dyDescent="0.25">
      <c r="C10525" s="26">
        <v>10523</v>
      </c>
    </row>
    <row r="10526" spans="3:3" x14ac:dyDescent="0.25">
      <c r="C10526" s="26">
        <v>10524</v>
      </c>
    </row>
    <row r="10527" spans="3:3" x14ac:dyDescent="0.25">
      <c r="C10527" s="26">
        <v>10525</v>
      </c>
    </row>
    <row r="10528" spans="3:3" x14ac:dyDescent="0.25">
      <c r="C10528" s="26">
        <v>10526</v>
      </c>
    </row>
    <row r="10529" spans="3:3" x14ac:dyDescent="0.25">
      <c r="C10529" s="26">
        <v>10527</v>
      </c>
    </row>
    <row r="10530" spans="3:3" x14ac:dyDescent="0.25">
      <c r="C10530" s="26">
        <v>10528</v>
      </c>
    </row>
    <row r="10531" spans="3:3" x14ac:dyDescent="0.25">
      <c r="C10531" s="26">
        <v>10529</v>
      </c>
    </row>
    <row r="10532" spans="3:3" x14ac:dyDescent="0.25">
      <c r="C10532" s="26">
        <v>10530</v>
      </c>
    </row>
    <row r="10533" spans="3:3" x14ac:dyDescent="0.25">
      <c r="C10533" s="26">
        <v>10531</v>
      </c>
    </row>
    <row r="10534" spans="3:3" x14ac:dyDescent="0.25">
      <c r="C10534" s="26">
        <v>10532</v>
      </c>
    </row>
    <row r="10535" spans="3:3" x14ac:dyDescent="0.25">
      <c r="C10535" s="26">
        <v>10533</v>
      </c>
    </row>
    <row r="10536" spans="3:3" x14ac:dyDescent="0.25">
      <c r="C10536" s="26">
        <v>10534</v>
      </c>
    </row>
    <row r="10537" spans="3:3" x14ac:dyDescent="0.25">
      <c r="C10537" s="26">
        <v>10535</v>
      </c>
    </row>
    <row r="10538" spans="3:3" x14ac:dyDescent="0.25">
      <c r="C10538" s="26">
        <v>10536</v>
      </c>
    </row>
    <row r="10539" spans="3:3" x14ac:dyDescent="0.25">
      <c r="C10539" s="26">
        <v>10537</v>
      </c>
    </row>
    <row r="10540" spans="3:3" x14ac:dyDescent="0.25">
      <c r="C10540" s="26">
        <v>10538</v>
      </c>
    </row>
    <row r="10541" spans="3:3" x14ac:dyDescent="0.25">
      <c r="C10541" s="26">
        <v>10539</v>
      </c>
    </row>
    <row r="10542" spans="3:3" x14ac:dyDescent="0.25">
      <c r="C10542" s="26">
        <v>10540</v>
      </c>
    </row>
    <row r="10543" spans="3:3" x14ac:dyDescent="0.25">
      <c r="C10543" s="26">
        <v>10541</v>
      </c>
    </row>
    <row r="10544" spans="3:3" x14ac:dyDescent="0.25">
      <c r="C10544" s="26">
        <v>10542</v>
      </c>
    </row>
    <row r="10545" spans="3:3" x14ac:dyDescent="0.25">
      <c r="C10545" s="26">
        <v>10543</v>
      </c>
    </row>
    <row r="10546" spans="3:3" x14ac:dyDescent="0.25">
      <c r="C10546" s="26">
        <v>10544</v>
      </c>
    </row>
    <row r="10547" spans="3:3" x14ac:dyDescent="0.25">
      <c r="C10547" s="26">
        <v>10545</v>
      </c>
    </row>
    <row r="10548" spans="3:3" x14ac:dyDescent="0.25">
      <c r="C10548" s="26">
        <v>10546</v>
      </c>
    </row>
    <row r="10549" spans="3:3" x14ac:dyDescent="0.25">
      <c r="C10549" s="26">
        <v>10547</v>
      </c>
    </row>
    <row r="10550" spans="3:3" x14ac:dyDescent="0.25">
      <c r="C10550" s="26">
        <v>10548</v>
      </c>
    </row>
    <row r="10551" spans="3:3" x14ac:dyDescent="0.25">
      <c r="C10551" s="26">
        <v>10549</v>
      </c>
    </row>
    <row r="10552" spans="3:3" x14ac:dyDescent="0.25">
      <c r="C10552" s="26">
        <v>10550</v>
      </c>
    </row>
    <row r="10553" spans="3:3" x14ac:dyDescent="0.25">
      <c r="C10553" s="26">
        <v>10551</v>
      </c>
    </row>
    <row r="10554" spans="3:3" x14ac:dyDescent="0.25">
      <c r="C10554" s="26">
        <v>10552</v>
      </c>
    </row>
    <row r="10555" spans="3:3" x14ac:dyDescent="0.25">
      <c r="C10555" s="26">
        <v>10553</v>
      </c>
    </row>
    <row r="10556" spans="3:3" x14ac:dyDescent="0.25">
      <c r="C10556" s="26">
        <v>10554</v>
      </c>
    </row>
    <row r="10557" spans="3:3" x14ac:dyDescent="0.25">
      <c r="C10557" s="26">
        <v>10555</v>
      </c>
    </row>
    <row r="10558" spans="3:3" x14ac:dyDescent="0.25">
      <c r="C10558" s="26">
        <v>10556</v>
      </c>
    </row>
    <row r="10559" spans="3:3" x14ac:dyDescent="0.25">
      <c r="C10559" s="26">
        <v>10557</v>
      </c>
    </row>
    <row r="10560" spans="3:3" x14ac:dyDescent="0.25">
      <c r="C10560" s="26">
        <v>10558</v>
      </c>
    </row>
    <row r="10561" spans="3:3" x14ac:dyDescent="0.25">
      <c r="C10561" s="26">
        <v>10559</v>
      </c>
    </row>
    <row r="10562" spans="3:3" x14ac:dyDescent="0.25">
      <c r="C10562" s="26">
        <v>10560</v>
      </c>
    </row>
    <row r="10563" spans="3:3" x14ac:dyDescent="0.25">
      <c r="C10563" s="26">
        <v>10561</v>
      </c>
    </row>
    <row r="10564" spans="3:3" x14ac:dyDescent="0.25">
      <c r="C10564" s="26">
        <v>10562</v>
      </c>
    </row>
    <row r="10565" spans="3:3" x14ac:dyDescent="0.25">
      <c r="C10565" s="26">
        <v>10563</v>
      </c>
    </row>
    <row r="10566" spans="3:3" x14ac:dyDescent="0.25">
      <c r="C10566" s="26">
        <v>10564</v>
      </c>
    </row>
    <row r="10567" spans="3:3" x14ac:dyDescent="0.25">
      <c r="C10567" s="26">
        <v>10565</v>
      </c>
    </row>
    <row r="10568" spans="3:3" x14ac:dyDescent="0.25">
      <c r="C10568" s="26">
        <v>10566</v>
      </c>
    </row>
    <row r="10569" spans="3:3" x14ac:dyDescent="0.25">
      <c r="C10569" s="26">
        <v>10567</v>
      </c>
    </row>
    <row r="10570" spans="3:3" x14ac:dyDescent="0.25">
      <c r="C10570" s="26">
        <v>10568</v>
      </c>
    </row>
    <row r="10571" spans="3:3" x14ac:dyDescent="0.25">
      <c r="C10571" s="26">
        <v>10569</v>
      </c>
    </row>
    <row r="10572" spans="3:3" x14ac:dyDescent="0.25">
      <c r="C10572" s="26">
        <v>10570</v>
      </c>
    </row>
    <row r="10573" spans="3:3" x14ac:dyDescent="0.25">
      <c r="C10573" s="26">
        <v>10571</v>
      </c>
    </row>
    <row r="10574" spans="3:3" x14ac:dyDescent="0.25">
      <c r="C10574" s="26">
        <v>10572</v>
      </c>
    </row>
    <row r="10575" spans="3:3" x14ac:dyDescent="0.25">
      <c r="C10575" s="26">
        <v>10573</v>
      </c>
    </row>
    <row r="10576" spans="3:3" x14ac:dyDescent="0.25">
      <c r="C10576" s="26">
        <v>10574</v>
      </c>
    </row>
    <row r="10577" spans="3:3" x14ac:dyDescent="0.25">
      <c r="C10577" s="26">
        <v>10575</v>
      </c>
    </row>
    <row r="10578" spans="3:3" x14ac:dyDescent="0.25">
      <c r="C10578" s="26">
        <v>10576</v>
      </c>
    </row>
    <row r="10579" spans="3:3" x14ac:dyDescent="0.25">
      <c r="C10579" s="26">
        <v>10577</v>
      </c>
    </row>
    <row r="10580" spans="3:3" x14ac:dyDescent="0.25">
      <c r="C10580" s="26">
        <v>10578</v>
      </c>
    </row>
    <row r="10581" spans="3:3" x14ac:dyDescent="0.25">
      <c r="C10581" s="26">
        <v>10579</v>
      </c>
    </row>
    <row r="10582" spans="3:3" x14ac:dyDescent="0.25">
      <c r="C10582" s="26">
        <v>10580</v>
      </c>
    </row>
    <row r="10583" spans="3:3" x14ac:dyDescent="0.25">
      <c r="C10583" s="26">
        <v>10581</v>
      </c>
    </row>
    <row r="10584" spans="3:3" x14ac:dyDescent="0.25">
      <c r="C10584" s="26">
        <v>10582</v>
      </c>
    </row>
    <row r="10585" spans="3:3" x14ac:dyDescent="0.25">
      <c r="C10585" s="26">
        <v>10583</v>
      </c>
    </row>
    <row r="10586" spans="3:3" x14ac:dyDescent="0.25">
      <c r="C10586" s="26">
        <v>10584</v>
      </c>
    </row>
    <row r="10587" spans="3:3" x14ac:dyDescent="0.25">
      <c r="C10587" s="26">
        <v>10585</v>
      </c>
    </row>
    <row r="10588" spans="3:3" x14ac:dyDescent="0.25">
      <c r="C10588" s="26">
        <v>10586</v>
      </c>
    </row>
    <row r="10589" spans="3:3" x14ac:dyDescent="0.25">
      <c r="C10589" s="26">
        <v>10587</v>
      </c>
    </row>
    <row r="10590" spans="3:3" x14ac:dyDescent="0.25">
      <c r="C10590" s="26">
        <v>10588</v>
      </c>
    </row>
    <row r="10591" spans="3:3" x14ac:dyDescent="0.25">
      <c r="C10591" s="26">
        <v>10589</v>
      </c>
    </row>
    <row r="10592" spans="3:3" x14ac:dyDescent="0.25">
      <c r="C10592" s="26">
        <v>10590</v>
      </c>
    </row>
    <row r="10593" spans="3:3" x14ac:dyDescent="0.25">
      <c r="C10593" s="26">
        <v>10591</v>
      </c>
    </row>
    <row r="10594" spans="3:3" x14ac:dyDescent="0.25">
      <c r="C10594" s="26">
        <v>10592</v>
      </c>
    </row>
    <row r="10595" spans="3:3" x14ac:dyDescent="0.25">
      <c r="C10595" s="26">
        <v>10593</v>
      </c>
    </row>
    <row r="10596" spans="3:3" x14ac:dyDescent="0.25">
      <c r="C10596" s="26">
        <v>10594</v>
      </c>
    </row>
    <row r="10597" spans="3:3" x14ac:dyDescent="0.25">
      <c r="C10597" s="26">
        <v>10595</v>
      </c>
    </row>
    <row r="10598" spans="3:3" x14ac:dyDescent="0.25">
      <c r="C10598" s="26">
        <v>10596</v>
      </c>
    </row>
    <row r="10599" spans="3:3" x14ac:dyDescent="0.25">
      <c r="C10599" s="26">
        <v>10597</v>
      </c>
    </row>
    <row r="10600" spans="3:3" x14ac:dyDescent="0.25">
      <c r="C10600" s="26">
        <v>10598</v>
      </c>
    </row>
    <row r="10601" spans="3:3" x14ac:dyDescent="0.25">
      <c r="C10601" s="26">
        <v>10599</v>
      </c>
    </row>
    <row r="10602" spans="3:3" x14ac:dyDescent="0.25">
      <c r="C10602" s="26">
        <v>10600</v>
      </c>
    </row>
    <row r="10603" spans="3:3" x14ac:dyDescent="0.25">
      <c r="C10603" s="26">
        <v>10601</v>
      </c>
    </row>
    <row r="10604" spans="3:3" x14ac:dyDescent="0.25">
      <c r="C10604" s="26">
        <v>10602</v>
      </c>
    </row>
    <row r="10605" spans="3:3" x14ac:dyDescent="0.25">
      <c r="C10605" s="26">
        <v>10603</v>
      </c>
    </row>
    <row r="10606" spans="3:3" x14ac:dyDescent="0.25">
      <c r="C10606" s="26">
        <v>10604</v>
      </c>
    </row>
    <row r="10607" spans="3:3" x14ac:dyDescent="0.25">
      <c r="C10607" s="26">
        <v>10605</v>
      </c>
    </row>
    <row r="10608" spans="3:3" x14ac:dyDescent="0.25">
      <c r="C10608" s="26">
        <v>10606</v>
      </c>
    </row>
    <row r="10609" spans="3:3" x14ac:dyDescent="0.25">
      <c r="C10609" s="26">
        <v>10607</v>
      </c>
    </row>
    <row r="10610" spans="3:3" x14ac:dyDescent="0.25">
      <c r="C10610" s="26">
        <v>10608</v>
      </c>
    </row>
    <row r="10611" spans="3:3" x14ac:dyDescent="0.25">
      <c r="C10611" s="26">
        <v>10609</v>
      </c>
    </row>
    <row r="10612" spans="3:3" x14ac:dyDescent="0.25">
      <c r="C10612" s="26">
        <v>10610</v>
      </c>
    </row>
    <row r="10613" spans="3:3" x14ac:dyDescent="0.25">
      <c r="C10613" s="26">
        <v>10611</v>
      </c>
    </row>
    <row r="10614" spans="3:3" x14ac:dyDescent="0.25">
      <c r="C10614" s="26">
        <v>10612</v>
      </c>
    </row>
    <row r="10615" spans="3:3" x14ac:dyDescent="0.25">
      <c r="C10615" s="26">
        <v>10613</v>
      </c>
    </row>
    <row r="10616" spans="3:3" x14ac:dyDescent="0.25">
      <c r="C10616" s="26">
        <v>10614</v>
      </c>
    </row>
    <row r="10617" spans="3:3" x14ac:dyDescent="0.25">
      <c r="C10617" s="26">
        <v>10615</v>
      </c>
    </row>
    <row r="10618" spans="3:3" x14ac:dyDescent="0.25">
      <c r="C10618" s="26">
        <v>10616</v>
      </c>
    </row>
    <row r="10619" spans="3:3" x14ac:dyDescent="0.25">
      <c r="C10619" s="26">
        <v>10617</v>
      </c>
    </row>
    <row r="10620" spans="3:3" x14ac:dyDescent="0.25">
      <c r="C10620" s="26">
        <v>10618</v>
      </c>
    </row>
    <row r="10621" spans="3:3" x14ac:dyDescent="0.25">
      <c r="C10621" s="26">
        <v>10619</v>
      </c>
    </row>
    <row r="10622" spans="3:3" x14ac:dyDescent="0.25">
      <c r="C10622" s="26">
        <v>10620</v>
      </c>
    </row>
    <row r="10623" spans="3:3" x14ac:dyDescent="0.25">
      <c r="C10623" s="26">
        <v>10621</v>
      </c>
    </row>
    <row r="10624" spans="3:3" x14ac:dyDescent="0.25">
      <c r="C10624" s="26">
        <v>10622</v>
      </c>
    </row>
    <row r="10625" spans="3:3" x14ac:dyDescent="0.25">
      <c r="C10625" s="26">
        <v>10623</v>
      </c>
    </row>
    <row r="10626" spans="3:3" x14ac:dyDescent="0.25">
      <c r="C10626" s="26">
        <v>10624</v>
      </c>
    </row>
    <row r="10627" spans="3:3" x14ac:dyDescent="0.25">
      <c r="C10627" s="26">
        <v>10625</v>
      </c>
    </row>
    <row r="10628" spans="3:3" x14ac:dyDescent="0.25">
      <c r="C10628" s="26">
        <v>10626</v>
      </c>
    </row>
    <row r="10629" spans="3:3" x14ac:dyDescent="0.25">
      <c r="C10629" s="26">
        <v>10627</v>
      </c>
    </row>
    <row r="10630" spans="3:3" x14ac:dyDescent="0.25">
      <c r="C10630" s="26">
        <v>10628</v>
      </c>
    </row>
    <row r="10631" spans="3:3" x14ac:dyDescent="0.25">
      <c r="C10631" s="26">
        <v>10629</v>
      </c>
    </row>
    <row r="10632" spans="3:3" x14ac:dyDescent="0.25">
      <c r="C10632" s="26">
        <v>10630</v>
      </c>
    </row>
    <row r="10633" spans="3:3" x14ac:dyDescent="0.25">
      <c r="C10633" s="26">
        <v>10631</v>
      </c>
    </row>
    <row r="10634" spans="3:3" x14ac:dyDescent="0.25">
      <c r="C10634" s="26">
        <v>10632</v>
      </c>
    </row>
    <row r="10635" spans="3:3" x14ac:dyDescent="0.25">
      <c r="C10635" s="26">
        <v>10633</v>
      </c>
    </row>
    <row r="10636" spans="3:3" x14ac:dyDescent="0.25">
      <c r="C10636" s="26">
        <v>10634</v>
      </c>
    </row>
    <row r="10637" spans="3:3" x14ac:dyDescent="0.25">
      <c r="C10637" s="26">
        <v>10635</v>
      </c>
    </row>
    <row r="10638" spans="3:3" x14ac:dyDescent="0.25">
      <c r="C10638" s="26">
        <v>10636</v>
      </c>
    </row>
    <row r="10639" spans="3:3" x14ac:dyDescent="0.25">
      <c r="C10639" s="26">
        <v>10637</v>
      </c>
    </row>
    <row r="10640" spans="3:3" x14ac:dyDescent="0.25">
      <c r="C10640" s="26">
        <v>10638</v>
      </c>
    </row>
    <row r="10641" spans="3:3" x14ac:dyDescent="0.25">
      <c r="C10641" s="26">
        <v>10639</v>
      </c>
    </row>
    <row r="10642" spans="3:3" x14ac:dyDescent="0.25">
      <c r="C10642" s="26">
        <v>10640</v>
      </c>
    </row>
    <row r="10643" spans="3:3" x14ac:dyDescent="0.25">
      <c r="C10643" s="26">
        <v>10641</v>
      </c>
    </row>
    <row r="10644" spans="3:3" x14ac:dyDescent="0.25">
      <c r="C10644" s="26">
        <v>10642</v>
      </c>
    </row>
    <row r="10645" spans="3:3" x14ac:dyDescent="0.25">
      <c r="C10645" s="26">
        <v>10643</v>
      </c>
    </row>
    <row r="10646" spans="3:3" x14ac:dyDescent="0.25">
      <c r="C10646" s="26">
        <v>10644</v>
      </c>
    </row>
    <row r="10647" spans="3:3" x14ac:dyDescent="0.25">
      <c r="C10647" s="26">
        <v>10645</v>
      </c>
    </row>
    <row r="10648" spans="3:3" x14ac:dyDescent="0.25">
      <c r="C10648" s="26">
        <v>10646</v>
      </c>
    </row>
    <row r="10649" spans="3:3" x14ac:dyDescent="0.25">
      <c r="C10649" s="26">
        <v>10647</v>
      </c>
    </row>
    <row r="10650" spans="3:3" x14ac:dyDescent="0.25">
      <c r="C10650" s="26">
        <v>10648</v>
      </c>
    </row>
    <row r="10651" spans="3:3" x14ac:dyDescent="0.25">
      <c r="C10651" s="26">
        <v>10649</v>
      </c>
    </row>
    <row r="10652" spans="3:3" x14ac:dyDescent="0.25">
      <c r="C10652" s="26">
        <v>10650</v>
      </c>
    </row>
    <row r="10653" spans="3:3" x14ac:dyDescent="0.25">
      <c r="C10653" s="26">
        <v>10651</v>
      </c>
    </row>
    <row r="10654" spans="3:3" x14ac:dyDescent="0.25">
      <c r="C10654" s="26">
        <v>10652</v>
      </c>
    </row>
    <row r="10655" spans="3:3" x14ac:dyDescent="0.25">
      <c r="C10655" s="26">
        <v>10653</v>
      </c>
    </row>
    <row r="10656" spans="3:3" x14ac:dyDescent="0.25">
      <c r="C10656" s="26">
        <v>10654</v>
      </c>
    </row>
    <row r="10657" spans="3:3" x14ac:dyDescent="0.25">
      <c r="C10657" s="26">
        <v>10655</v>
      </c>
    </row>
    <row r="10658" spans="3:3" x14ac:dyDescent="0.25">
      <c r="C10658" s="26">
        <v>10656</v>
      </c>
    </row>
    <row r="10659" spans="3:3" x14ac:dyDescent="0.25">
      <c r="C10659" s="26">
        <v>10657</v>
      </c>
    </row>
    <row r="10660" spans="3:3" x14ac:dyDescent="0.25">
      <c r="C10660" s="26">
        <v>10658</v>
      </c>
    </row>
    <row r="10661" spans="3:3" x14ac:dyDescent="0.25">
      <c r="C10661" s="26">
        <v>10659</v>
      </c>
    </row>
    <row r="10662" spans="3:3" x14ac:dyDescent="0.25">
      <c r="C10662" s="26">
        <v>10660</v>
      </c>
    </row>
    <row r="10663" spans="3:3" x14ac:dyDescent="0.25">
      <c r="C10663" s="26">
        <v>10661</v>
      </c>
    </row>
    <row r="10664" spans="3:3" x14ac:dyDescent="0.25">
      <c r="C10664" s="26">
        <v>10662</v>
      </c>
    </row>
    <row r="10665" spans="3:3" x14ac:dyDescent="0.25">
      <c r="C10665" s="26">
        <v>10663</v>
      </c>
    </row>
    <row r="10666" spans="3:3" x14ac:dyDescent="0.25">
      <c r="C10666" s="26">
        <v>10664</v>
      </c>
    </row>
    <row r="10667" spans="3:3" x14ac:dyDescent="0.25">
      <c r="C10667" s="26">
        <v>10665</v>
      </c>
    </row>
    <row r="10668" spans="3:3" x14ac:dyDescent="0.25">
      <c r="C10668" s="26">
        <v>10666</v>
      </c>
    </row>
    <row r="10669" spans="3:3" x14ac:dyDescent="0.25">
      <c r="C10669" s="26">
        <v>10667</v>
      </c>
    </row>
    <row r="10670" spans="3:3" x14ac:dyDescent="0.25">
      <c r="C10670" s="26">
        <v>10668</v>
      </c>
    </row>
    <row r="10671" spans="3:3" x14ac:dyDescent="0.25">
      <c r="C10671" s="26">
        <v>10669</v>
      </c>
    </row>
    <row r="10672" spans="3:3" x14ac:dyDescent="0.25">
      <c r="C10672" s="26">
        <v>10670</v>
      </c>
    </row>
    <row r="10673" spans="3:3" x14ac:dyDescent="0.25">
      <c r="C10673" s="26">
        <v>10671</v>
      </c>
    </row>
    <row r="10674" spans="3:3" x14ac:dyDescent="0.25">
      <c r="C10674" s="26">
        <v>10672</v>
      </c>
    </row>
    <row r="10675" spans="3:3" x14ac:dyDescent="0.25">
      <c r="C10675" s="26">
        <v>10673</v>
      </c>
    </row>
    <row r="10676" spans="3:3" x14ac:dyDescent="0.25">
      <c r="C10676" s="26">
        <v>10674</v>
      </c>
    </row>
    <row r="10677" spans="3:3" x14ac:dyDescent="0.25">
      <c r="C10677" s="26">
        <v>10675</v>
      </c>
    </row>
    <row r="10678" spans="3:3" x14ac:dyDescent="0.25">
      <c r="C10678" s="26">
        <v>10676</v>
      </c>
    </row>
    <row r="10679" spans="3:3" x14ac:dyDescent="0.25">
      <c r="C10679" s="26">
        <v>10677</v>
      </c>
    </row>
    <row r="10680" spans="3:3" x14ac:dyDescent="0.25">
      <c r="C10680" s="26">
        <v>10678</v>
      </c>
    </row>
    <row r="10681" spans="3:3" x14ac:dyDescent="0.25">
      <c r="C10681" s="26">
        <v>10679</v>
      </c>
    </row>
    <row r="10682" spans="3:3" x14ac:dyDescent="0.25">
      <c r="C10682" s="26">
        <v>10680</v>
      </c>
    </row>
    <row r="10683" spans="3:3" x14ac:dyDescent="0.25">
      <c r="C10683" s="26">
        <v>10681</v>
      </c>
    </row>
    <row r="10684" spans="3:3" x14ac:dyDescent="0.25">
      <c r="C10684" s="26">
        <v>10682</v>
      </c>
    </row>
    <row r="10685" spans="3:3" x14ac:dyDescent="0.25">
      <c r="C10685" s="26">
        <v>10683</v>
      </c>
    </row>
    <row r="10686" spans="3:3" x14ac:dyDescent="0.25">
      <c r="C10686" s="26">
        <v>10684</v>
      </c>
    </row>
    <row r="10687" spans="3:3" x14ac:dyDescent="0.25">
      <c r="C10687" s="26">
        <v>10685</v>
      </c>
    </row>
    <row r="10688" spans="3:3" x14ac:dyDescent="0.25">
      <c r="C10688" s="26">
        <v>10686</v>
      </c>
    </row>
    <row r="10689" spans="3:3" x14ac:dyDescent="0.25">
      <c r="C10689" s="26">
        <v>10687</v>
      </c>
    </row>
    <row r="10690" spans="3:3" x14ac:dyDescent="0.25">
      <c r="C10690" s="26">
        <v>10688</v>
      </c>
    </row>
    <row r="10691" spans="3:3" x14ac:dyDescent="0.25">
      <c r="C10691" s="26">
        <v>10689</v>
      </c>
    </row>
    <row r="10692" spans="3:3" x14ac:dyDescent="0.25">
      <c r="C10692" s="26">
        <v>10690</v>
      </c>
    </row>
    <row r="10693" spans="3:3" x14ac:dyDescent="0.25">
      <c r="C10693" s="26">
        <v>10691</v>
      </c>
    </row>
    <row r="10694" spans="3:3" x14ac:dyDescent="0.25">
      <c r="C10694" s="26">
        <v>10692</v>
      </c>
    </row>
    <row r="10695" spans="3:3" x14ac:dyDescent="0.25">
      <c r="C10695" s="26">
        <v>10693</v>
      </c>
    </row>
    <row r="10696" spans="3:3" x14ac:dyDescent="0.25">
      <c r="C10696" s="26">
        <v>10694</v>
      </c>
    </row>
    <row r="10697" spans="3:3" x14ac:dyDescent="0.25">
      <c r="C10697" s="26">
        <v>10695</v>
      </c>
    </row>
    <row r="10698" spans="3:3" x14ac:dyDescent="0.25">
      <c r="C10698" s="26">
        <v>10696</v>
      </c>
    </row>
    <row r="10699" spans="3:3" x14ac:dyDescent="0.25">
      <c r="C10699" s="26">
        <v>10697</v>
      </c>
    </row>
    <row r="10700" spans="3:3" x14ac:dyDescent="0.25">
      <c r="C10700" s="26">
        <v>10698</v>
      </c>
    </row>
    <row r="10701" spans="3:3" x14ac:dyDescent="0.25">
      <c r="C10701" s="26">
        <v>10699</v>
      </c>
    </row>
    <row r="10702" spans="3:3" x14ac:dyDescent="0.25">
      <c r="C10702" s="26">
        <v>10700</v>
      </c>
    </row>
    <row r="10703" spans="3:3" x14ac:dyDescent="0.25">
      <c r="C10703" s="26">
        <v>10701</v>
      </c>
    </row>
    <row r="10704" spans="3:3" x14ac:dyDescent="0.25">
      <c r="C10704" s="26">
        <v>10702</v>
      </c>
    </row>
    <row r="10705" spans="3:3" x14ac:dyDescent="0.25">
      <c r="C10705" s="26">
        <v>10703</v>
      </c>
    </row>
    <row r="10706" spans="3:3" x14ac:dyDescent="0.25">
      <c r="C10706" s="26">
        <v>10704</v>
      </c>
    </row>
    <row r="10707" spans="3:3" x14ac:dyDescent="0.25">
      <c r="C10707" s="26">
        <v>10705</v>
      </c>
    </row>
    <row r="10708" spans="3:3" x14ac:dyDescent="0.25">
      <c r="C10708" s="26">
        <v>10706</v>
      </c>
    </row>
    <row r="10709" spans="3:3" x14ac:dyDescent="0.25">
      <c r="C10709" s="26">
        <v>10707</v>
      </c>
    </row>
    <row r="10710" spans="3:3" x14ac:dyDescent="0.25">
      <c r="C10710" s="26">
        <v>10708</v>
      </c>
    </row>
    <row r="10711" spans="3:3" x14ac:dyDescent="0.25">
      <c r="C10711" s="26">
        <v>10709</v>
      </c>
    </row>
    <row r="10712" spans="3:3" x14ac:dyDescent="0.25">
      <c r="C10712" s="26">
        <v>10710</v>
      </c>
    </row>
    <row r="10713" spans="3:3" x14ac:dyDescent="0.25">
      <c r="C10713" s="26">
        <v>10711</v>
      </c>
    </row>
    <row r="10714" spans="3:3" x14ac:dyDescent="0.25">
      <c r="C10714" s="26">
        <v>10712</v>
      </c>
    </row>
    <row r="10715" spans="3:3" x14ac:dyDescent="0.25">
      <c r="C10715" s="26">
        <v>10713</v>
      </c>
    </row>
    <row r="10716" spans="3:3" x14ac:dyDescent="0.25">
      <c r="C10716" s="26">
        <v>10714</v>
      </c>
    </row>
    <row r="10717" spans="3:3" x14ac:dyDescent="0.25">
      <c r="C10717" s="26">
        <v>10715</v>
      </c>
    </row>
    <row r="10718" spans="3:3" x14ac:dyDescent="0.25">
      <c r="C10718" s="26">
        <v>10716</v>
      </c>
    </row>
    <row r="10719" spans="3:3" x14ac:dyDescent="0.25">
      <c r="C10719" s="26">
        <v>10717</v>
      </c>
    </row>
    <row r="10720" spans="3:3" x14ac:dyDescent="0.25">
      <c r="C10720" s="26">
        <v>10718</v>
      </c>
    </row>
    <row r="10721" spans="3:3" x14ac:dyDescent="0.25">
      <c r="C10721" s="26">
        <v>10719</v>
      </c>
    </row>
    <row r="10722" spans="3:3" x14ac:dyDescent="0.25">
      <c r="C10722" s="26">
        <v>10720</v>
      </c>
    </row>
    <row r="10723" spans="3:3" x14ac:dyDescent="0.25">
      <c r="C10723" s="26">
        <v>10721</v>
      </c>
    </row>
    <row r="10724" spans="3:3" x14ac:dyDescent="0.25">
      <c r="C10724" s="26">
        <v>10722</v>
      </c>
    </row>
    <row r="10725" spans="3:3" x14ac:dyDescent="0.25">
      <c r="C10725" s="26">
        <v>10723</v>
      </c>
    </row>
    <row r="10726" spans="3:3" x14ac:dyDescent="0.25">
      <c r="C10726" s="26">
        <v>10724</v>
      </c>
    </row>
    <row r="10727" spans="3:3" x14ac:dyDescent="0.25">
      <c r="C10727" s="26">
        <v>10725</v>
      </c>
    </row>
    <row r="10728" spans="3:3" x14ac:dyDescent="0.25">
      <c r="C10728" s="26">
        <v>10726</v>
      </c>
    </row>
    <row r="10729" spans="3:3" x14ac:dyDescent="0.25">
      <c r="C10729" s="26">
        <v>10727</v>
      </c>
    </row>
    <row r="10730" spans="3:3" x14ac:dyDescent="0.25">
      <c r="C10730" s="26">
        <v>10728</v>
      </c>
    </row>
    <row r="10731" spans="3:3" x14ac:dyDescent="0.25">
      <c r="C10731" s="26">
        <v>10729</v>
      </c>
    </row>
    <row r="10732" spans="3:3" x14ac:dyDescent="0.25">
      <c r="C10732" s="26">
        <v>10730</v>
      </c>
    </row>
    <row r="10733" spans="3:3" x14ac:dyDescent="0.25">
      <c r="C10733" s="26">
        <v>10731</v>
      </c>
    </row>
    <row r="10734" spans="3:3" x14ac:dyDescent="0.25">
      <c r="C10734" s="26">
        <v>10732</v>
      </c>
    </row>
    <row r="10735" spans="3:3" x14ac:dyDescent="0.25">
      <c r="C10735" s="26">
        <v>10733</v>
      </c>
    </row>
    <row r="10736" spans="3:3" x14ac:dyDescent="0.25">
      <c r="C10736" s="26">
        <v>10734</v>
      </c>
    </row>
    <row r="10737" spans="3:3" x14ac:dyDescent="0.25">
      <c r="C10737" s="26">
        <v>10735</v>
      </c>
    </row>
    <row r="10738" spans="3:3" x14ac:dyDescent="0.25">
      <c r="C10738" s="26">
        <v>10736</v>
      </c>
    </row>
    <row r="10739" spans="3:3" x14ac:dyDescent="0.25">
      <c r="C10739" s="26">
        <v>10737</v>
      </c>
    </row>
    <row r="10740" spans="3:3" x14ac:dyDescent="0.25">
      <c r="C10740" s="26">
        <v>10738</v>
      </c>
    </row>
    <row r="10741" spans="3:3" x14ac:dyDescent="0.25">
      <c r="C10741" s="26">
        <v>10739</v>
      </c>
    </row>
    <row r="10742" spans="3:3" x14ac:dyDescent="0.25">
      <c r="C10742" s="26">
        <v>10740</v>
      </c>
    </row>
    <row r="10743" spans="3:3" x14ac:dyDescent="0.25">
      <c r="C10743" s="26">
        <v>10741</v>
      </c>
    </row>
    <row r="10744" spans="3:3" x14ac:dyDescent="0.25">
      <c r="C10744" s="26">
        <v>10742</v>
      </c>
    </row>
    <row r="10745" spans="3:3" x14ac:dyDescent="0.25">
      <c r="C10745" s="26">
        <v>10743</v>
      </c>
    </row>
    <row r="10746" spans="3:3" x14ac:dyDescent="0.25">
      <c r="C10746" s="26">
        <v>10744</v>
      </c>
    </row>
    <row r="10747" spans="3:3" x14ac:dyDescent="0.25">
      <c r="C10747" s="26">
        <v>10745</v>
      </c>
    </row>
    <row r="10748" spans="3:3" x14ac:dyDescent="0.25">
      <c r="C10748" s="26">
        <v>10746</v>
      </c>
    </row>
    <row r="10749" spans="3:3" x14ac:dyDescent="0.25">
      <c r="C10749" s="26">
        <v>10747</v>
      </c>
    </row>
    <row r="10750" spans="3:3" x14ac:dyDescent="0.25">
      <c r="C10750" s="26">
        <v>10748</v>
      </c>
    </row>
    <row r="10751" spans="3:3" x14ac:dyDescent="0.25">
      <c r="C10751" s="26">
        <v>10749</v>
      </c>
    </row>
    <row r="10752" spans="3:3" x14ac:dyDescent="0.25">
      <c r="C10752" s="26">
        <v>10750</v>
      </c>
    </row>
    <row r="10753" spans="3:3" x14ac:dyDescent="0.25">
      <c r="C10753" s="26">
        <v>10751</v>
      </c>
    </row>
    <row r="10754" spans="3:3" x14ac:dyDescent="0.25">
      <c r="C10754" s="26">
        <v>10752</v>
      </c>
    </row>
    <row r="10755" spans="3:3" x14ac:dyDescent="0.25">
      <c r="C10755" s="26">
        <v>10753</v>
      </c>
    </row>
    <row r="10756" spans="3:3" x14ac:dyDescent="0.25">
      <c r="C10756" s="26">
        <v>10754</v>
      </c>
    </row>
    <row r="10757" spans="3:3" x14ac:dyDescent="0.25">
      <c r="C10757" s="26">
        <v>10755</v>
      </c>
    </row>
    <row r="10758" spans="3:3" x14ac:dyDescent="0.25">
      <c r="C10758" s="26">
        <v>10756</v>
      </c>
    </row>
    <row r="10759" spans="3:3" x14ac:dyDescent="0.25">
      <c r="C10759" s="26">
        <v>10757</v>
      </c>
    </row>
    <row r="10760" spans="3:3" x14ac:dyDescent="0.25">
      <c r="C10760" s="26">
        <v>10758</v>
      </c>
    </row>
    <row r="10761" spans="3:3" x14ac:dyDescent="0.25">
      <c r="C10761" s="26">
        <v>10759</v>
      </c>
    </row>
    <row r="10762" spans="3:3" x14ac:dyDescent="0.25">
      <c r="C10762" s="26">
        <v>10760</v>
      </c>
    </row>
    <row r="10763" spans="3:3" x14ac:dyDescent="0.25">
      <c r="C10763" s="26">
        <v>10761</v>
      </c>
    </row>
    <row r="10764" spans="3:3" x14ac:dyDescent="0.25">
      <c r="C10764" s="26">
        <v>10762</v>
      </c>
    </row>
    <row r="10765" spans="3:3" x14ac:dyDescent="0.25">
      <c r="C10765" s="26">
        <v>10763</v>
      </c>
    </row>
    <row r="10766" spans="3:3" x14ac:dyDescent="0.25">
      <c r="C10766" s="26">
        <v>10764</v>
      </c>
    </row>
    <row r="10767" spans="3:3" x14ac:dyDescent="0.25">
      <c r="C10767" s="26">
        <v>10765</v>
      </c>
    </row>
    <row r="10768" spans="3:3" x14ac:dyDescent="0.25">
      <c r="C10768" s="26">
        <v>10766</v>
      </c>
    </row>
    <row r="10769" spans="3:3" x14ac:dyDescent="0.25">
      <c r="C10769" s="26">
        <v>10767</v>
      </c>
    </row>
    <row r="10770" spans="3:3" x14ac:dyDescent="0.25">
      <c r="C10770" s="26">
        <v>10768</v>
      </c>
    </row>
    <row r="10771" spans="3:3" x14ac:dyDescent="0.25">
      <c r="C10771" s="26">
        <v>10769</v>
      </c>
    </row>
    <row r="10772" spans="3:3" x14ac:dyDescent="0.25">
      <c r="C10772" s="26">
        <v>10770</v>
      </c>
    </row>
    <row r="10773" spans="3:3" x14ac:dyDescent="0.25">
      <c r="C10773" s="26">
        <v>10771</v>
      </c>
    </row>
    <row r="10774" spans="3:3" x14ac:dyDescent="0.25">
      <c r="C10774" s="26">
        <v>10772</v>
      </c>
    </row>
    <row r="10775" spans="3:3" x14ac:dyDescent="0.25">
      <c r="C10775" s="26">
        <v>10773</v>
      </c>
    </row>
    <row r="10776" spans="3:3" x14ac:dyDescent="0.25">
      <c r="C10776" s="26">
        <v>10774</v>
      </c>
    </row>
    <row r="10777" spans="3:3" x14ac:dyDescent="0.25">
      <c r="C10777" s="26">
        <v>10775</v>
      </c>
    </row>
    <row r="10778" spans="3:3" x14ac:dyDescent="0.25">
      <c r="C10778" s="26">
        <v>10776</v>
      </c>
    </row>
    <row r="10779" spans="3:3" x14ac:dyDescent="0.25">
      <c r="C10779" s="26">
        <v>10777</v>
      </c>
    </row>
    <row r="10780" spans="3:3" x14ac:dyDescent="0.25">
      <c r="C10780" s="26">
        <v>10778</v>
      </c>
    </row>
    <row r="10781" spans="3:3" x14ac:dyDescent="0.25">
      <c r="C10781" s="26">
        <v>10779</v>
      </c>
    </row>
    <row r="10782" spans="3:3" x14ac:dyDescent="0.25">
      <c r="C10782" s="26">
        <v>10780</v>
      </c>
    </row>
    <row r="10783" spans="3:3" x14ac:dyDescent="0.25">
      <c r="C10783" s="26">
        <v>10781</v>
      </c>
    </row>
    <row r="10784" spans="3:3" x14ac:dyDescent="0.25">
      <c r="C10784" s="26">
        <v>10782</v>
      </c>
    </row>
    <row r="10785" spans="3:3" x14ac:dyDescent="0.25">
      <c r="C10785" s="26">
        <v>10783</v>
      </c>
    </row>
    <row r="10786" spans="3:3" x14ac:dyDescent="0.25">
      <c r="C10786" s="26">
        <v>10784</v>
      </c>
    </row>
    <row r="10787" spans="3:3" x14ac:dyDescent="0.25">
      <c r="C10787" s="26">
        <v>10785</v>
      </c>
    </row>
    <row r="10788" spans="3:3" x14ac:dyDescent="0.25">
      <c r="C10788" s="26">
        <v>10786</v>
      </c>
    </row>
    <row r="10789" spans="3:3" x14ac:dyDescent="0.25">
      <c r="C10789" s="26">
        <v>10787</v>
      </c>
    </row>
    <row r="10790" spans="3:3" x14ac:dyDescent="0.25">
      <c r="C10790" s="26">
        <v>10788</v>
      </c>
    </row>
    <row r="10791" spans="3:3" x14ac:dyDescent="0.25">
      <c r="C10791" s="26">
        <v>10789</v>
      </c>
    </row>
    <row r="10792" spans="3:3" x14ac:dyDescent="0.25">
      <c r="C10792" s="26">
        <v>10790</v>
      </c>
    </row>
    <row r="10793" spans="3:3" x14ac:dyDescent="0.25">
      <c r="C10793" s="26">
        <v>10791</v>
      </c>
    </row>
    <row r="10794" spans="3:3" x14ac:dyDescent="0.25">
      <c r="C10794" s="26">
        <v>10792</v>
      </c>
    </row>
    <row r="10795" spans="3:3" x14ac:dyDescent="0.25">
      <c r="C10795" s="26">
        <v>10793</v>
      </c>
    </row>
    <row r="10796" spans="3:3" x14ac:dyDescent="0.25">
      <c r="C10796" s="26">
        <v>10794</v>
      </c>
    </row>
    <row r="10797" spans="3:3" x14ac:dyDescent="0.25">
      <c r="C10797" s="26">
        <v>10795</v>
      </c>
    </row>
    <row r="10798" spans="3:3" x14ac:dyDescent="0.25">
      <c r="C10798" s="26">
        <v>10796</v>
      </c>
    </row>
    <row r="10799" spans="3:3" x14ac:dyDescent="0.25">
      <c r="C10799" s="26">
        <v>10797</v>
      </c>
    </row>
    <row r="10800" spans="3:3" x14ac:dyDescent="0.25">
      <c r="C10800" s="26">
        <v>10798</v>
      </c>
    </row>
    <row r="10801" spans="3:3" x14ac:dyDescent="0.25">
      <c r="C10801" s="26">
        <v>10799</v>
      </c>
    </row>
    <row r="10802" spans="3:3" x14ac:dyDescent="0.25">
      <c r="C10802" s="26">
        <v>10800</v>
      </c>
    </row>
    <row r="10803" spans="3:3" x14ac:dyDescent="0.25">
      <c r="C10803" s="26">
        <v>10801</v>
      </c>
    </row>
    <row r="10804" spans="3:3" x14ac:dyDescent="0.25">
      <c r="C10804" s="26">
        <v>10802</v>
      </c>
    </row>
    <row r="10805" spans="3:3" x14ac:dyDescent="0.25">
      <c r="C10805" s="26">
        <v>10803</v>
      </c>
    </row>
    <row r="10806" spans="3:3" x14ac:dyDescent="0.25">
      <c r="C10806" s="26">
        <v>10804</v>
      </c>
    </row>
    <row r="10807" spans="3:3" x14ac:dyDescent="0.25">
      <c r="C10807" s="26">
        <v>10805</v>
      </c>
    </row>
    <row r="10808" spans="3:3" x14ac:dyDescent="0.25">
      <c r="C10808" s="26">
        <v>10806</v>
      </c>
    </row>
    <row r="10809" spans="3:3" x14ac:dyDescent="0.25">
      <c r="C10809" s="26">
        <v>10807</v>
      </c>
    </row>
    <row r="10810" spans="3:3" x14ac:dyDescent="0.25">
      <c r="C10810" s="26">
        <v>10808</v>
      </c>
    </row>
    <row r="10811" spans="3:3" x14ac:dyDescent="0.25">
      <c r="C10811" s="26">
        <v>10809</v>
      </c>
    </row>
    <row r="10812" spans="3:3" x14ac:dyDescent="0.25">
      <c r="C10812" s="26">
        <v>10810</v>
      </c>
    </row>
    <row r="10813" spans="3:3" x14ac:dyDescent="0.25">
      <c r="C10813" s="26">
        <v>10811</v>
      </c>
    </row>
    <row r="10814" spans="3:3" x14ac:dyDescent="0.25">
      <c r="C10814" s="26">
        <v>10812</v>
      </c>
    </row>
    <row r="10815" spans="3:3" x14ac:dyDescent="0.25">
      <c r="C10815" s="26">
        <v>10813</v>
      </c>
    </row>
    <row r="10816" spans="3:3" x14ac:dyDescent="0.25">
      <c r="C10816" s="26">
        <v>10814</v>
      </c>
    </row>
    <row r="10817" spans="3:3" x14ac:dyDescent="0.25">
      <c r="C10817" s="26">
        <v>10815</v>
      </c>
    </row>
    <row r="10818" spans="3:3" x14ac:dyDescent="0.25">
      <c r="C10818" s="26">
        <v>10816</v>
      </c>
    </row>
    <row r="10819" spans="3:3" x14ac:dyDescent="0.25">
      <c r="C10819" s="26">
        <v>10817</v>
      </c>
    </row>
    <row r="10820" spans="3:3" x14ac:dyDescent="0.25">
      <c r="C10820" s="26">
        <v>10818</v>
      </c>
    </row>
    <row r="10821" spans="3:3" x14ac:dyDescent="0.25">
      <c r="C10821" s="26">
        <v>10819</v>
      </c>
    </row>
    <row r="10822" spans="3:3" x14ac:dyDescent="0.25">
      <c r="C10822" s="26">
        <v>10820</v>
      </c>
    </row>
    <row r="10823" spans="3:3" x14ac:dyDescent="0.25">
      <c r="C10823" s="26">
        <v>10821</v>
      </c>
    </row>
    <row r="10824" spans="3:3" x14ac:dyDescent="0.25">
      <c r="C10824" s="26">
        <v>10822</v>
      </c>
    </row>
    <row r="10825" spans="3:3" x14ac:dyDescent="0.25">
      <c r="C10825" s="26">
        <v>10823</v>
      </c>
    </row>
    <row r="10826" spans="3:3" x14ac:dyDescent="0.25">
      <c r="C10826" s="26">
        <v>10824</v>
      </c>
    </row>
    <row r="10827" spans="3:3" x14ac:dyDescent="0.25">
      <c r="C10827" s="26">
        <v>10825</v>
      </c>
    </row>
    <row r="10828" spans="3:3" x14ac:dyDescent="0.25">
      <c r="C10828" s="26">
        <v>10826</v>
      </c>
    </row>
    <row r="10829" spans="3:3" x14ac:dyDescent="0.25">
      <c r="C10829" s="26">
        <v>10827</v>
      </c>
    </row>
    <row r="10830" spans="3:3" x14ac:dyDescent="0.25">
      <c r="C10830" s="26">
        <v>10828</v>
      </c>
    </row>
    <row r="10831" spans="3:3" x14ac:dyDescent="0.25">
      <c r="C10831" s="26">
        <v>10829</v>
      </c>
    </row>
    <row r="10832" spans="3:3" x14ac:dyDescent="0.25">
      <c r="C10832" s="26">
        <v>10830</v>
      </c>
    </row>
    <row r="10833" spans="3:3" x14ac:dyDescent="0.25">
      <c r="C10833" s="26">
        <v>10831</v>
      </c>
    </row>
    <row r="10834" spans="3:3" x14ac:dyDescent="0.25">
      <c r="C10834" s="26">
        <v>10832</v>
      </c>
    </row>
    <row r="10835" spans="3:3" x14ac:dyDescent="0.25">
      <c r="C10835" s="26">
        <v>10833</v>
      </c>
    </row>
    <row r="10836" spans="3:3" x14ac:dyDescent="0.25">
      <c r="C10836" s="26">
        <v>10834</v>
      </c>
    </row>
    <row r="10837" spans="3:3" x14ac:dyDescent="0.25">
      <c r="C10837" s="26">
        <v>10835</v>
      </c>
    </row>
    <row r="10838" spans="3:3" x14ac:dyDescent="0.25">
      <c r="C10838" s="26">
        <v>10836</v>
      </c>
    </row>
    <row r="10839" spans="3:3" x14ac:dyDescent="0.25">
      <c r="C10839" s="26">
        <v>10837</v>
      </c>
    </row>
    <row r="10840" spans="3:3" x14ac:dyDescent="0.25">
      <c r="C10840" s="26">
        <v>10838</v>
      </c>
    </row>
    <row r="10841" spans="3:3" x14ac:dyDescent="0.25">
      <c r="C10841" s="26">
        <v>10839</v>
      </c>
    </row>
    <row r="10842" spans="3:3" x14ac:dyDescent="0.25">
      <c r="C10842" s="26">
        <v>10840</v>
      </c>
    </row>
    <row r="10843" spans="3:3" x14ac:dyDescent="0.25">
      <c r="C10843" s="26">
        <v>10841</v>
      </c>
    </row>
    <row r="10844" spans="3:3" x14ac:dyDescent="0.25">
      <c r="C10844" s="26">
        <v>10842</v>
      </c>
    </row>
    <row r="10845" spans="3:3" x14ac:dyDescent="0.25">
      <c r="C10845" s="26">
        <v>10843</v>
      </c>
    </row>
    <row r="10846" spans="3:3" x14ac:dyDescent="0.25">
      <c r="C10846" s="26">
        <v>10844</v>
      </c>
    </row>
    <row r="10847" spans="3:3" x14ac:dyDescent="0.25">
      <c r="C10847" s="26">
        <v>10845</v>
      </c>
    </row>
    <row r="10848" spans="3:3" x14ac:dyDescent="0.25">
      <c r="C10848" s="26">
        <v>10846</v>
      </c>
    </row>
    <row r="10849" spans="3:3" x14ac:dyDescent="0.25">
      <c r="C10849" s="26">
        <v>10847</v>
      </c>
    </row>
    <row r="10850" spans="3:3" x14ac:dyDescent="0.25">
      <c r="C10850" s="26">
        <v>10848</v>
      </c>
    </row>
    <row r="10851" spans="3:3" x14ac:dyDescent="0.25">
      <c r="C10851" s="26">
        <v>10849</v>
      </c>
    </row>
    <row r="10852" spans="3:3" x14ac:dyDescent="0.25">
      <c r="C10852" s="26">
        <v>10850</v>
      </c>
    </row>
    <row r="10853" spans="3:3" x14ac:dyDescent="0.25">
      <c r="C10853" s="26">
        <v>10851</v>
      </c>
    </row>
    <row r="10854" spans="3:3" x14ac:dyDescent="0.25">
      <c r="C10854" s="26">
        <v>10852</v>
      </c>
    </row>
    <row r="10855" spans="3:3" x14ac:dyDescent="0.25">
      <c r="C10855" s="26">
        <v>10853</v>
      </c>
    </row>
    <row r="10856" spans="3:3" x14ac:dyDescent="0.25">
      <c r="C10856" s="26">
        <v>10854</v>
      </c>
    </row>
    <row r="10857" spans="3:3" x14ac:dyDescent="0.25">
      <c r="C10857" s="26">
        <v>10855</v>
      </c>
    </row>
    <row r="10858" spans="3:3" x14ac:dyDescent="0.25">
      <c r="C10858" s="26">
        <v>10856</v>
      </c>
    </row>
    <row r="10859" spans="3:3" x14ac:dyDescent="0.25">
      <c r="C10859" s="26">
        <v>10857</v>
      </c>
    </row>
    <row r="10860" spans="3:3" x14ac:dyDescent="0.25">
      <c r="C10860" s="26">
        <v>10858</v>
      </c>
    </row>
    <row r="10861" spans="3:3" x14ac:dyDescent="0.25">
      <c r="C10861" s="26">
        <v>10859</v>
      </c>
    </row>
    <row r="10862" spans="3:3" x14ac:dyDescent="0.25">
      <c r="C10862" s="26">
        <v>10860</v>
      </c>
    </row>
    <row r="10863" spans="3:3" x14ac:dyDescent="0.25">
      <c r="C10863" s="26">
        <v>10861</v>
      </c>
    </row>
    <row r="10864" spans="3:3" x14ac:dyDescent="0.25">
      <c r="C10864" s="26">
        <v>10862</v>
      </c>
    </row>
    <row r="10865" spans="3:3" x14ac:dyDescent="0.25">
      <c r="C10865" s="26">
        <v>10863</v>
      </c>
    </row>
    <row r="10866" spans="3:3" x14ac:dyDescent="0.25">
      <c r="C10866" s="26">
        <v>10864</v>
      </c>
    </row>
    <row r="10867" spans="3:3" x14ac:dyDescent="0.25">
      <c r="C10867" s="26">
        <v>10865</v>
      </c>
    </row>
    <row r="10868" spans="3:3" x14ac:dyDescent="0.25">
      <c r="C10868" s="26">
        <v>10866</v>
      </c>
    </row>
    <row r="10869" spans="3:3" x14ac:dyDescent="0.25">
      <c r="C10869" s="26">
        <v>10867</v>
      </c>
    </row>
    <row r="10870" spans="3:3" x14ac:dyDescent="0.25">
      <c r="C10870" s="26">
        <v>10868</v>
      </c>
    </row>
    <row r="10871" spans="3:3" x14ac:dyDescent="0.25">
      <c r="C10871" s="26">
        <v>10869</v>
      </c>
    </row>
    <row r="10872" spans="3:3" x14ac:dyDescent="0.25">
      <c r="C10872" s="26">
        <v>10870</v>
      </c>
    </row>
    <row r="10873" spans="3:3" x14ac:dyDescent="0.25">
      <c r="C10873" s="26">
        <v>10871</v>
      </c>
    </row>
    <row r="10874" spans="3:3" x14ac:dyDescent="0.25">
      <c r="C10874" s="26">
        <v>10872</v>
      </c>
    </row>
    <row r="10875" spans="3:3" x14ac:dyDescent="0.25">
      <c r="C10875" s="26">
        <v>10873</v>
      </c>
    </row>
    <row r="10876" spans="3:3" x14ac:dyDescent="0.25">
      <c r="C10876" s="26">
        <v>10874</v>
      </c>
    </row>
    <row r="10877" spans="3:3" x14ac:dyDescent="0.25">
      <c r="C10877" s="26">
        <v>10875</v>
      </c>
    </row>
    <row r="10878" spans="3:3" x14ac:dyDescent="0.25">
      <c r="C10878" s="26">
        <v>10876</v>
      </c>
    </row>
    <row r="10879" spans="3:3" x14ac:dyDescent="0.25">
      <c r="C10879" s="26">
        <v>10877</v>
      </c>
    </row>
    <row r="10880" spans="3:3" x14ac:dyDescent="0.25">
      <c r="C10880" s="26">
        <v>10878</v>
      </c>
    </row>
    <row r="10881" spans="3:3" x14ac:dyDescent="0.25">
      <c r="C10881" s="26">
        <v>10879</v>
      </c>
    </row>
    <row r="10882" spans="3:3" x14ac:dyDescent="0.25">
      <c r="C10882" s="26">
        <v>10880</v>
      </c>
    </row>
    <row r="10883" spans="3:3" x14ac:dyDescent="0.25">
      <c r="C10883" s="26">
        <v>10881</v>
      </c>
    </row>
    <row r="10884" spans="3:3" x14ac:dyDescent="0.25">
      <c r="C10884" s="26">
        <v>10882</v>
      </c>
    </row>
    <row r="10885" spans="3:3" x14ac:dyDescent="0.25">
      <c r="C10885" s="26">
        <v>10883</v>
      </c>
    </row>
    <row r="10886" spans="3:3" x14ac:dyDescent="0.25">
      <c r="C10886" s="26">
        <v>10884</v>
      </c>
    </row>
    <row r="10887" spans="3:3" x14ac:dyDescent="0.25">
      <c r="C10887" s="26">
        <v>10885</v>
      </c>
    </row>
    <row r="10888" spans="3:3" x14ac:dyDescent="0.25">
      <c r="C10888" s="26">
        <v>10886</v>
      </c>
    </row>
    <row r="10889" spans="3:3" x14ac:dyDescent="0.25">
      <c r="C10889" s="26">
        <v>10887</v>
      </c>
    </row>
    <row r="10890" spans="3:3" x14ac:dyDescent="0.25">
      <c r="C10890" s="26">
        <v>10888</v>
      </c>
    </row>
    <row r="10891" spans="3:3" x14ac:dyDescent="0.25">
      <c r="C10891" s="26">
        <v>10889</v>
      </c>
    </row>
    <row r="10892" spans="3:3" x14ac:dyDescent="0.25">
      <c r="C10892" s="26">
        <v>10890</v>
      </c>
    </row>
    <row r="10893" spans="3:3" x14ac:dyDescent="0.25">
      <c r="C10893" s="26">
        <v>10891</v>
      </c>
    </row>
    <row r="10894" spans="3:3" x14ac:dyDescent="0.25">
      <c r="C10894" s="26">
        <v>10892</v>
      </c>
    </row>
    <row r="10895" spans="3:3" x14ac:dyDescent="0.25">
      <c r="C10895" s="26">
        <v>10893</v>
      </c>
    </row>
    <row r="10896" spans="3:3" x14ac:dyDescent="0.25">
      <c r="C10896" s="26">
        <v>10894</v>
      </c>
    </row>
    <row r="10897" spans="3:3" x14ac:dyDescent="0.25">
      <c r="C10897" s="26">
        <v>10895</v>
      </c>
    </row>
    <row r="10898" spans="3:3" x14ac:dyDescent="0.25">
      <c r="C10898" s="26">
        <v>10896</v>
      </c>
    </row>
    <row r="10899" spans="3:3" x14ac:dyDescent="0.25">
      <c r="C10899" s="26">
        <v>10897</v>
      </c>
    </row>
    <row r="10900" spans="3:3" x14ac:dyDescent="0.25">
      <c r="C10900" s="26">
        <v>10898</v>
      </c>
    </row>
    <row r="10901" spans="3:3" x14ac:dyDescent="0.25">
      <c r="C10901" s="26">
        <v>10899</v>
      </c>
    </row>
    <row r="10902" spans="3:3" x14ac:dyDescent="0.25">
      <c r="C10902" s="26">
        <v>10900</v>
      </c>
    </row>
    <row r="10903" spans="3:3" x14ac:dyDescent="0.25">
      <c r="C10903" s="26">
        <v>10901</v>
      </c>
    </row>
    <row r="10904" spans="3:3" x14ac:dyDescent="0.25">
      <c r="C10904" s="26">
        <v>10902</v>
      </c>
    </row>
    <row r="10905" spans="3:3" x14ac:dyDescent="0.25">
      <c r="C10905" s="26">
        <v>10903</v>
      </c>
    </row>
    <row r="10906" spans="3:3" x14ac:dyDescent="0.25">
      <c r="C10906" s="26">
        <v>10904</v>
      </c>
    </row>
    <row r="10907" spans="3:3" x14ac:dyDescent="0.25">
      <c r="C10907" s="26">
        <v>10905</v>
      </c>
    </row>
    <row r="10908" spans="3:3" x14ac:dyDescent="0.25">
      <c r="C10908" s="26">
        <v>10906</v>
      </c>
    </row>
    <row r="10909" spans="3:3" x14ac:dyDescent="0.25">
      <c r="C10909" s="26">
        <v>10907</v>
      </c>
    </row>
    <row r="10910" spans="3:3" x14ac:dyDescent="0.25">
      <c r="C10910" s="26">
        <v>10908</v>
      </c>
    </row>
    <row r="10911" spans="3:3" x14ac:dyDescent="0.25">
      <c r="C10911" s="26">
        <v>10909</v>
      </c>
    </row>
    <row r="10912" spans="3:3" x14ac:dyDescent="0.25">
      <c r="C10912" s="26">
        <v>10910</v>
      </c>
    </row>
    <row r="10913" spans="3:3" x14ac:dyDescent="0.25">
      <c r="C10913" s="26">
        <v>10911</v>
      </c>
    </row>
    <row r="10914" spans="3:3" x14ac:dyDescent="0.25">
      <c r="C10914" s="26">
        <v>10912</v>
      </c>
    </row>
    <row r="10915" spans="3:3" x14ac:dyDescent="0.25">
      <c r="C10915" s="26">
        <v>10913</v>
      </c>
    </row>
    <row r="10916" spans="3:3" x14ac:dyDescent="0.25">
      <c r="C10916" s="26">
        <v>10914</v>
      </c>
    </row>
    <row r="10917" spans="3:3" x14ac:dyDescent="0.25">
      <c r="C10917" s="26">
        <v>10915</v>
      </c>
    </row>
    <row r="10918" spans="3:3" x14ac:dyDescent="0.25">
      <c r="C10918" s="26">
        <v>10916</v>
      </c>
    </row>
    <row r="10919" spans="3:3" x14ac:dyDescent="0.25">
      <c r="C10919" s="26">
        <v>10917</v>
      </c>
    </row>
    <row r="10920" spans="3:3" x14ac:dyDescent="0.25">
      <c r="C10920" s="26">
        <v>10918</v>
      </c>
    </row>
    <row r="10921" spans="3:3" x14ac:dyDescent="0.25">
      <c r="C10921" s="26">
        <v>10919</v>
      </c>
    </row>
    <row r="10922" spans="3:3" x14ac:dyDescent="0.25">
      <c r="C10922" s="26">
        <v>10920</v>
      </c>
    </row>
    <row r="10923" spans="3:3" x14ac:dyDescent="0.25">
      <c r="C10923" s="26">
        <v>10921</v>
      </c>
    </row>
    <row r="10924" spans="3:3" x14ac:dyDescent="0.25">
      <c r="C10924" s="26">
        <v>10922</v>
      </c>
    </row>
    <row r="10925" spans="3:3" x14ac:dyDescent="0.25">
      <c r="C10925" s="26">
        <v>10923</v>
      </c>
    </row>
    <row r="10926" spans="3:3" x14ac:dyDescent="0.25">
      <c r="C10926" s="26">
        <v>10924</v>
      </c>
    </row>
    <row r="10927" spans="3:3" x14ac:dyDescent="0.25">
      <c r="C10927" s="26">
        <v>10925</v>
      </c>
    </row>
    <row r="10928" spans="3:3" x14ac:dyDescent="0.25">
      <c r="C10928" s="26">
        <v>10926</v>
      </c>
    </row>
    <row r="10929" spans="3:3" x14ac:dyDescent="0.25">
      <c r="C10929" s="26">
        <v>10927</v>
      </c>
    </row>
    <row r="10930" spans="3:3" x14ac:dyDescent="0.25">
      <c r="C10930" s="26">
        <v>10928</v>
      </c>
    </row>
    <row r="10931" spans="3:3" x14ac:dyDescent="0.25">
      <c r="C10931" s="26">
        <v>10929</v>
      </c>
    </row>
    <row r="10932" spans="3:3" x14ac:dyDescent="0.25">
      <c r="C10932" s="26">
        <v>10930</v>
      </c>
    </row>
    <row r="10933" spans="3:3" x14ac:dyDescent="0.25">
      <c r="C10933" s="26">
        <v>10931</v>
      </c>
    </row>
    <row r="10934" spans="3:3" x14ac:dyDescent="0.25">
      <c r="C10934" s="26">
        <v>10932</v>
      </c>
    </row>
    <row r="10935" spans="3:3" x14ac:dyDescent="0.25">
      <c r="C10935" s="26">
        <v>10933</v>
      </c>
    </row>
    <row r="10936" spans="3:3" x14ac:dyDescent="0.25">
      <c r="C10936" s="26">
        <v>10934</v>
      </c>
    </row>
    <row r="10937" spans="3:3" x14ac:dyDescent="0.25">
      <c r="C10937" s="26">
        <v>10935</v>
      </c>
    </row>
    <row r="10938" spans="3:3" x14ac:dyDescent="0.25">
      <c r="C10938" s="26">
        <v>10936</v>
      </c>
    </row>
    <row r="10939" spans="3:3" x14ac:dyDescent="0.25">
      <c r="C10939" s="26">
        <v>10937</v>
      </c>
    </row>
    <row r="10940" spans="3:3" x14ac:dyDescent="0.25">
      <c r="C10940" s="26">
        <v>10938</v>
      </c>
    </row>
    <row r="10941" spans="3:3" x14ac:dyDescent="0.25">
      <c r="C10941" s="26">
        <v>10939</v>
      </c>
    </row>
    <row r="10942" spans="3:3" x14ac:dyDescent="0.25">
      <c r="C10942" s="26">
        <v>10940</v>
      </c>
    </row>
    <row r="10943" spans="3:3" x14ac:dyDescent="0.25">
      <c r="C10943" s="26">
        <v>10941</v>
      </c>
    </row>
    <row r="10944" spans="3:3" x14ac:dyDescent="0.25">
      <c r="C10944" s="26">
        <v>10942</v>
      </c>
    </row>
    <row r="10945" spans="3:3" x14ac:dyDescent="0.25">
      <c r="C10945" s="26">
        <v>10943</v>
      </c>
    </row>
    <row r="10946" spans="3:3" x14ac:dyDescent="0.25">
      <c r="C10946" s="26">
        <v>10944</v>
      </c>
    </row>
    <row r="10947" spans="3:3" x14ac:dyDescent="0.25">
      <c r="C10947" s="26">
        <v>10945</v>
      </c>
    </row>
    <row r="10948" spans="3:3" x14ac:dyDescent="0.25">
      <c r="C10948" s="26">
        <v>10946</v>
      </c>
    </row>
    <row r="10949" spans="3:3" x14ac:dyDescent="0.25">
      <c r="C10949" s="26">
        <v>10947</v>
      </c>
    </row>
    <row r="10950" spans="3:3" x14ac:dyDescent="0.25">
      <c r="C10950" s="26">
        <v>10948</v>
      </c>
    </row>
    <row r="10951" spans="3:3" x14ac:dyDescent="0.25">
      <c r="C10951" s="26">
        <v>10949</v>
      </c>
    </row>
    <row r="10952" spans="3:3" x14ac:dyDescent="0.25">
      <c r="C10952" s="26">
        <v>10950</v>
      </c>
    </row>
    <row r="10953" spans="3:3" x14ac:dyDescent="0.25">
      <c r="C10953" s="26">
        <v>10951</v>
      </c>
    </row>
    <row r="10954" spans="3:3" x14ac:dyDescent="0.25">
      <c r="C10954" s="26">
        <v>10952</v>
      </c>
    </row>
    <row r="10955" spans="3:3" x14ac:dyDescent="0.25">
      <c r="C10955" s="26">
        <v>10953</v>
      </c>
    </row>
    <row r="10956" spans="3:3" x14ac:dyDescent="0.25">
      <c r="C10956" s="26">
        <v>10954</v>
      </c>
    </row>
    <row r="10957" spans="3:3" x14ac:dyDescent="0.25">
      <c r="C10957" s="26">
        <v>10955</v>
      </c>
    </row>
    <row r="10958" spans="3:3" x14ac:dyDescent="0.25">
      <c r="C10958" s="26">
        <v>10956</v>
      </c>
    </row>
    <row r="10959" spans="3:3" x14ac:dyDescent="0.25">
      <c r="C10959" s="26">
        <v>10957</v>
      </c>
    </row>
    <row r="10960" spans="3:3" x14ac:dyDescent="0.25">
      <c r="C10960" s="26">
        <v>10958</v>
      </c>
    </row>
    <row r="10961" spans="3:3" x14ac:dyDescent="0.25">
      <c r="C10961" s="26">
        <v>10959</v>
      </c>
    </row>
    <row r="10962" spans="3:3" x14ac:dyDescent="0.25">
      <c r="C10962" s="26">
        <v>10960</v>
      </c>
    </row>
    <row r="10963" spans="3:3" x14ac:dyDescent="0.25">
      <c r="C10963" s="26">
        <v>10961</v>
      </c>
    </row>
    <row r="10964" spans="3:3" x14ac:dyDescent="0.25">
      <c r="C10964" s="26">
        <v>10962</v>
      </c>
    </row>
    <row r="10965" spans="3:3" x14ac:dyDescent="0.25">
      <c r="C10965" s="26">
        <v>10963</v>
      </c>
    </row>
    <row r="10966" spans="3:3" x14ac:dyDescent="0.25">
      <c r="C10966" s="26">
        <v>10964</v>
      </c>
    </row>
    <row r="10967" spans="3:3" x14ac:dyDescent="0.25">
      <c r="C10967" s="26">
        <v>10965</v>
      </c>
    </row>
    <row r="10968" spans="3:3" x14ac:dyDescent="0.25">
      <c r="C10968" s="26">
        <v>10966</v>
      </c>
    </row>
    <row r="10969" spans="3:3" x14ac:dyDescent="0.25">
      <c r="C10969" s="26">
        <v>10967</v>
      </c>
    </row>
    <row r="10970" spans="3:3" x14ac:dyDescent="0.25">
      <c r="C10970" s="26">
        <v>10968</v>
      </c>
    </row>
    <row r="10971" spans="3:3" x14ac:dyDescent="0.25">
      <c r="C10971" s="26">
        <v>10969</v>
      </c>
    </row>
    <row r="10972" spans="3:3" x14ac:dyDescent="0.25">
      <c r="C10972" s="26">
        <v>10970</v>
      </c>
    </row>
    <row r="10973" spans="3:3" x14ac:dyDescent="0.25">
      <c r="C10973" s="26">
        <v>10971</v>
      </c>
    </row>
    <row r="10974" spans="3:3" x14ac:dyDescent="0.25">
      <c r="C10974" s="26">
        <v>10972</v>
      </c>
    </row>
    <row r="10975" spans="3:3" x14ac:dyDescent="0.25">
      <c r="C10975" s="26">
        <v>10973</v>
      </c>
    </row>
    <row r="10976" spans="3:3" x14ac:dyDescent="0.25">
      <c r="C10976" s="26">
        <v>10974</v>
      </c>
    </row>
    <row r="10977" spans="3:3" x14ac:dyDescent="0.25">
      <c r="C10977" s="26">
        <v>10975</v>
      </c>
    </row>
    <row r="10978" spans="3:3" x14ac:dyDescent="0.25">
      <c r="C10978" s="26">
        <v>10976</v>
      </c>
    </row>
    <row r="10979" spans="3:3" x14ac:dyDescent="0.25">
      <c r="C10979" s="26">
        <v>10977</v>
      </c>
    </row>
    <row r="10980" spans="3:3" x14ac:dyDescent="0.25">
      <c r="C10980" s="26">
        <v>10978</v>
      </c>
    </row>
    <row r="10981" spans="3:3" x14ac:dyDescent="0.25">
      <c r="C10981" s="26">
        <v>10979</v>
      </c>
    </row>
    <row r="10982" spans="3:3" x14ac:dyDescent="0.25">
      <c r="C10982" s="26">
        <v>10980</v>
      </c>
    </row>
    <row r="10983" spans="3:3" x14ac:dyDescent="0.25">
      <c r="C10983" s="26">
        <v>10981</v>
      </c>
    </row>
    <row r="10984" spans="3:3" x14ac:dyDescent="0.25">
      <c r="C10984" s="26">
        <v>10982</v>
      </c>
    </row>
    <row r="10985" spans="3:3" x14ac:dyDescent="0.25">
      <c r="C10985" s="26">
        <v>10983</v>
      </c>
    </row>
    <row r="10986" spans="3:3" x14ac:dyDescent="0.25">
      <c r="C10986" s="26">
        <v>10984</v>
      </c>
    </row>
    <row r="10987" spans="3:3" x14ac:dyDescent="0.25">
      <c r="C10987" s="26">
        <v>10985</v>
      </c>
    </row>
    <row r="10988" spans="3:3" x14ac:dyDescent="0.25">
      <c r="C10988" s="26">
        <v>10986</v>
      </c>
    </row>
    <row r="10989" spans="3:3" x14ac:dyDescent="0.25">
      <c r="C10989" s="26">
        <v>10987</v>
      </c>
    </row>
    <row r="10990" spans="3:3" x14ac:dyDescent="0.25">
      <c r="C10990" s="26">
        <v>10988</v>
      </c>
    </row>
    <row r="10991" spans="3:3" x14ac:dyDescent="0.25">
      <c r="C10991" s="26">
        <v>10989</v>
      </c>
    </row>
    <row r="10992" spans="3:3" x14ac:dyDescent="0.25">
      <c r="C10992" s="26">
        <v>10990</v>
      </c>
    </row>
    <row r="10993" spans="3:3" x14ac:dyDescent="0.25">
      <c r="C10993" s="26">
        <v>10991</v>
      </c>
    </row>
    <row r="10994" spans="3:3" x14ac:dyDescent="0.25">
      <c r="C10994" s="26">
        <v>10992</v>
      </c>
    </row>
    <row r="10995" spans="3:3" x14ac:dyDescent="0.25">
      <c r="C10995" s="26">
        <v>10993</v>
      </c>
    </row>
    <row r="10996" spans="3:3" x14ac:dyDescent="0.25">
      <c r="C10996" s="26">
        <v>10994</v>
      </c>
    </row>
    <row r="10997" spans="3:3" x14ac:dyDescent="0.25">
      <c r="C10997" s="26">
        <v>10995</v>
      </c>
    </row>
    <row r="10998" spans="3:3" x14ac:dyDescent="0.25">
      <c r="C10998" s="26">
        <v>10996</v>
      </c>
    </row>
    <row r="10999" spans="3:3" x14ac:dyDescent="0.25">
      <c r="C10999" s="26">
        <v>10997</v>
      </c>
    </row>
    <row r="11000" spans="3:3" x14ac:dyDescent="0.25">
      <c r="C11000" s="26">
        <v>10998</v>
      </c>
    </row>
    <row r="11001" spans="3:3" x14ac:dyDescent="0.25">
      <c r="C11001" s="26">
        <v>10999</v>
      </c>
    </row>
    <row r="11002" spans="3:3" x14ac:dyDescent="0.25">
      <c r="C11002" s="26">
        <v>11000</v>
      </c>
    </row>
    <row r="11003" spans="3:3" x14ac:dyDescent="0.25">
      <c r="C11003" s="26">
        <v>11001</v>
      </c>
    </row>
    <row r="11004" spans="3:3" x14ac:dyDescent="0.25">
      <c r="C11004" s="26">
        <v>11002</v>
      </c>
    </row>
    <row r="11005" spans="3:3" x14ac:dyDescent="0.25">
      <c r="C11005" s="26">
        <v>11003</v>
      </c>
    </row>
    <row r="11006" spans="3:3" x14ac:dyDescent="0.25">
      <c r="C11006" s="26">
        <v>11004</v>
      </c>
    </row>
    <row r="11007" spans="3:3" x14ac:dyDescent="0.25">
      <c r="C11007" s="26">
        <v>11005</v>
      </c>
    </row>
    <row r="11008" spans="3:3" x14ac:dyDescent="0.25">
      <c r="C11008" s="26">
        <v>11006</v>
      </c>
    </row>
    <row r="11009" spans="3:3" x14ac:dyDescent="0.25">
      <c r="C11009" s="26">
        <v>11007</v>
      </c>
    </row>
    <row r="11010" spans="3:3" x14ac:dyDescent="0.25">
      <c r="C11010" s="26">
        <v>11008</v>
      </c>
    </row>
    <row r="11011" spans="3:3" x14ac:dyDescent="0.25">
      <c r="C11011" s="26">
        <v>11009</v>
      </c>
    </row>
    <row r="11012" spans="3:3" x14ac:dyDescent="0.25">
      <c r="C11012" s="26">
        <v>11010</v>
      </c>
    </row>
    <row r="11013" spans="3:3" x14ac:dyDescent="0.25">
      <c r="C11013" s="26">
        <v>11011</v>
      </c>
    </row>
    <row r="11014" spans="3:3" x14ac:dyDescent="0.25">
      <c r="C11014" s="26">
        <v>11012</v>
      </c>
    </row>
    <row r="11015" spans="3:3" x14ac:dyDescent="0.25">
      <c r="C11015" s="26">
        <v>11013</v>
      </c>
    </row>
    <row r="11016" spans="3:3" x14ac:dyDescent="0.25">
      <c r="C11016" s="26">
        <v>11014</v>
      </c>
    </row>
    <row r="11017" spans="3:3" x14ac:dyDescent="0.25">
      <c r="C11017" s="26">
        <v>11015</v>
      </c>
    </row>
    <row r="11018" spans="3:3" x14ac:dyDescent="0.25">
      <c r="C11018" s="26">
        <v>11016</v>
      </c>
    </row>
    <row r="11019" spans="3:3" x14ac:dyDescent="0.25">
      <c r="C11019" s="26">
        <v>11017</v>
      </c>
    </row>
    <row r="11020" spans="3:3" x14ac:dyDescent="0.25">
      <c r="C11020" s="26">
        <v>11018</v>
      </c>
    </row>
    <row r="11021" spans="3:3" x14ac:dyDescent="0.25">
      <c r="C11021" s="26">
        <v>11019</v>
      </c>
    </row>
    <row r="11022" spans="3:3" x14ac:dyDescent="0.25">
      <c r="C11022" s="26">
        <v>11020</v>
      </c>
    </row>
    <row r="11023" spans="3:3" x14ac:dyDescent="0.25">
      <c r="C11023" s="26">
        <v>11021</v>
      </c>
    </row>
    <row r="11024" spans="3:3" x14ac:dyDescent="0.25">
      <c r="C11024" s="26">
        <v>11022</v>
      </c>
    </row>
    <row r="11025" spans="3:3" x14ac:dyDescent="0.25">
      <c r="C11025" s="26">
        <v>11023</v>
      </c>
    </row>
    <row r="11026" spans="3:3" x14ac:dyDescent="0.25">
      <c r="C11026" s="26">
        <v>11024</v>
      </c>
    </row>
    <row r="11027" spans="3:3" x14ac:dyDescent="0.25">
      <c r="C11027" s="26">
        <v>11025</v>
      </c>
    </row>
    <row r="11028" spans="3:3" x14ac:dyDescent="0.25">
      <c r="C11028" s="26">
        <v>11026</v>
      </c>
    </row>
    <row r="11029" spans="3:3" x14ac:dyDescent="0.25">
      <c r="C11029" s="26">
        <v>11027</v>
      </c>
    </row>
    <row r="11030" spans="3:3" x14ac:dyDescent="0.25">
      <c r="C11030" s="26">
        <v>11028</v>
      </c>
    </row>
    <row r="11031" spans="3:3" x14ac:dyDescent="0.25">
      <c r="C11031" s="26">
        <v>11029</v>
      </c>
    </row>
    <row r="11032" spans="3:3" x14ac:dyDescent="0.25">
      <c r="C11032" s="26">
        <v>11030</v>
      </c>
    </row>
    <row r="11033" spans="3:3" x14ac:dyDescent="0.25">
      <c r="C11033" s="26">
        <v>11031</v>
      </c>
    </row>
    <row r="11034" spans="3:3" x14ac:dyDescent="0.25">
      <c r="C11034" s="26">
        <v>11032</v>
      </c>
    </row>
    <row r="11035" spans="3:3" x14ac:dyDescent="0.25">
      <c r="C11035" s="26">
        <v>11033</v>
      </c>
    </row>
    <row r="11036" spans="3:3" x14ac:dyDescent="0.25">
      <c r="C11036" s="26">
        <v>11034</v>
      </c>
    </row>
    <row r="11037" spans="3:3" x14ac:dyDescent="0.25">
      <c r="C11037" s="26">
        <v>11035</v>
      </c>
    </row>
    <row r="11038" spans="3:3" x14ac:dyDescent="0.25">
      <c r="C11038" s="26">
        <v>11036</v>
      </c>
    </row>
    <row r="11039" spans="3:3" x14ac:dyDescent="0.25">
      <c r="C11039" s="26">
        <v>11037</v>
      </c>
    </row>
    <row r="11040" spans="3:3" x14ac:dyDescent="0.25">
      <c r="C11040" s="26">
        <v>11038</v>
      </c>
    </row>
    <row r="11041" spans="3:3" x14ac:dyDescent="0.25">
      <c r="C11041" s="26">
        <v>11039</v>
      </c>
    </row>
    <row r="11042" spans="3:3" x14ac:dyDescent="0.25">
      <c r="C11042" s="26">
        <v>11040</v>
      </c>
    </row>
    <row r="11043" spans="3:3" x14ac:dyDescent="0.25">
      <c r="C11043" s="26">
        <v>11041</v>
      </c>
    </row>
    <row r="11044" spans="3:3" x14ac:dyDescent="0.25">
      <c r="C11044" s="26">
        <v>11042</v>
      </c>
    </row>
    <row r="11045" spans="3:3" x14ac:dyDescent="0.25">
      <c r="C11045" s="26">
        <v>11043</v>
      </c>
    </row>
    <row r="11046" spans="3:3" x14ac:dyDescent="0.25">
      <c r="C11046" s="26">
        <v>11044</v>
      </c>
    </row>
    <row r="11047" spans="3:3" x14ac:dyDescent="0.25">
      <c r="C11047" s="26">
        <v>11045</v>
      </c>
    </row>
    <row r="11048" spans="3:3" x14ac:dyDescent="0.25">
      <c r="C11048" s="26">
        <v>11046</v>
      </c>
    </row>
    <row r="11049" spans="3:3" x14ac:dyDescent="0.25">
      <c r="C11049" s="26">
        <v>11047</v>
      </c>
    </row>
    <row r="11050" spans="3:3" x14ac:dyDescent="0.25">
      <c r="C11050" s="26">
        <v>11048</v>
      </c>
    </row>
    <row r="11051" spans="3:3" x14ac:dyDescent="0.25">
      <c r="C11051" s="26">
        <v>11049</v>
      </c>
    </row>
    <row r="11052" spans="3:3" x14ac:dyDescent="0.25">
      <c r="C11052" s="26">
        <v>11050</v>
      </c>
    </row>
    <row r="11053" spans="3:3" x14ac:dyDescent="0.25">
      <c r="C11053" s="26">
        <v>11051</v>
      </c>
    </row>
    <row r="11054" spans="3:3" x14ac:dyDescent="0.25">
      <c r="C11054" s="26">
        <v>11052</v>
      </c>
    </row>
    <row r="11055" spans="3:3" x14ac:dyDescent="0.25">
      <c r="C11055" s="26">
        <v>11053</v>
      </c>
    </row>
    <row r="11056" spans="3:3" x14ac:dyDescent="0.25">
      <c r="C11056" s="26">
        <v>11054</v>
      </c>
    </row>
    <row r="11057" spans="3:3" x14ac:dyDescent="0.25">
      <c r="C11057" s="26">
        <v>11055</v>
      </c>
    </row>
    <row r="11058" spans="3:3" x14ac:dyDescent="0.25">
      <c r="C11058" s="26">
        <v>11056</v>
      </c>
    </row>
    <row r="11059" spans="3:3" x14ac:dyDescent="0.25">
      <c r="C11059" s="26">
        <v>11057</v>
      </c>
    </row>
    <row r="11060" spans="3:3" x14ac:dyDescent="0.25">
      <c r="C11060" s="26">
        <v>11058</v>
      </c>
    </row>
    <row r="11061" spans="3:3" x14ac:dyDescent="0.25">
      <c r="C11061" s="26">
        <v>11059</v>
      </c>
    </row>
    <row r="11062" spans="3:3" x14ac:dyDescent="0.25">
      <c r="C11062" s="26">
        <v>11060</v>
      </c>
    </row>
    <row r="11063" spans="3:3" x14ac:dyDescent="0.25">
      <c r="C11063" s="26">
        <v>11061</v>
      </c>
    </row>
    <row r="11064" spans="3:3" x14ac:dyDescent="0.25">
      <c r="C11064" s="26">
        <v>11062</v>
      </c>
    </row>
    <row r="11065" spans="3:3" x14ac:dyDescent="0.25">
      <c r="C11065" s="26">
        <v>11063</v>
      </c>
    </row>
    <row r="11066" spans="3:3" x14ac:dyDescent="0.25">
      <c r="C11066" s="26">
        <v>11064</v>
      </c>
    </row>
    <row r="11067" spans="3:3" x14ac:dyDescent="0.25">
      <c r="C11067" s="26">
        <v>11065</v>
      </c>
    </row>
    <row r="11068" spans="3:3" x14ac:dyDescent="0.25">
      <c r="C11068" s="26">
        <v>11066</v>
      </c>
    </row>
    <row r="11069" spans="3:3" x14ac:dyDescent="0.25">
      <c r="C11069" s="26">
        <v>11067</v>
      </c>
    </row>
    <row r="11070" spans="3:3" x14ac:dyDescent="0.25">
      <c r="C11070" s="26">
        <v>11068</v>
      </c>
    </row>
    <row r="11071" spans="3:3" x14ac:dyDescent="0.25">
      <c r="C11071" s="26">
        <v>11069</v>
      </c>
    </row>
    <row r="11072" spans="3:3" x14ac:dyDescent="0.25">
      <c r="C11072" s="26">
        <v>11070</v>
      </c>
    </row>
    <row r="11073" spans="3:3" x14ac:dyDescent="0.25">
      <c r="C11073" s="26">
        <v>11071</v>
      </c>
    </row>
    <row r="11074" spans="3:3" x14ac:dyDescent="0.25">
      <c r="C11074" s="26">
        <v>11072</v>
      </c>
    </row>
    <row r="11075" spans="3:3" x14ac:dyDescent="0.25">
      <c r="C11075" s="26">
        <v>11073</v>
      </c>
    </row>
    <row r="11076" spans="3:3" x14ac:dyDescent="0.25">
      <c r="C11076" s="26">
        <v>11074</v>
      </c>
    </row>
    <row r="11077" spans="3:3" x14ac:dyDescent="0.25">
      <c r="C11077" s="26">
        <v>11075</v>
      </c>
    </row>
    <row r="11078" spans="3:3" x14ac:dyDescent="0.25">
      <c r="C11078" s="26">
        <v>11076</v>
      </c>
    </row>
    <row r="11079" spans="3:3" x14ac:dyDescent="0.25">
      <c r="C11079" s="26">
        <v>11077</v>
      </c>
    </row>
    <row r="11080" spans="3:3" x14ac:dyDescent="0.25">
      <c r="C11080" s="26">
        <v>11078</v>
      </c>
    </row>
    <row r="11081" spans="3:3" x14ac:dyDescent="0.25">
      <c r="C11081" s="26">
        <v>11079</v>
      </c>
    </row>
    <row r="11082" spans="3:3" x14ac:dyDescent="0.25">
      <c r="C11082" s="26">
        <v>11080</v>
      </c>
    </row>
    <row r="11083" spans="3:3" x14ac:dyDescent="0.25">
      <c r="C11083" s="26">
        <v>11081</v>
      </c>
    </row>
    <row r="11084" spans="3:3" x14ac:dyDescent="0.25">
      <c r="C11084" s="26">
        <v>11082</v>
      </c>
    </row>
    <row r="11085" spans="3:3" x14ac:dyDescent="0.25">
      <c r="C11085" s="26">
        <v>11083</v>
      </c>
    </row>
    <row r="11086" spans="3:3" x14ac:dyDescent="0.25">
      <c r="C11086" s="26">
        <v>11084</v>
      </c>
    </row>
    <row r="11087" spans="3:3" x14ac:dyDescent="0.25">
      <c r="C11087" s="26">
        <v>11085</v>
      </c>
    </row>
    <row r="11088" spans="3:3" x14ac:dyDescent="0.25">
      <c r="C11088" s="26">
        <v>11086</v>
      </c>
    </row>
    <row r="11089" spans="3:3" x14ac:dyDescent="0.25">
      <c r="C11089" s="26">
        <v>11087</v>
      </c>
    </row>
    <row r="11090" spans="3:3" x14ac:dyDescent="0.25">
      <c r="C11090" s="26">
        <v>11088</v>
      </c>
    </row>
    <row r="11091" spans="3:3" x14ac:dyDescent="0.25">
      <c r="C11091" s="26">
        <v>11089</v>
      </c>
    </row>
    <row r="11092" spans="3:3" x14ac:dyDescent="0.25">
      <c r="C11092" s="26">
        <v>11090</v>
      </c>
    </row>
    <row r="11093" spans="3:3" x14ac:dyDescent="0.25">
      <c r="C11093" s="26">
        <v>11091</v>
      </c>
    </row>
    <row r="11094" spans="3:3" x14ac:dyDescent="0.25">
      <c r="C11094" s="26">
        <v>11092</v>
      </c>
    </row>
    <row r="11095" spans="3:3" x14ac:dyDescent="0.25">
      <c r="C11095" s="26">
        <v>11093</v>
      </c>
    </row>
    <row r="11096" spans="3:3" x14ac:dyDescent="0.25">
      <c r="C11096" s="26">
        <v>11094</v>
      </c>
    </row>
    <row r="11097" spans="3:3" x14ac:dyDescent="0.25">
      <c r="C11097" s="26">
        <v>11095</v>
      </c>
    </row>
    <row r="11098" spans="3:3" x14ac:dyDescent="0.25">
      <c r="C11098" s="26">
        <v>11096</v>
      </c>
    </row>
    <row r="11099" spans="3:3" x14ac:dyDescent="0.25">
      <c r="C11099" s="26">
        <v>11097</v>
      </c>
    </row>
    <row r="11100" spans="3:3" x14ac:dyDescent="0.25">
      <c r="C11100" s="26">
        <v>11098</v>
      </c>
    </row>
    <row r="11101" spans="3:3" x14ac:dyDescent="0.25">
      <c r="C11101" s="26">
        <v>11099</v>
      </c>
    </row>
    <row r="11102" spans="3:3" x14ac:dyDescent="0.25">
      <c r="C11102" s="26">
        <v>11100</v>
      </c>
    </row>
    <row r="11103" spans="3:3" x14ac:dyDescent="0.25">
      <c r="C11103" s="26">
        <v>11101</v>
      </c>
    </row>
    <row r="11104" spans="3:3" x14ac:dyDescent="0.25">
      <c r="C11104" s="26">
        <v>11102</v>
      </c>
    </row>
    <row r="11105" spans="3:3" x14ac:dyDescent="0.25">
      <c r="C11105" s="26">
        <v>11103</v>
      </c>
    </row>
    <row r="11106" spans="3:3" x14ac:dyDescent="0.25">
      <c r="C11106" s="26">
        <v>11104</v>
      </c>
    </row>
    <row r="11107" spans="3:3" x14ac:dyDescent="0.25">
      <c r="C11107" s="26">
        <v>11105</v>
      </c>
    </row>
    <row r="11108" spans="3:3" x14ac:dyDescent="0.25">
      <c r="C11108" s="26">
        <v>11106</v>
      </c>
    </row>
    <row r="11109" spans="3:3" x14ac:dyDescent="0.25">
      <c r="C11109" s="26">
        <v>11107</v>
      </c>
    </row>
    <row r="11110" spans="3:3" x14ac:dyDescent="0.25">
      <c r="C11110" s="26">
        <v>11108</v>
      </c>
    </row>
    <row r="11111" spans="3:3" x14ac:dyDescent="0.25">
      <c r="C11111" s="26">
        <v>11109</v>
      </c>
    </row>
    <row r="11112" spans="3:3" x14ac:dyDescent="0.25">
      <c r="C11112" s="26">
        <v>11110</v>
      </c>
    </row>
    <row r="11113" spans="3:3" x14ac:dyDescent="0.25">
      <c r="C11113" s="26">
        <v>11111</v>
      </c>
    </row>
    <row r="11114" spans="3:3" x14ac:dyDescent="0.25">
      <c r="C11114" s="26">
        <v>11112</v>
      </c>
    </row>
    <row r="11115" spans="3:3" x14ac:dyDescent="0.25">
      <c r="C11115" s="26">
        <v>11113</v>
      </c>
    </row>
    <row r="11116" spans="3:3" x14ac:dyDescent="0.25">
      <c r="C11116" s="26">
        <v>11114</v>
      </c>
    </row>
    <row r="11117" spans="3:3" x14ac:dyDescent="0.25">
      <c r="C11117" s="26">
        <v>11115</v>
      </c>
    </row>
    <row r="11118" spans="3:3" x14ac:dyDescent="0.25">
      <c r="C11118" s="26">
        <v>11116</v>
      </c>
    </row>
    <row r="11119" spans="3:3" x14ac:dyDescent="0.25">
      <c r="C11119" s="26">
        <v>11117</v>
      </c>
    </row>
    <row r="11120" spans="3:3" x14ac:dyDescent="0.25">
      <c r="C11120" s="26">
        <v>11118</v>
      </c>
    </row>
    <row r="11121" spans="3:3" x14ac:dyDescent="0.25">
      <c r="C11121" s="26">
        <v>11119</v>
      </c>
    </row>
    <row r="11122" spans="3:3" x14ac:dyDescent="0.25">
      <c r="C11122" s="26">
        <v>11120</v>
      </c>
    </row>
    <row r="11123" spans="3:3" x14ac:dyDescent="0.25">
      <c r="C11123" s="26">
        <v>11121</v>
      </c>
    </row>
    <row r="11124" spans="3:3" x14ac:dyDescent="0.25">
      <c r="C11124" s="26">
        <v>11122</v>
      </c>
    </row>
    <row r="11125" spans="3:3" x14ac:dyDescent="0.25">
      <c r="C11125" s="26">
        <v>11123</v>
      </c>
    </row>
    <row r="11126" spans="3:3" x14ac:dyDescent="0.25">
      <c r="C11126" s="26">
        <v>11124</v>
      </c>
    </row>
    <row r="11127" spans="3:3" x14ac:dyDescent="0.25">
      <c r="C11127" s="26">
        <v>11125</v>
      </c>
    </row>
    <row r="11128" spans="3:3" x14ac:dyDescent="0.25">
      <c r="C11128" s="26">
        <v>11126</v>
      </c>
    </row>
    <row r="11129" spans="3:3" x14ac:dyDescent="0.25">
      <c r="C11129" s="26">
        <v>11127</v>
      </c>
    </row>
    <row r="11130" spans="3:3" x14ac:dyDescent="0.25">
      <c r="C11130" s="26">
        <v>11128</v>
      </c>
    </row>
    <row r="11131" spans="3:3" x14ac:dyDescent="0.25">
      <c r="C11131" s="26">
        <v>11129</v>
      </c>
    </row>
    <row r="11132" spans="3:3" x14ac:dyDescent="0.25">
      <c r="C11132" s="26">
        <v>11130</v>
      </c>
    </row>
    <row r="11133" spans="3:3" x14ac:dyDescent="0.25">
      <c r="C11133" s="26">
        <v>11131</v>
      </c>
    </row>
    <row r="11134" spans="3:3" x14ac:dyDescent="0.25">
      <c r="C11134" s="26">
        <v>11132</v>
      </c>
    </row>
    <row r="11135" spans="3:3" x14ac:dyDescent="0.25">
      <c r="C11135" s="26">
        <v>11133</v>
      </c>
    </row>
    <row r="11136" spans="3:3" x14ac:dyDescent="0.25">
      <c r="C11136" s="26">
        <v>11134</v>
      </c>
    </row>
    <row r="11137" spans="3:3" x14ac:dyDescent="0.25">
      <c r="C11137" s="26">
        <v>11135</v>
      </c>
    </row>
    <row r="11138" spans="3:3" x14ac:dyDescent="0.25">
      <c r="C11138" s="26">
        <v>11136</v>
      </c>
    </row>
    <row r="11139" spans="3:3" x14ac:dyDescent="0.25">
      <c r="C11139" s="26">
        <v>11137</v>
      </c>
    </row>
    <row r="11140" spans="3:3" x14ac:dyDescent="0.25">
      <c r="C11140" s="26">
        <v>11138</v>
      </c>
    </row>
    <row r="11141" spans="3:3" x14ac:dyDescent="0.25">
      <c r="C11141" s="26">
        <v>11139</v>
      </c>
    </row>
    <row r="11142" spans="3:3" x14ac:dyDescent="0.25">
      <c r="C11142" s="26">
        <v>11140</v>
      </c>
    </row>
    <row r="11143" spans="3:3" x14ac:dyDescent="0.25">
      <c r="C11143" s="26">
        <v>11141</v>
      </c>
    </row>
    <row r="11144" spans="3:3" x14ac:dyDescent="0.25">
      <c r="C11144" s="26">
        <v>11142</v>
      </c>
    </row>
    <row r="11145" spans="3:3" x14ac:dyDescent="0.25">
      <c r="C11145" s="26">
        <v>11143</v>
      </c>
    </row>
    <row r="11146" spans="3:3" x14ac:dyDescent="0.25">
      <c r="C11146" s="26">
        <v>11144</v>
      </c>
    </row>
    <row r="11147" spans="3:3" x14ac:dyDescent="0.25">
      <c r="C11147" s="26">
        <v>11145</v>
      </c>
    </row>
    <row r="11148" spans="3:3" x14ac:dyDescent="0.25">
      <c r="C11148" s="26">
        <v>11146</v>
      </c>
    </row>
    <row r="11149" spans="3:3" x14ac:dyDescent="0.25">
      <c r="C11149" s="26">
        <v>11147</v>
      </c>
    </row>
    <row r="11150" spans="3:3" x14ac:dyDescent="0.25">
      <c r="C11150" s="26">
        <v>11148</v>
      </c>
    </row>
    <row r="11151" spans="3:3" x14ac:dyDescent="0.25">
      <c r="C11151" s="26">
        <v>11149</v>
      </c>
    </row>
    <row r="11152" spans="3:3" x14ac:dyDescent="0.25">
      <c r="C11152" s="26">
        <v>11150</v>
      </c>
    </row>
    <row r="11153" spans="3:3" x14ac:dyDescent="0.25">
      <c r="C11153" s="26">
        <v>11151</v>
      </c>
    </row>
    <row r="11154" spans="3:3" x14ac:dyDescent="0.25">
      <c r="C11154" s="26">
        <v>11152</v>
      </c>
    </row>
    <row r="11155" spans="3:3" x14ac:dyDescent="0.25">
      <c r="C11155" s="26">
        <v>11153</v>
      </c>
    </row>
    <row r="11156" spans="3:3" x14ac:dyDescent="0.25">
      <c r="C11156" s="26">
        <v>11154</v>
      </c>
    </row>
    <row r="11157" spans="3:3" x14ac:dyDescent="0.25">
      <c r="C11157" s="26">
        <v>11155</v>
      </c>
    </row>
    <row r="11158" spans="3:3" x14ac:dyDescent="0.25">
      <c r="C11158" s="26">
        <v>11156</v>
      </c>
    </row>
    <row r="11159" spans="3:3" x14ac:dyDescent="0.25">
      <c r="C11159" s="26">
        <v>11157</v>
      </c>
    </row>
    <row r="11160" spans="3:3" x14ac:dyDescent="0.25">
      <c r="C11160" s="26">
        <v>11158</v>
      </c>
    </row>
    <row r="11161" spans="3:3" x14ac:dyDescent="0.25">
      <c r="C11161" s="26">
        <v>11159</v>
      </c>
    </row>
    <row r="11162" spans="3:3" x14ac:dyDescent="0.25">
      <c r="C11162" s="26">
        <v>11160</v>
      </c>
    </row>
    <row r="11163" spans="3:3" x14ac:dyDescent="0.25">
      <c r="C11163" s="26">
        <v>11161</v>
      </c>
    </row>
    <row r="11164" spans="3:3" x14ac:dyDescent="0.25">
      <c r="C11164" s="26">
        <v>11162</v>
      </c>
    </row>
    <row r="11165" spans="3:3" x14ac:dyDescent="0.25">
      <c r="C11165" s="26">
        <v>11163</v>
      </c>
    </row>
    <row r="11166" spans="3:3" x14ac:dyDescent="0.25">
      <c r="C11166" s="26">
        <v>11164</v>
      </c>
    </row>
    <row r="11167" spans="3:3" x14ac:dyDescent="0.25">
      <c r="C11167" s="26">
        <v>11165</v>
      </c>
    </row>
    <row r="11168" spans="3:3" x14ac:dyDescent="0.25">
      <c r="C11168" s="26">
        <v>11166</v>
      </c>
    </row>
    <row r="11169" spans="3:3" x14ac:dyDescent="0.25">
      <c r="C11169" s="26">
        <v>11167</v>
      </c>
    </row>
    <row r="11170" spans="3:3" x14ac:dyDescent="0.25">
      <c r="C11170" s="26">
        <v>11168</v>
      </c>
    </row>
    <row r="11171" spans="3:3" x14ac:dyDescent="0.25">
      <c r="C11171" s="26">
        <v>11169</v>
      </c>
    </row>
    <row r="11172" spans="3:3" x14ac:dyDescent="0.25">
      <c r="C11172" s="26">
        <v>11170</v>
      </c>
    </row>
    <row r="11173" spans="3:3" x14ac:dyDescent="0.25">
      <c r="C11173" s="26">
        <v>11171</v>
      </c>
    </row>
    <row r="11174" spans="3:3" x14ac:dyDescent="0.25">
      <c r="C11174" s="26">
        <v>11172</v>
      </c>
    </row>
    <row r="11175" spans="3:3" x14ac:dyDescent="0.25">
      <c r="C11175" s="26">
        <v>11173</v>
      </c>
    </row>
    <row r="11176" spans="3:3" x14ac:dyDescent="0.25">
      <c r="C11176" s="26">
        <v>11174</v>
      </c>
    </row>
    <row r="11177" spans="3:3" x14ac:dyDescent="0.25">
      <c r="C11177" s="26">
        <v>11175</v>
      </c>
    </row>
    <row r="11178" spans="3:3" x14ac:dyDescent="0.25">
      <c r="C11178" s="26">
        <v>11176</v>
      </c>
    </row>
    <row r="11179" spans="3:3" x14ac:dyDescent="0.25">
      <c r="C11179" s="26">
        <v>11177</v>
      </c>
    </row>
    <row r="11180" spans="3:3" x14ac:dyDescent="0.25">
      <c r="C11180" s="26">
        <v>11178</v>
      </c>
    </row>
    <row r="11181" spans="3:3" x14ac:dyDescent="0.25">
      <c r="C11181" s="26">
        <v>11179</v>
      </c>
    </row>
    <row r="11182" spans="3:3" x14ac:dyDescent="0.25">
      <c r="C11182" s="26">
        <v>11180</v>
      </c>
    </row>
    <row r="11183" spans="3:3" x14ac:dyDescent="0.25">
      <c r="C11183" s="26">
        <v>11181</v>
      </c>
    </row>
    <row r="11184" spans="3:3" x14ac:dyDescent="0.25">
      <c r="C11184" s="26">
        <v>11182</v>
      </c>
    </row>
    <row r="11185" spans="3:3" x14ac:dyDescent="0.25">
      <c r="C11185" s="26">
        <v>11183</v>
      </c>
    </row>
    <row r="11186" spans="3:3" x14ac:dyDescent="0.25">
      <c r="C11186" s="26">
        <v>11184</v>
      </c>
    </row>
    <row r="11187" spans="3:3" x14ac:dyDescent="0.25">
      <c r="C11187" s="26">
        <v>11185</v>
      </c>
    </row>
    <row r="11188" spans="3:3" x14ac:dyDescent="0.25">
      <c r="C11188" s="26">
        <v>11186</v>
      </c>
    </row>
    <row r="11189" spans="3:3" x14ac:dyDescent="0.25">
      <c r="C11189" s="26">
        <v>11187</v>
      </c>
    </row>
    <row r="11190" spans="3:3" x14ac:dyDescent="0.25">
      <c r="C11190" s="26">
        <v>11188</v>
      </c>
    </row>
    <row r="11191" spans="3:3" x14ac:dyDescent="0.25">
      <c r="C11191" s="26">
        <v>11189</v>
      </c>
    </row>
    <row r="11192" spans="3:3" x14ac:dyDescent="0.25">
      <c r="C11192" s="26">
        <v>11190</v>
      </c>
    </row>
    <row r="11193" spans="3:3" x14ac:dyDescent="0.25">
      <c r="C11193" s="26">
        <v>11191</v>
      </c>
    </row>
    <row r="11194" spans="3:3" x14ac:dyDescent="0.25">
      <c r="C11194" s="26">
        <v>11192</v>
      </c>
    </row>
    <row r="11195" spans="3:3" x14ac:dyDescent="0.25">
      <c r="C11195" s="26">
        <v>11193</v>
      </c>
    </row>
    <row r="11196" spans="3:3" x14ac:dyDescent="0.25">
      <c r="C11196" s="26">
        <v>11194</v>
      </c>
    </row>
    <row r="11197" spans="3:3" x14ac:dyDescent="0.25">
      <c r="C11197" s="26">
        <v>11195</v>
      </c>
    </row>
    <row r="11198" spans="3:3" x14ac:dyDescent="0.25">
      <c r="C11198" s="26">
        <v>11196</v>
      </c>
    </row>
    <row r="11199" spans="3:3" x14ac:dyDescent="0.25">
      <c r="C11199" s="26">
        <v>11197</v>
      </c>
    </row>
    <row r="11200" spans="3:3" x14ac:dyDescent="0.25">
      <c r="C11200" s="26">
        <v>11198</v>
      </c>
    </row>
    <row r="11201" spans="3:3" x14ac:dyDescent="0.25">
      <c r="C11201" s="26">
        <v>11199</v>
      </c>
    </row>
    <row r="11202" spans="3:3" x14ac:dyDescent="0.25">
      <c r="C11202" s="26">
        <v>11200</v>
      </c>
    </row>
    <row r="11203" spans="3:3" x14ac:dyDescent="0.25">
      <c r="C11203" s="26">
        <v>11201</v>
      </c>
    </row>
    <row r="11204" spans="3:3" x14ac:dyDescent="0.25">
      <c r="C11204" s="26">
        <v>11202</v>
      </c>
    </row>
    <row r="11205" spans="3:3" x14ac:dyDescent="0.25">
      <c r="C11205" s="26">
        <v>11203</v>
      </c>
    </row>
    <row r="11206" spans="3:3" x14ac:dyDescent="0.25">
      <c r="C11206" s="26">
        <v>11204</v>
      </c>
    </row>
    <row r="11207" spans="3:3" x14ac:dyDescent="0.25">
      <c r="C11207" s="26">
        <v>11205</v>
      </c>
    </row>
    <row r="11208" spans="3:3" x14ac:dyDescent="0.25">
      <c r="C11208" s="26">
        <v>11206</v>
      </c>
    </row>
    <row r="11209" spans="3:3" x14ac:dyDescent="0.25">
      <c r="C11209" s="26">
        <v>11207</v>
      </c>
    </row>
    <row r="11210" spans="3:3" x14ac:dyDescent="0.25">
      <c r="C11210" s="26">
        <v>11208</v>
      </c>
    </row>
    <row r="11211" spans="3:3" x14ac:dyDescent="0.25">
      <c r="C11211" s="26">
        <v>11209</v>
      </c>
    </row>
    <row r="11212" spans="3:3" x14ac:dyDescent="0.25">
      <c r="C11212" s="26">
        <v>11210</v>
      </c>
    </row>
    <row r="11213" spans="3:3" x14ac:dyDescent="0.25">
      <c r="C11213" s="26">
        <v>11211</v>
      </c>
    </row>
    <row r="11214" spans="3:3" x14ac:dyDescent="0.25">
      <c r="C11214" s="26">
        <v>11212</v>
      </c>
    </row>
    <row r="11215" spans="3:3" x14ac:dyDescent="0.25">
      <c r="C11215" s="26">
        <v>11213</v>
      </c>
    </row>
    <row r="11216" spans="3:3" x14ac:dyDescent="0.25">
      <c r="C11216" s="26">
        <v>11214</v>
      </c>
    </row>
    <row r="11217" spans="3:3" x14ac:dyDescent="0.25">
      <c r="C11217" s="26">
        <v>11215</v>
      </c>
    </row>
    <row r="11218" spans="3:3" x14ac:dyDescent="0.25">
      <c r="C11218" s="26">
        <v>11216</v>
      </c>
    </row>
    <row r="11219" spans="3:3" x14ac:dyDescent="0.25">
      <c r="C11219" s="26">
        <v>11217</v>
      </c>
    </row>
    <row r="11220" spans="3:3" x14ac:dyDescent="0.25">
      <c r="C11220" s="26">
        <v>11218</v>
      </c>
    </row>
    <row r="11221" spans="3:3" x14ac:dyDescent="0.25">
      <c r="C11221" s="26">
        <v>11219</v>
      </c>
    </row>
    <row r="11222" spans="3:3" x14ac:dyDescent="0.25">
      <c r="C11222" s="26">
        <v>11220</v>
      </c>
    </row>
    <row r="11223" spans="3:3" x14ac:dyDescent="0.25">
      <c r="C11223" s="26">
        <v>11221</v>
      </c>
    </row>
    <row r="11224" spans="3:3" x14ac:dyDescent="0.25">
      <c r="C11224" s="26">
        <v>11222</v>
      </c>
    </row>
    <row r="11225" spans="3:3" x14ac:dyDescent="0.25">
      <c r="C11225" s="26">
        <v>11223</v>
      </c>
    </row>
    <row r="11226" spans="3:3" x14ac:dyDescent="0.25">
      <c r="C11226" s="26">
        <v>11224</v>
      </c>
    </row>
    <row r="11227" spans="3:3" x14ac:dyDescent="0.25">
      <c r="C11227" s="26">
        <v>11225</v>
      </c>
    </row>
    <row r="11228" spans="3:3" x14ac:dyDescent="0.25">
      <c r="C11228" s="26">
        <v>11226</v>
      </c>
    </row>
    <row r="11229" spans="3:3" x14ac:dyDescent="0.25">
      <c r="C11229" s="26">
        <v>11227</v>
      </c>
    </row>
    <row r="11230" spans="3:3" x14ac:dyDescent="0.25">
      <c r="C11230" s="26">
        <v>11228</v>
      </c>
    </row>
    <row r="11231" spans="3:3" x14ac:dyDescent="0.25">
      <c r="C11231" s="26">
        <v>11229</v>
      </c>
    </row>
    <row r="11232" spans="3:3" x14ac:dyDescent="0.25">
      <c r="C11232" s="26">
        <v>11230</v>
      </c>
    </row>
    <row r="11233" spans="3:3" x14ac:dyDescent="0.25">
      <c r="C11233" s="26">
        <v>11231</v>
      </c>
    </row>
    <row r="11234" spans="3:3" x14ac:dyDescent="0.25">
      <c r="C11234" s="26">
        <v>11232</v>
      </c>
    </row>
    <row r="11235" spans="3:3" x14ac:dyDescent="0.25">
      <c r="C11235" s="26">
        <v>11233</v>
      </c>
    </row>
    <row r="11236" spans="3:3" x14ac:dyDescent="0.25">
      <c r="C11236" s="26">
        <v>11234</v>
      </c>
    </row>
    <row r="11237" spans="3:3" x14ac:dyDescent="0.25">
      <c r="C11237" s="26">
        <v>11235</v>
      </c>
    </row>
    <row r="11238" spans="3:3" x14ac:dyDescent="0.25">
      <c r="C11238" s="26">
        <v>11236</v>
      </c>
    </row>
    <row r="11239" spans="3:3" x14ac:dyDescent="0.25">
      <c r="C11239" s="26">
        <v>11237</v>
      </c>
    </row>
    <row r="11240" spans="3:3" x14ac:dyDescent="0.25">
      <c r="C11240" s="26">
        <v>11238</v>
      </c>
    </row>
    <row r="11241" spans="3:3" x14ac:dyDescent="0.25">
      <c r="C11241" s="26">
        <v>11239</v>
      </c>
    </row>
    <row r="11242" spans="3:3" x14ac:dyDescent="0.25">
      <c r="C11242" s="26">
        <v>11240</v>
      </c>
    </row>
    <row r="11243" spans="3:3" x14ac:dyDescent="0.25">
      <c r="C11243" s="26">
        <v>11241</v>
      </c>
    </row>
    <row r="11244" spans="3:3" x14ac:dyDescent="0.25">
      <c r="C11244" s="26">
        <v>11242</v>
      </c>
    </row>
    <row r="11245" spans="3:3" x14ac:dyDescent="0.25">
      <c r="C11245" s="26">
        <v>11243</v>
      </c>
    </row>
    <row r="11246" spans="3:3" x14ac:dyDescent="0.25">
      <c r="C11246" s="26">
        <v>11244</v>
      </c>
    </row>
    <row r="11247" spans="3:3" x14ac:dyDescent="0.25">
      <c r="C11247" s="26">
        <v>11245</v>
      </c>
    </row>
    <row r="11248" spans="3:3" x14ac:dyDescent="0.25">
      <c r="C11248" s="26">
        <v>11246</v>
      </c>
    </row>
    <row r="11249" spans="3:3" x14ac:dyDescent="0.25">
      <c r="C11249" s="26">
        <v>11247</v>
      </c>
    </row>
    <row r="11250" spans="3:3" x14ac:dyDescent="0.25">
      <c r="C11250" s="26">
        <v>11248</v>
      </c>
    </row>
    <row r="11251" spans="3:3" x14ac:dyDescent="0.25">
      <c r="C11251" s="26">
        <v>11249</v>
      </c>
    </row>
    <row r="11252" spans="3:3" x14ac:dyDescent="0.25">
      <c r="C11252" s="26">
        <v>11250</v>
      </c>
    </row>
    <row r="11253" spans="3:3" x14ac:dyDescent="0.25">
      <c r="C11253" s="26">
        <v>11251</v>
      </c>
    </row>
    <row r="11254" spans="3:3" x14ac:dyDescent="0.25">
      <c r="C11254" s="26">
        <v>11252</v>
      </c>
    </row>
    <row r="11255" spans="3:3" x14ac:dyDescent="0.25">
      <c r="C11255" s="26">
        <v>11253</v>
      </c>
    </row>
    <row r="11256" spans="3:3" x14ac:dyDescent="0.25">
      <c r="C11256" s="26">
        <v>11254</v>
      </c>
    </row>
    <row r="11257" spans="3:3" x14ac:dyDescent="0.25">
      <c r="C11257" s="26">
        <v>11255</v>
      </c>
    </row>
    <row r="11258" spans="3:3" x14ac:dyDescent="0.25">
      <c r="C11258" s="26">
        <v>11256</v>
      </c>
    </row>
    <row r="11259" spans="3:3" x14ac:dyDescent="0.25">
      <c r="C11259" s="26">
        <v>11257</v>
      </c>
    </row>
    <row r="11260" spans="3:3" x14ac:dyDescent="0.25">
      <c r="C11260" s="26">
        <v>11258</v>
      </c>
    </row>
    <row r="11261" spans="3:3" x14ac:dyDescent="0.25">
      <c r="C11261" s="26">
        <v>11259</v>
      </c>
    </row>
    <row r="11262" spans="3:3" x14ac:dyDescent="0.25">
      <c r="C11262" s="26">
        <v>11260</v>
      </c>
    </row>
    <row r="11263" spans="3:3" x14ac:dyDescent="0.25">
      <c r="C11263" s="26">
        <v>11261</v>
      </c>
    </row>
    <row r="11264" spans="3:3" x14ac:dyDescent="0.25">
      <c r="C11264" s="26">
        <v>11262</v>
      </c>
    </row>
    <row r="11265" spans="3:3" x14ac:dyDescent="0.25">
      <c r="C11265" s="26">
        <v>11263</v>
      </c>
    </row>
    <row r="11266" spans="3:3" x14ac:dyDescent="0.25">
      <c r="C11266" s="26">
        <v>11264</v>
      </c>
    </row>
    <row r="11267" spans="3:3" x14ac:dyDescent="0.25">
      <c r="C11267" s="26">
        <v>11265</v>
      </c>
    </row>
    <row r="11268" spans="3:3" x14ac:dyDescent="0.25">
      <c r="C11268" s="26">
        <v>11266</v>
      </c>
    </row>
    <row r="11269" spans="3:3" x14ac:dyDescent="0.25">
      <c r="C11269" s="26">
        <v>11267</v>
      </c>
    </row>
    <row r="11270" spans="3:3" x14ac:dyDescent="0.25">
      <c r="C11270" s="26">
        <v>11268</v>
      </c>
    </row>
    <row r="11271" spans="3:3" x14ac:dyDescent="0.25">
      <c r="C11271" s="26">
        <v>11269</v>
      </c>
    </row>
    <row r="11272" spans="3:3" x14ac:dyDescent="0.25">
      <c r="C11272" s="26">
        <v>11270</v>
      </c>
    </row>
    <row r="11273" spans="3:3" x14ac:dyDescent="0.25">
      <c r="C11273" s="26">
        <v>11271</v>
      </c>
    </row>
    <row r="11274" spans="3:3" x14ac:dyDescent="0.25">
      <c r="C11274" s="26">
        <v>11272</v>
      </c>
    </row>
    <row r="11275" spans="3:3" x14ac:dyDescent="0.25">
      <c r="C11275" s="26">
        <v>11273</v>
      </c>
    </row>
    <row r="11276" spans="3:3" x14ac:dyDescent="0.25">
      <c r="C11276" s="26">
        <v>11274</v>
      </c>
    </row>
    <row r="11277" spans="3:3" x14ac:dyDescent="0.25">
      <c r="C11277" s="26">
        <v>11275</v>
      </c>
    </row>
    <row r="11278" spans="3:3" x14ac:dyDescent="0.25">
      <c r="C11278" s="26">
        <v>11276</v>
      </c>
    </row>
    <row r="11279" spans="3:3" x14ac:dyDescent="0.25">
      <c r="C11279" s="26">
        <v>11277</v>
      </c>
    </row>
    <row r="11280" spans="3:3" x14ac:dyDescent="0.25">
      <c r="C11280" s="26">
        <v>11278</v>
      </c>
    </row>
    <row r="11281" spans="3:3" x14ac:dyDescent="0.25">
      <c r="C11281" s="26">
        <v>11279</v>
      </c>
    </row>
    <row r="11282" spans="3:3" x14ac:dyDescent="0.25">
      <c r="C11282" s="26">
        <v>11280</v>
      </c>
    </row>
    <row r="11283" spans="3:3" x14ac:dyDescent="0.25">
      <c r="C11283" s="26">
        <v>11281</v>
      </c>
    </row>
    <row r="11284" spans="3:3" x14ac:dyDescent="0.25">
      <c r="C11284" s="26">
        <v>11282</v>
      </c>
    </row>
    <row r="11285" spans="3:3" x14ac:dyDescent="0.25">
      <c r="C11285" s="26">
        <v>11283</v>
      </c>
    </row>
    <row r="11286" spans="3:3" x14ac:dyDescent="0.25">
      <c r="C11286" s="26">
        <v>11284</v>
      </c>
    </row>
    <row r="11287" spans="3:3" x14ac:dyDescent="0.25">
      <c r="C11287" s="26">
        <v>11285</v>
      </c>
    </row>
    <row r="11288" spans="3:3" x14ac:dyDescent="0.25">
      <c r="C11288" s="26">
        <v>11286</v>
      </c>
    </row>
    <row r="11289" spans="3:3" x14ac:dyDescent="0.25">
      <c r="C11289" s="26">
        <v>11287</v>
      </c>
    </row>
    <row r="11290" spans="3:3" x14ac:dyDescent="0.25">
      <c r="C11290" s="26">
        <v>11288</v>
      </c>
    </row>
    <row r="11291" spans="3:3" x14ac:dyDescent="0.25">
      <c r="C11291" s="26">
        <v>11289</v>
      </c>
    </row>
    <row r="11292" spans="3:3" x14ac:dyDescent="0.25">
      <c r="C11292" s="26">
        <v>11290</v>
      </c>
    </row>
    <row r="11293" spans="3:3" x14ac:dyDescent="0.25">
      <c r="C11293" s="26">
        <v>11291</v>
      </c>
    </row>
    <row r="11294" spans="3:3" x14ac:dyDescent="0.25">
      <c r="C11294" s="26">
        <v>11292</v>
      </c>
    </row>
    <row r="11295" spans="3:3" x14ac:dyDescent="0.25">
      <c r="C11295" s="26">
        <v>11293</v>
      </c>
    </row>
    <row r="11296" spans="3:3" x14ac:dyDescent="0.25">
      <c r="C11296" s="26">
        <v>11294</v>
      </c>
    </row>
    <row r="11297" spans="3:3" x14ac:dyDescent="0.25">
      <c r="C11297" s="26">
        <v>11295</v>
      </c>
    </row>
    <row r="11298" spans="3:3" x14ac:dyDescent="0.25">
      <c r="C11298" s="26">
        <v>11296</v>
      </c>
    </row>
    <row r="11299" spans="3:3" x14ac:dyDescent="0.25">
      <c r="C11299" s="26">
        <v>11297</v>
      </c>
    </row>
    <row r="11300" spans="3:3" x14ac:dyDescent="0.25">
      <c r="C11300" s="26">
        <v>11298</v>
      </c>
    </row>
    <row r="11301" spans="3:3" x14ac:dyDescent="0.25">
      <c r="C11301" s="26">
        <v>11299</v>
      </c>
    </row>
    <row r="11302" spans="3:3" x14ac:dyDescent="0.25">
      <c r="C11302" s="26">
        <v>11300</v>
      </c>
    </row>
    <row r="11303" spans="3:3" x14ac:dyDescent="0.25">
      <c r="C11303" s="26">
        <v>11301</v>
      </c>
    </row>
    <row r="11304" spans="3:3" x14ac:dyDescent="0.25">
      <c r="C11304" s="26">
        <v>11302</v>
      </c>
    </row>
    <row r="11305" spans="3:3" x14ac:dyDescent="0.25">
      <c r="C11305" s="26">
        <v>11303</v>
      </c>
    </row>
    <row r="11306" spans="3:3" x14ac:dyDescent="0.25">
      <c r="C11306" s="26">
        <v>11304</v>
      </c>
    </row>
    <row r="11307" spans="3:3" x14ac:dyDescent="0.25">
      <c r="C11307" s="26">
        <v>11305</v>
      </c>
    </row>
    <row r="11308" spans="3:3" x14ac:dyDescent="0.25">
      <c r="C11308" s="26">
        <v>11306</v>
      </c>
    </row>
    <row r="11309" spans="3:3" x14ac:dyDescent="0.25">
      <c r="C11309" s="26">
        <v>11307</v>
      </c>
    </row>
    <row r="11310" spans="3:3" x14ac:dyDescent="0.25">
      <c r="C11310" s="26">
        <v>11308</v>
      </c>
    </row>
    <row r="11311" spans="3:3" x14ac:dyDescent="0.25">
      <c r="C11311" s="26">
        <v>11309</v>
      </c>
    </row>
    <row r="11312" spans="3:3" x14ac:dyDescent="0.25">
      <c r="C11312" s="26">
        <v>11310</v>
      </c>
    </row>
    <row r="11313" spans="3:3" x14ac:dyDescent="0.25">
      <c r="C11313" s="26">
        <v>11311</v>
      </c>
    </row>
    <row r="11314" spans="3:3" x14ac:dyDescent="0.25">
      <c r="C11314" s="26">
        <v>11312</v>
      </c>
    </row>
    <row r="11315" spans="3:3" x14ac:dyDescent="0.25">
      <c r="C11315" s="26">
        <v>11313</v>
      </c>
    </row>
    <row r="11316" spans="3:3" x14ac:dyDescent="0.25">
      <c r="C11316" s="26">
        <v>11314</v>
      </c>
    </row>
    <row r="11317" spans="3:3" x14ac:dyDescent="0.25">
      <c r="C11317" s="26">
        <v>11315</v>
      </c>
    </row>
    <row r="11318" spans="3:3" x14ac:dyDescent="0.25">
      <c r="C11318" s="26">
        <v>11316</v>
      </c>
    </row>
    <row r="11319" spans="3:3" x14ac:dyDescent="0.25">
      <c r="C11319" s="26">
        <v>11317</v>
      </c>
    </row>
    <row r="11320" spans="3:3" x14ac:dyDescent="0.25">
      <c r="C11320" s="26">
        <v>11318</v>
      </c>
    </row>
    <row r="11321" spans="3:3" x14ac:dyDescent="0.25">
      <c r="C11321" s="26">
        <v>11319</v>
      </c>
    </row>
    <row r="11322" spans="3:3" x14ac:dyDescent="0.25">
      <c r="C11322" s="26">
        <v>11320</v>
      </c>
    </row>
    <row r="11323" spans="3:3" x14ac:dyDescent="0.25">
      <c r="C11323" s="26">
        <v>11321</v>
      </c>
    </row>
    <row r="11324" spans="3:3" x14ac:dyDescent="0.25">
      <c r="C11324" s="26">
        <v>11322</v>
      </c>
    </row>
    <row r="11325" spans="3:3" x14ac:dyDescent="0.25">
      <c r="C11325" s="26">
        <v>11323</v>
      </c>
    </row>
    <row r="11326" spans="3:3" x14ac:dyDescent="0.25">
      <c r="C11326" s="26">
        <v>11324</v>
      </c>
    </row>
    <row r="11327" spans="3:3" x14ac:dyDescent="0.25">
      <c r="C11327" s="26">
        <v>11325</v>
      </c>
    </row>
    <row r="11328" spans="3:3" x14ac:dyDescent="0.25">
      <c r="C11328" s="26">
        <v>11326</v>
      </c>
    </row>
    <row r="11329" spans="3:3" x14ac:dyDescent="0.25">
      <c r="C11329" s="26">
        <v>11327</v>
      </c>
    </row>
    <row r="11330" spans="3:3" x14ac:dyDescent="0.25">
      <c r="C11330" s="26">
        <v>11328</v>
      </c>
    </row>
    <row r="11331" spans="3:3" x14ac:dyDescent="0.25">
      <c r="C11331" s="26">
        <v>11329</v>
      </c>
    </row>
    <row r="11332" spans="3:3" x14ac:dyDescent="0.25">
      <c r="C11332" s="26">
        <v>11330</v>
      </c>
    </row>
    <row r="11333" spans="3:3" x14ac:dyDescent="0.25">
      <c r="C11333" s="26">
        <v>11331</v>
      </c>
    </row>
    <row r="11334" spans="3:3" x14ac:dyDescent="0.25">
      <c r="C11334" s="26">
        <v>11332</v>
      </c>
    </row>
    <row r="11335" spans="3:3" x14ac:dyDescent="0.25">
      <c r="C11335" s="26">
        <v>11333</v>
      </c>
    </row>
    <row r="11336" spans="3:3" x14ac:dyDescent="0.25">
      <c r="C11336" s="26">
        <v>11334</v>
      </c>
    </row>
    <row r="11337" spans="3:3" x14ac:dyDescent="0.25">
      <c r="C11337" s="26">
        <v>11335</v>
      </c>
    </row>
    <row r="11338" spans="3:3" x14ac:dyDescent="0.25">
      <c r="C11338" s="26">
        <v>11336</v>
      </c>
    </row>
    <row r="11339" spans="3:3" x14ac:dyDescent="0.25">
      <c r="C11339" s="26">
        <v>11337</v>
      </c>
    </row>
    <row r="11340" spans="3:3" x14ac:dyDescent="0.25">
      <c r="C11340" s="26">
        <v>11338</v>
      </c>
    </row>
    <row r="11341" spans="3:3" x14ac:dyDescent="0.25">
      <c r="C11341" s="26">
        <v>11339</v>
      </c>
    </row>
    <row r="11342" spans="3:3" x14ac:dyDescent="0.25">
      <c r="C11342" s="26">
        <v>11340</v>
      </c>
    </row>
    <row r="11343" spans="3:3" x14ac:dyDescent="0.25">
      <c r="C11343" s="26">
        <v>11341</v>
      </c>
    </row>
    <row r="11344" spans="3:3" x14ac:dyDescent="0.25">
      <c r="C11344" s="26">
        <v>11342</v>
      </c>
    </row>
    <row r="11345" spans="3:3" x14ac:dyDescent="0.25">
      <c r="C11345" s="26">
        <v>11343</v>
      </c>
    </row>
    <row r="11346" spans="3:3" x14ac:dyDescent="0.25">
      <c r="C11346" s="26">
        <v>11344</v>
      </c>
    </row>
    <row r="11347" spans="3:3" x14ac:dyDescent="0.25">
      <c r="C11347" s="26">
        <v>11345</v>
      </c>
    </row>
    <row r="11348" spans="3:3" x14ac:dyDescent="0.25">
      <c r="C11348" s="26">
        <v>11346</v>
      </c>
    </row>
    <row r="11349" spans="3:3" x14ac:dyDescent="0.25">
      <c r="C11349" s="26">
        <v>11347</v>
      </c>
    </row>
    <row r="11350" spans="3:3" x14ac:dyDescent="0.25">
      <c r="C11350" s="26">
        <v>11348</v>
      </c>
    </row>
    <row r="11351" spans="3:3" x14ac:dyDescent="0.25">
      <c r="C11351" s="26">
        <v>11349</v>
      </c>
    </row>
    <row r="11352" spans="3:3" x14ac:dyDescent="0.25">
      <c r="C11352" s="26">
        <v>11350</v>
      </c>
    </row>
    <row r="11353" spans="3:3" x14ac:dyDescent="0.25">
      <c r="C11353" s="26">
        <v>11351</v>
      </c>
    </row>
    <row r="11354" spans="3:3" x14ac:dyDescent="0.25">
      <c r="C11354" s="26">
        <v>11352</v>
      </c>
    </row>
    <row r="11355" spans="3:3" x14ac:dyDescent="0.25">
      <c r="C11355" s="26">
        <v>11353</v>
      </c>
    </row>
    <row r="11356" spans="3:3" x14ac:dyDescent="0.25">
      <c r="C11356" s="26">
        <v>11354</v>
      </c>
    </row>
    <row r="11357" spans="3:3" x14ac:dyDescent="0.25">
      <c r="C11357" s="26">
        <v>11355</v>
      </c>
    </row>
    <row r="11358" spans="3:3" x14ac:dyDescent="0.25">
      <c r="C11358" s="26">
        <v>11356</v>
      </c>
    </row>
    <row r="11359" spans="3:3" x14ac:dyDescent="0.25">
      <c r="C11359" s="26">
        <v>11357</v>
      </c>
    </row>
    <row r="11360" spans="3:3" x14ac:dyDescent="0.25">
      <c r="C11360" s="26">
        <v>11358</v>
      </c>
    </row>
    <row r="11361" spans="3:3" x14ac:dyDescent="0.25">
      <c r="C11361" s="26">
        <v>11359</v>
      </c>
    </row>
    <row r="11362" spans="3:3" x14ac:dyDescent="0.25">
      <c r="C11362" s="26">
        <v>11360</v>
      </c>
    </row>
    <row r="11363" spans="3:3" x14ac:dyDescent="0.25">
      <c r="C11363" s="26">
        <v>11361</v>
      </c>
    </row>
    <row r="11364" spans="3:3" x14ac:dyDescent="0.25">
      <c r="C11364" s="26">
        <v>11362</v>
      </c>
    </row>
    <row r="11365" spans="3:3" x14ac:dyDescent="0.25">
      <c r="C11365" s="26">
        <v>11363</v>
      </c>
    </row>
    <row r="11366" spans="3:3" x14ac:dyDescent="0.25">
      <c r="C11366" s="26">
        <v>11364</v>
      </c>
    </row>
    <row r="11367" spans="3:3" x14ac:dyDescent="0.25">
      <c r="C11367" s="26">
        <v>11365</v>
      </c>
    </row>
    <row r="11368" spans="3:3" x14ac:dyDescent="0.25">
      <c r="C11368" s="26">
        <v>11366</v>
      </c>
    </row>
    <row r="11369" spans="3:3" x14ac:dyDescent="0.25">
      <c r="C11369" s="26">
        <v>11367</v>
      </c>
    </row>
    <row r="11370" spans="3:3" x14ac:dyDescent="0.25">
      <c r="C11370" s="26">
        <v>11368</v>
      </c>
    </row>
    <row r="11371" spans="3:3" x14ac:dyDescent="0.25">
      <c r="C11371" s="26">
        <v>11369</v>
      </c>
    </row>
    <row r="11372" spans="3:3" x14ac:dyDescent="0.25">
      <c r="C11372" s="26">
        <v>11370</v>
      </c>
    </row>
    <row r="11373" spans="3:3" x14ac:dyDescent="0.25">
      <c r="C11373" s="26">
        <v>11371</v>
      </c>
    </row>
    <row r="11374" spans="3:3" x14ac:dyDescent="0.25">
      <c r="C11374" s="26">
        <v>11372</v>
      </c>
    </row>
    <row r="11375" spans="3:3" x14ac:dyDescent="0.25">
      <c r="C11375" s="26">
        <v>11373</v>
      </c>
    </row>
    <row r="11376" spans="3:3" x14ac:dyDescent="0.25">
      <c r="C11376" s="26">
        <v>11374</v>
      </c>
    </row>
    <row r="11377" spans="3:3" x14ac:dyDescent="0.25">
      <c r="C11377" s="26">
        <v>11375</v>
      </c>
    </row>
    <row r="11378" spans="3:3" x14ac:dyDescent="0.25">
      <c r="C11378" s="26">
        <v>11376</v>
      </c>
    </row>
    <row r="11379" spans="3:3" x14ac:dyDescent="0.25">
      <c r="C11379" s="26">
        <v>11377</v>
      </c>
    </row>
    <row r="11380" spans="3:3" x14ac:dyDescent="0.25">
      <c r="C11380" s="26">
        <v>11378</v>
      </c>
    </row>
    <row r="11381" spans="3:3" x14ac:dyDescent="0.25">
      <c r="C11381" s="26">
        <v>11379</v>
      </c>
    </row>
    <row r="11382" spans="3:3" x14ac:dyDescent="0.25">
      <c r="C11382" s="26">
        <v>11380</v>
      </c>
    </row>
    <row r="11383" spans="3:3" x14ac:dyDescent="0.25">
      <c r="C11383" s="26">
        <v>11381</v>
      </c>
    </row>
    <row r="11384" spans="3:3" x14ac:dyDescent="0.25">
      <c r="C11384" s="26">
        <v>11382</v>
      </c>
    </row>
    <row r="11385" spans="3:3" x14ac:dyDescent="0.25">
      <c r="C11385" s="26">
        <v>11383</v>
      </c>
    </row>
    <row r="11386" spans="3:3" x14ac:dyDescent="0.25">
      <c r="C11386" s="26">
        <v>11384</v>
      </c>
    </row>
    <row r="11387" spans="3:3" x14ac:dyDescent="0.25">
      <c r="C11387" s="26">
        <v>11385</v>
      </c>
    </row>
    <row r="11388" spans="3:3" x14ac:dyDescent="0.25">
      <c r="C11388" s="26">
        <v>11386</v>
      </c>
    </row>
    <row r="11389" spans="3:3" x14ac:dyDescent="0.25">
      <c r="C11389" s="26">
        <v>11387</v>
      </c>
    </row>
    <row r="11390" spans="3:3" x14ac:dyDescent="0.25">
      <c r="C11390" s="26">
        <v>11388</v>
      </c>
    </row>
    <row r="11391" spans="3:3" x14ac:dyDescent="0.25">
      <c r="C11391" s="26">
        <v>11389</v>
      </c>
    </row>
    <row r="11392" spans="3:3" x14ac:dyDescent="0.25">
      <c r="C11392" s="26">
        <v>11390</v>
      </c>
    </row>
    <row r="11393" spans="3:3" x14ac:dyDescent="0.25">
      <c r="C11393" s="26">
        <v>11391</v>
      </c>
    </row>
    <row r="11394" spans="3:3" x14ac:dyDescent="0.25">
      <c r="C11394" s="26">
        <v>11392</v>
      </c>
    </row>
    <row r="11395" spans="3:3" x14ac:dyDescent="0.25">
      <c r="C11395" s="26">
        <v>11393</v>
      </c>
    </row>
    <row r="11396" spans="3:3" x14ac:dyDescent="0.25">
      <c r="C11396" s="26">
        <v>11394</v>
      </c>
    </row>
    <row r="11397" spans="3:3" x14ac:dyDescent="0.25">
      <c r="C11397" s="26">
        <v>11395</v>
      </c>
    </row>
    <row r="11398" spans="3:3" x14ac:dyDescent="0.25">
      <c r="C11398" s="26">
        <v>11396</v>
      </c>
    </row>
    <row r="11399" spans="3:3" x14ac:dyDescent="0.25">
      <c r="C11399" s="26">
        <v>11397</v>
      </c>
    </row>
    <row r="11400" spans="3:3" x14ac:dyDescent="0.25">
      <c r="C11400" s="26">
        <v>11398</v>
      </c>
    </row>
    <row r="11401" spans="3:3" x14ac:dyDescent="0.25">
      <c r="C11401" s="26">
        <v>11399</v>
      </c>
    </row>
    <row r="11402" spans="3:3" x14ac:dyDescent="0.25">
      <c r="C11402" s="26">
        <v>11400</v>
      </c>
    </row>
    <row r="11403" spans="3:3" x14ac:dyDescent="0.25">
      <c r="C11403" s="26">
        <v>11401</v>
      </c>
    </row>
    <row r="11404" spans="3:3" x14ac:dyDescent="0.25">
      <c r="C11404" s="26">
        <v>11402</v>
      </c>
    </row>
    <row r="11405" spans="3:3" x14ac:dyDescent="0.25">
      <c r="C11405" s="26">
        <v>11403</v>
      </c>
    </row>
    <row r="11406" spans="3:3" x14ac:dyDescent="0.25">
      <c r="C11406" s="26">
        <v>11404</v>
      </c>
    </row>
    <row r="11407" spans="3:3" x14ac:dyDescent="0.25">
      <c r="C11407" s="26">
        <v>11405</v>
      </c>
    </row>
    <row r="11408" spans="3:3" x14ac:dyDescent="0.25">
      <c r="C11408" s="26">
        <v>11406</v>
      </c>
    </row>
    <row r="11409" spans="3:3" x14ac:dyDescent="0.25">
      <c r="C11409" s="26">
        <v>11407</v>
      </c>
    </row>
    <row r="11410" spans="3:3" x14ac:dyDescent="0.25">
      <c r="C11410" s="26">
        <v>11408</v>
      </c>
    </row>
    <row r="11411" spans="3:3" x14ac:dyDescent="0.25">
      <c r="C11411" s="26">
        <v>11409</v>
      </c>
    </row>
    <row r="11412" spans="3:3" x14ac:dyDescent="0.25">
      <c r="C11412" s="26">
        <v>11410</v>
      </c>
    </row>
    <row r="11413" spans="3:3" x14ac:dyDescent="0.25">
      <c r="C11413" s="26">
        <v>11411</v>
      </c>
    </row>
    <row r="11414" spans="3:3" x14ac:dyDescent="0.25">
      <c r="C11414" s="26">
        <v>11412</v>
      </c>
    </row>
    <row r="11415" spans="3:3" x14ac:dyDescent="0.25">
      <c r="C11415" s="26">
        <v>11413</v>
      </c>
    </row>
    <row r="11416" spans="3:3" x14ac:dyDescent="0.25">
      <c r="C11416" s="26">
        <v>11414</v>
      </c>
    </row>
    <row r="11417" spans="3:3" x14ac:dyDescent="0.25">
      <c r="C11417" s="26">
        <v>11415</v>
      </c>
    </row>
    <row r="11418" spans="3:3" x14ac:dyDescent="0.25">
      <c r="C11418" s="26">
        <v>11416</v>
      </c>
    </row>
    <row r="11419" spans="3:3" x14ac:dyDescent="0.25">
      <c r="C11419" s="26">
        <v>11417</v>
      </c>
    </row>
    <row r="11420" spans="3:3" x14ac:dyDescent="0.25">
      <c r="C11420" s="26">
        <v>11418</v>
      </c>
    </row>
    <row r="11421" spans="3:3" x14ac:dyDescent="0.25">
      <c r="C11421" s="26">
        <v>11419</v>
      </c>
    </row>
    <row r="11422" spans="3:3" x14ac:dyDescent="0.25">
      <c r="C11422" s="26">
        <v>11420</v>
      </c>
    </row>
    <row r="11423" spans="3:3" x14ac:dyDescent="0.25">
      <c r="C11423" s="26">
        <v>11421</v>
      </c>
    </row>
    <row r="11424" spans="3:3" x14ac:dyDescent="0.25">
      <c r="C11424" s="26">
        <v>11422</v>
      </c>
    </row>
    <row r="11425" spans="3:3" x14ac:dyDescent="0.25">
      <c r="C11425" s="26">
        <v>11423</v>
      </c>
    </row>
    <row r="11426" spans="3:3" x14ac:dyDescent="0.25">
      <c r="C11426" s="26">
        <v>11424</v>
      </c>
    </row>
    <row r="11427" spans="3:3" x14ac:dyDescent="0.25">
      <c r="C11427" s="26">
        <v>11425</v>
      </c>
    </row>
    <row r="11428" spans="3:3" x14ac:dyDescent="0.25">
      <c r="C11428" s="26">
        <v>11426</v>
      </c>
    </row>
    <row r="11429" spans="3:3" x14ac:dyDescent="0.25">
      <c r="C11429" s="26">
        <v>11427</v>
      </c>
    </row>
    <row r="11430" spans="3:3" x14ac:dyDescent="0.25">
      <c r="C11430" s="26">
        <v>11428</v>
      </c>
    </row>
    <row r="11431" spans="3:3" x14ac:dyDescent="0.25">
      <c r="C11431" s="26">
        <v>11429</v>
      </c>
    </row>
    <row r="11432" spans="3:3" x14ac:dyDescent="0.25">
      <c r="C11432" s="26">
        <v>11430</v>
      </c>
    </row>
    <row r="11433" spans="3:3" x14ac:dyDescent="0.25">
      <c r="C11433" s="26">
        <v>11431</v>
      </c>
    </row>
    <row r="11434" spans="3:3" x14ac:dyDescent="0.25">
      <c r="C11434" s="26">
        <v>11432</v>
      </c>
    </row>
    <row r="11435" spans="3:3" x14ac:dyDescent="0.25">
      <c r="C11435" s="26">
        <v>11433</v>
      </c>
    </row>
    <row r="11436" spans="3:3" x14ac:dyDescent="0.25">
      <c r="C11436" s="26">
        <v>11434</v>
      </c>
    </row>
    <row r="11437" spans="3:3" x14ac:dyDescent="0.25">
      <c r="C11437" s="26">
        <v>11435</v>
      </c>
    </row>
    <row r="11438" spans="3:3" x14ac:dyDescent="0.25">
      <c r="C11438" s="26">
        <v>11436</v>
      </c>
    </row>
    <row r="11439" spans="3:3" x14ac:dyDescent="0.25">
      <c r="C11439" s="26">
        <v>11437</v>
      </c>
    </row>
    <row r="11440" spans="3:3" x14ac:dyDescent="0.25">
      <c r="C11440" s="26">
        <v>11438</v>
      </c>
    </row>
    <row r="11441" spans="3:3" x14ac:dyDescent="0.25">
      <c r="C11441" s="26">
        <v>11439</v>
      </c>
    </row>
    <row r="11442" spans="3:3" x14ac:dyDescent="0.25">
      <c r="C11442" s="26">
        <v>11440</v>
      </c>
    </row>
    <row r="11443" spans="3:3" x14ac:dyDescent="0.25">
      <c r="C11443" s="26">
        <v>11441</v>
      </c>
    </row>
    <row r="11444" spans="3:3" x14ac:dyDescent="0.25">
      <c r="C11444" s="26">
        <v>11442</v>
      </c>
    </row>
    <row r="11445" spans="3:3" x14ac:dyDescent="0.25">
      <c r="C11445" s="26">
        <v>11443</v>
      </c>
    </row>
    <row r="11446" spans="3:3" x14ac:dyDescent="0.25">
      <c r="C11446" s="26">
        <v>11444</v>
      </c>
    </row>
    <row r="11447" spans="3:3" x14ac:dyDescent="0.25">
      <c r="C11447" s="26">
        <v>11445</v>
      </c>
    </row>
    <row r="11448" spans="3:3" x14ac:dyDescent="0.25">
      <c r="C11448" s="26">
        <v>11446</v>
      </c>
    </row>
    <row r="11449" spans="3:3" x14ac:dyDescent="0.25">
      <c r="C11449" s="26">
        <v>11447</v>
      </c>
    </row>
    <row r="11450" spans="3:3" x14ac:dyDescent="0.25">
      <c r="C11450" s="26">
        <v>11448</v>
      </c>
    </row>
    <row r="11451" spans="3:3" x14ac:dyDescent="0.25">
      <c r="C11451" s="26">
        <v>11449</v>
      </c>
    </row>
    <row r="11452" spans="3:3" x14ac:dyDescent="0.25">
      <c r="C11452" s="26">
        <v>11450</v>
      </c>
    </row>
    <row r="11453" spans="3:3" x14ac:dyDescent="0.25">
      <c r="C11453" s="26">
        <v>11451</v>
      </c>
    </row>
    <row r="11454" spans="3:3" x14ac:dyDescent="0.25">
      <c r="C11454" s="26">
        <v>11452</v>
      </c>
    </row>
    <row r="11455" spans="3:3" x14ac:dyDescent="0.25">
      <c r="C11455" s="26">
        <v>11453</v>
      </c>
    </row>
    <row r="11456" spans="3:3" x14ac:dyDescent="0.25">
      <c r="C11456" s="26">
        <v>11454</v>
      </c>
    </row>
    <row r="11457" spans="3:3" x14ac:dyDescent="0.25">
      <c r="C11457" s="26">
        <v>11455</v>
      </c>
    </row>
    <row r="11458" spans="3:3" x14ac:dyDescent="0.25">
      <c r="C11458" s="26">
        <v>11456</v>
      </c>
    </row>
    <row r="11459" spans="3:3" x14ac:dyDescent="0.25">
      <c r="C11459" s="26">
        <v>11457</v>
      </c>
    </row>
    <row r="11460" spans="3:3" x14ac:dyDescent="0.25">
      <c r="C11460" s="26">
        <v>11458</v>
      </c>
    </row>
    <row r="11461" spans="3:3" x14ac:dyDescent="0.25">
      <c r="C11461" s="26">
        <v>11459</v>
      </c>
    </row>
    <row r="11462" spans="3:3" x14ac:dyDescent="0.25">
      <c r="C11462" s="26">
        <v>11460</v>
      </c>
    </row>
    <row r="11463" spans="3:3" x14ac:dyDescent="0.25">
      <c r="C11463" s="26">
        <v>11461</v>
      </c>
    </row>
    <row r="11464" spans="3:3" x14ac:dyDescent="0.25">
      <c r="C11464" s="26">
        <v>11462</v>
      </c>
    </row>
    <row r="11465" spans="3:3" x14ac:dyDescent="0.25">
      <c r="C11465" s="26">
        <v>11463</v>
      </c>
    </row>
    <row r="11466" spans="3:3" x14ac:dyDescent="0.25">
      <c r="C11466" s="26">
        <v>11464</v>
      </c>
    </row>
    <row r="11467" spans="3:3" x14ac:dyDescent="0.25">
      <c r="C11467" s="26">
        <v>11465</v>
      </c>
    </row>
    <row r="11468" spans="3:3" x14ac:dyDescent="0.25">
      <c r="C11468" s="26">
        <v>11466</v>
      </c>
    </row>
    <row r="11469" spans="3:3" x14ac:dyDescent="0.25">
      <c r="C11469" s="26">
        <v>11467</v>
      </c>
    </row>
    <row r="11470" spans="3:3" x14ac:dyDescent="0.25">
      <c r="C11470" s="26">
        <v>11468</v>
      </c>
    </row>
    <row r="11471" spans="3:3" x14ac:dyDescent="0.25">
      <c r="C11471" s="26">
        <v>11469</v>
      </c>
    </row>
    <row r="11472" spans="3:3" x14ac:dyDescent="0.25">
      <c r="C11472" s="26">
        <v>11470</v>
      </c>
    </row>
    <row r="11473" spans="3:3" x14ac:dyDescent="0.25">
      <c r="C11473" s="26">
        <v>11471</v>
      </c>
    </row>
    <row r="11474" spans="3:3" x14ac:dyDescent="0.25">
      <c r="C11474" s="26">
        <v>11472</v>
      </c>
    </row>
    <row r="11475" spans="3:3" x14ac:dyDescent="0.25">
      <c r="C11475" s="26">
        <v>11473</v>
      </c>
    </row>
    <row r="11476" spans="3:3" x14ac:dyDescent="0.25">
      <c r="C11476" s="26">
        <v>11474</v>
      </c>
    </row>
    <row r="11477" spans="3:3" x14ac:dyDescent="0.25">
      <c r="C11477" s="26">
        <v>11475</v>
      </c>
    </row>
    <row r="11478" spans="3:3" x14ac:dyDescent="0.25">
      <c r="C11478" s="26">
        <v>11476</v>
      </c>
    </row>
    <row r="11479" spans="3:3" x14ac:dyDescent="0.25">
      <c r="C11479" s="26">
        <v>11477</v>
      </c>
    </row>
    <row r="11480" spans="3:3" x14ac:dyDescent="0.25">
      <c r="C11480" s="26">
        <v>11478</v>
      </c>
    </row>
    <row r="11481" spans="3:3" x14ac:dyDescent="0.25">
      <c r="C11481" s="26">
        <v>11479</v>
      </c>
    </row>
    <row r="11482" spans="3:3" x14ac:dyDescent="0.25">
      <c r="C11482" s="26">
        <v>11480</v>
      </c>
    </row>
    <row r="11483" spans="3:3" x14ac:dyDescent="0.25">
      <c r="C11483" s="26">
        <v>11481</v>
      </c>
    </row>
    <row r="11484" spans="3:3" x14ac:dyDescent="0.25">
      <c r="C11484" s="26">
        <v>11482</v>
      </c>
    </row>
    <row r="11485" spans="3:3" x14ac:dyDescent="0.25">
      <c r="C11485" s="26">
        <v>11483</v>
      </c>
    </row>
    <row r="11486" spans="3:3" x14ac:dyDescent="0.25">
      <c r="C11486" s="26">
        <v>11484</v>
      </c>
    </row>
    <row r="11487" spans="3:3" x14ac:dyDescent="0.25">
      <c r="C11487" s="26">
        <v>11485</v>
      </c>
    </row>
    <row r="11488" spans="3:3" x14ac:dyDescent="0.25">
      <c r="C11488" s="26">
        <v>11486</v>
      </c>
    </row>
    <row r="11489" spans="3:3" x14ac:dyDescent="0.25">
      <c r="C11489" s="26">
        <v>11487</v>
      </c>
    </row>
    <row r="11490" spans="3:3" x14ac:dyDescent="0.25">
      <c r="C11490" s="26">
        <v>11488</v>
      </c>
    </row>
    <row r="11491" spans="3:3" x14ac:dyDescent="0.25">
      <c r="C11491" s="26">
        <v>11489</v>
      </c>
    </row>
    <row r="11492" spans="3:3" x14ac:dyDescent="0.25">
      <c r="C11492" s="26">
        <v>11490</v>
      </c>
    </row>
    <row r="11493" spans="3:3" x14ac:dyDescent="0.25">
      <c r="C11493" s="26">
        <v>11491</v>
      </c>
    </row>
    <row r="11494" spans="3:3" x14ac:dyDescent="0.25">
      <c r="C11494" s="26">
        <v>11492</v>
      </c>
    </row>
    <row r="11495" spans="3:3" x14ac:dyDescent="0.25">
      <c r="C11495" s="26">
        <v>11493</v>
      </c>
    </row>
    <row r="11496" spans="3:3" x14ac:dyDescent="0.25">
      <c r="C11496" s="26">
        <v>11494</v>
      </c>
    </row>
    <row r="11497" spans="3:3" x14ac:dyDescent="0.25">
      <c r="C11497" s="26">
        <v>11495</v>
      </c>
    </row>
    <row r="11498" spans="3:3" x14ac:dyDescent="0.25">
      <c r="C11498" s="26">
        <v>11496</v>
      </c>
    </row>
    <row r="11499" spans="3:3" x14ac:dyDescent="0.25">
      <c r="C11499" s="26">
        <v>11497</v>
      </c>
    </row>
    <row r="11500" spans="3:3" x14ac:dyDescent="0.25">
      <c r="C11500" s="26">
        <v>11498</v>
      </c>
    </row>
    <row r="11501" spans="3:3" x14ac:dyDescent="0.25">
      <c r="C11501" s="26">
        <v>11499</v>
      </c>
    </row>
    <row r="11502" spans="3:3" x14ac:dyDescent="0.25">
      <c r="C11502" s="26">
        <v>11500</v>
      </c>
    </row>
    <row r="11503" spans="3:3" x14ac:dyDescent="0.25">
      <c r="C11503" s="26">
        <v>11501</v>
      </c>
    </row>
    <row r="11504" spans="3:3" x14ac:dyDescent="0.25">
      <c r="C11504" s="26">
        <v>11502</v>
      </c>
    </row>
    <row r="11505" spans="3:3" x14ac:dyDescent="0.25">
      <c r="C11505" s="26">
        <v>11503</v>
      </c>
    </row>
    <row r="11506" spans="3:3" x14ac:dyDescent="0.25">
      <c r="C11506" s="26">
        <v>11504</v>
      </c>
    </row>
    <row r="11507" spans="3:3" x14ac:dyDescent="0.25">
      <c r="C11507" s="26">
        <v>11505</v>
      </c>
    </row>
    <row r="11508" spans="3:3" x14ac:dyDescent="0.25">
      <c r="C11508" s="26">
        <v>11506</v>
      </c>
    </row>
    <row r="11509" spans="3:3" x14ac:dyDescent="0.25">
      <c r="C11509" s="26">
        <v>11507</v>
      </c>
    </row>
    <row r="11510" spans="3:3" x14ac:dyDescent="0.25">
      <c r="C11510" s="26">
        <v>11508</v>
      </c>
    </row>
    <row r="11511" spans="3:3" x14ac:dyDescent="0.25">
      <c r="C11511" s="26">
        <v>11509</v>
      </c>
    </row>
    <row r="11512" spans="3:3" x14ac:dyDescent="0.25">
      <c r="C11512" s="26">
        <v>11510</v>
      </c>
    </row>
    <row r="11513" spans="3:3" x14ac:dyDescent="0.25">
      <c r="C11513" s="26">
        <v>11511</v>
      </c>
    </row>
    <row r="11514" spans="3:3" x14ac:dyDescent="0.25">
      <c r="C11514" s="26">
        <v>11512</v>
      </c>
    </row>
    <row r="11515" spans="3:3" x14ac:dyDescent="0.25">
      <c r="C11515" s="26">
        <v>11513</v>
      </c>
    </row>
    <row r="11516" spans="3:3" x14ac:dyDescent="0.25">
      <c r="C11516" s="26">
        <v>11514</v>
      </c>
    </row>
    <row r="11517" spans="3:3" x14ac:dyDescent="0.25">
      <c r="C11517" s="26">
        <v>11515</v>
      </c>
    </row>
    <row r="11518" spans="3:3" x14ac:dyDescent="0.25">
      <c r="C11518" s="26">
        <v>11516</v>
      </c>
    </row>
    <row r="11519" spans="3:3" x14ac:dyDescent="0.25">
      <c r="C11519" s="26">
        <v>11517</v>
      </c>
    </row>
    <row r="11520" spans="3:3" x14ac:dyDescent="0.25">
      <c r="C11520" s="26">
        <v>11518</v>
      </c>
    </row>
    <row r="11521" spans="3:3" x14ac:dyDescent="0.25">
      <c r="C11521" s="26">
        <v>11519</v>
      </c>
    </row>
    <row r="11522" spans="3:3" x14ac:dyDescent="0.25">
      <c r="C11522" s="26">
        <v>11520</v>
      </c>
    </row>
    <row r="11523" spans="3:3" x14ac:dyDescent="0.25">
      <c r="C11523" s="26">
        <v>11521</v>
      </c>
    </row>
    <row r="11524" spans="3:3" x14ac:dyDescent="0.25">
      <c r="C11524" s="26">
        <v>11522</v>
      </c>
    </row>
    <row r="11525" spans="3:3" x14ac:dyDescent="0.25">
      <c r="C11525" s="26">
        <v>11523</v>
      </c>
    </row>
    <row r="11526" spans="3:3" x14ac:dyDescent="0.25">
      <c r="C11526" s="26">
        <v>11524</v>
      </c>
    </row>
    <row r="11527" spans="3:3" x14ac:dyDescent="0.25">
      <c r="C11527" s="26">
        <v>11525</v>
      </c>
    </row>
    <row r="11528" spans="3:3" x14ac:dyDescent="0.25">
      <c r="C11528" s="26">
        <v>11526</v>
      </c>
    </row>
    <row r="11529" spans="3:3" x14ac:dyDescent="0.25">
      <c r="C11529" s="26">
        <v>11527</v>
      </c>
    </row>
    <row r="11530" spans="3:3" x14ac:dyDescent="0.25">
      <c r="C11530" s="26">
        <v>11528</v>
      </c>
    </row>
    <row r="11531" spans="3:3" x14ac:dyDescent="0.25">
      <c r="C11531" s="26">
        <v>11529</v>
      </c>
    </row>
    <row r="11532" spans="3:3" x14ac:dyDescent="0.25">
      <c r="C11532" s="26">
        <v>11530</v>
      </c>
    </row>
    <row r="11533" spans="3:3" x14ac:dyDescent="0.25">
      <c r="C11533" s="26">
        <v>11531</v>
      </c>
    </row>
    <row r="11534" spans="3:3" x14ac:dyDescent="0.25">
      <c r="C11534" s="26">
        <v>11532</v>
      </c>
    </row>
    <row r="11535" spans="3:3" x14ac:dyDescent="0.25">
      <c r="C11535" s="26">
        <v>11533</v>
      </c>
    </row>
    <row r="11536" spans="3:3" x14ac:dyDescent="0.25">
      <c r="C11536" s="26">
        <v>11534</v>
      </c>
    </row>
    <row r="11537" spans="3:3" x14ac:dyDescent="0.25">
      <c r="C11537" s="26">
        <v>11535</v>
      </c>
    </row>
    <row r="11538" spans="3:3" x14ac:dyDescent="0.25">
      <c r="C11538" s="26">
        <v>11536</v>
      </c>
    </row>
    <row r="11539" spans="3:3" x14ac:dyDescent="0.25">
      <c r="C11539" s="26">
        <v>11537</v>
      </c>
    </row>
    <row r="11540" spans="3:3" x14ac:dyDescent="0.25">
      <c r="C11540" s="26">
        <v>11538</v>
      </c>
    </row>
    <row r="11541" spans="3:3" x14ac:dyDescent="0.25">
      <c r="C11541" s="26">
        <v>11539</v>
      </c>
    </row>
    <row r="11542" spans="3:3" x14ac:dyDescent="0.25">
      <c r="C11542" s="26">
        <v>11540</v>
      </c>
    </row>
    <row r="11543" spans="3:3" x14ac:dyDescent="0.25">
      <c r="C11543" s="26">
        <v>11541</v>
      </c>
    </row>
    <row r="11544" spans="3:3" x14ac:dyDescent="0.25">
      <c r="C11544" s="26">
        <v>11542</v>
      </c>
    </row>
    <row r="11545" spans="3:3" x14ac:dyDescent="0.25">
      <c r="C11545" s="26">
        <v>11543</v>
      </c>
    </row>
    <row r="11546" spans="3:3" x14ac:dyDescent="0.25">
      <c r="C11546" s="26">
        <v>11544</v>
      </c>
    </row>
    <row r="11547" spans="3:3" x14ac:dyDescent="0.25">
      <c r="C11547" s="26">
        <v>11545</v>
      </c>
    </row>
    <row r="11548" spans="3:3" x14ac:dyDescent="0.25">
      <c r="C11548" s="26">
        <v>11546</v>
      </c>
    </row>
    <row r="11549" spans="3:3" x14ac:dyDescent="0.25">
      <c r="C11549" s="26">
        <v>11547</v>
      </c>
    </row>
    <row r="11550" spans="3:3" x14ac:dyDescent="0.25">
      <c r="C11550" s="26">
        <v>11548</v>
      </c>
    </row>
    <row r="11551" spans="3:3" x14ac:dyDescent="0.25">
      <c r="C11551" s="26">
        <v>11549</v>
      </c>
    </row>
    <row r="11552" spans="3:3" x14ac:dyDescent="0.25">
      <c r="C11552" s="26">
        <v>11550</v>
      </c>
    </row>
    <row r="11553" spans="3:3" x14ac:dyDescent="0.25">
      <c r="C11553" s="26">
        <v>11551</v>
      </c>
    </row>
    <row r="11554" spans="3:3" x14ac:dyDescent="0.25">
      <c r="C11554" s="26">
        <v>11552</v>
      </c>
    </row>
    <row r="11555" spans="3:3" x14ac:dyDescent="0.25">
      <c r="C11555" s="26">
        <v>11553</v>
      </c>
    </row>
    <row r="11556" spans="3:3" x14ac:dyDescent="0.25">
      <c r="C11556" s="26">
        <v>11554</v>
      </c>
    </row>
    <row r="11557" spans="3:3" x14ac:dyDescent="0.25">
      <c r="C11557" s="26">
        <v>11555</v>
      </c>
    </row>
    <row r="11558" spans="3:3" x14ac:dyDescent="0.25">
      <c r="C11558" s="26">
        <v>11556</v>
      </c>
    </row>
    <row r="11559" spans="3:3" x14ac:dyDescent="0.25">
      <c r="C11559" s="26">
        <v>11557</v>
      </c>
    </row>
    <row r="11560" spans="3:3" x14ac:dyDescent="0.25">
      <c r="C11560" s="26">
        <v>11558</v>
      </c>
    </row>
    <row r="11561" spans="3:3" x14ac:dyDescent="0.25">
      <c r="C11561" s="26">
        <v>11559</v>
      </c>
    </row>
    <row r="11562" spans="3:3" x14ac:dyDescent="0.25">
      <c r="C11562" s="26">
        <v>11560</v>
      </c>
    </row>
    <row r="11563" spans="3:3" x14ac:dyDescent="0.25">
      <c r="C11563" s="26">
        <v>11561</v>
      </c>
    </row>
    <row r="11564" spans="3:3" x14ac:dyDescent="0.25">
      <c r="C11564" s="26">
        <v>11562</v>
      </c>
    </row>
    <row r="11565" spans="3:3" x14ac:dyDescent="0.25">
      <c r="C11565" s="26">
        <v>11563</v>
      </c>
    </row>
    <row r="11566" spans="3:3" x14ac:dyDescent="0.25">
      <c r="C11566" s="26">
        <v>11564</v>
      </c>
    </row>
    <row r="11567" spans="3:3" x14ac:dyDescent="0.25">
      <c r="C11567" s="26">
        <v>11565</v>
      </c>
    </row>
    <row r="11568" spans="3:3" x14ac:dyDescent="0.25">
      <c r="C11568" s="26">
        <v>11566</v>
      </c>
    </row>
    <row r="11569" spans="3:3" x14ac:dyDescent="0.25">
      <c r="C11569" s="26">
        <v>11567</v>
      </c>
    </row>
    <row r="11570" spans="3:3" x14ac:dyDescent="0.25">
      <c r="C11570" s="26">
        <v>11568</v>
      </c>
    </row>
    <row r="11571" spans="3:3" x14ac:dyDescent="0.25">
      <c r="C11571" s="26">
        <v>11569</v>
      </c>
    </row>
    <row r="11572" spans="3:3" x14ac:dyDescent="0.25">
      <c r="C11572" s="26">
        <v>11570</v>
      </c>
    </row>
    <row r="11573" spans="3:3" x14ac:dyDescent="0.25">
      <c r="C11573" s="26">
        <v>11571</v>
      </c>
    </row>
    <row r="11574" spans="3:3" x14ac:dyDescent="0.25">
      <c r="C11574" s="26">
        <v>11572</v>
      </c>
    </row>
    <row r="11575" spans="3:3" x14ac:dyDescent="0.25">
      <c r="C11575" s="26">
        <v>11573</v>
      </c>
    </row>
    <row r="11576" spans="3:3" x14ac:dyDescent="0.25">
      <c r="C11576" s="26">
        <v>11574</v>
      </c>
    </row>
    <row r="11577" spans="3:3" x14ac:dyDescent="0.25">
      <c r="C11577" s="26">
        <v>11575</v>
      </c>
    </row>
    <row r="11578" spans="3:3" x14ac:dyDescent="0.25">
      <c r="C11578" s="26">
        <v>11576</v>
      </c>
    </row>
    <row r="11579" spans="3:3" x14ac:dyDescent="0.25">
      <c r="C11579" s="26">
        <v>11577</v>
      </c>
    </row>
    <row r="11580" spans="3:3" x14ac:dyDescent="0.25">
      <c r="C11580" s="26">
        <v>11578</v>
      </c>
    </row>
    <row r="11581" spans="3:3" x14ac:dyDescent="0.25">
      <c r="C11581" s="26">
        <v>11579</v>
      </c>
    </row>
    <row r="11582" spans="3:3" x14ac:dyDescent="0.25">
      <c r="C11582" s="26">
        <v>11580</v>
      </c>
    </row>
    <row r="11583" spans="3:3" x14ac:dyDescent="0.25">
      <c r="C11583" s="26">
        <v>11581</v>
      </c>
    </row>
    <row r="11584" spans="3:3" x14ac:dyDescent="0.25">
      <c r="C11584" s="26">
        <v>11582</v>
      </c>
    </row>
    <row r="11585" spans="3:3" x14ac:dyDescent="0.25">
      <c r="C11585" s="26">
        <v>11583</v>
      </c>
    </row>
    <row r="11586" spans="3:3" x14ac:dyDescent="0.25">
      <c r="C11586" s="26">
        <v>11584</v>
      </c>
    </row>
    <row r="11587" spans="3:3" x14ac:dyDescent="0.25">
      <c r="C11587" s="26">
        <v>11585</v>
      </c>
    </row>
    <row r="11588" spans="3:3" x14ac:dyDescent="0.25">
      <c r="C11588" s="26">
        <v>11586</v>
      </c>
    </row>
    <row r="11589" spans="3:3" x14ac:dyDescent="0.25">
      <c r="C11589" s="26">
        <v>11587</v>
      </c>
    </row>
    <row r="11590" spans="3:3" x14ac:dyDescent="0.25">
      <c r="C11590" s="26">
        <v>11588</v>
      </c>
    </row>
    <row r="11591" spans="3:3" x14ac:dyDescent="0.25">
      <c r="C11591" s="26">
        <v>11589</v>
      </c>
    </row>
    <row r="11592" spans="3:3" x14ac:dyDescent="0.25">
      <c r="C11592" s="26">
        <v>11590</v>
      </c>
    </row>
    <row r="11593" spans="3:3" x14ac:dyDescent="0.25">
      <c r="C11593" s="26">
        <v>11591</v>
      </c>
    </row>
    <row r="11594" spans="3:3" x14ac:dyDescent="0.25">
      <c r="C11594" s="26">
        <v>11592</v>
      </c>
    </row>
    <row r="11595" spans="3:3" x14ac:dyDescent="0.25">
      <c r="C11595" s="26">
        <v>11593</v>
      </c>
    </row>
    <row r="11596" spans="3:3" x14ac:dyDescent="0.25">
      <c r="C11596" s="26">
        <v>11594</v>
      </c>
    </row>
    <row r="11597" spans="3:3" x14ac:dyDescent="0.25">
      <c r="C11597" s="26">
        <v>11595</v>
      </c>
    </row>
    <row r="11598" spans="3:3" x14ac:dyDescent="0.25">
      <c r="C11598" s="26">
        <v>11596</v>
      </c>
    </row>
    <row r="11599" spans="3:3" x14ac:dyDescent="0.25">
      <c r="C11599" s="26">
        <v>11597</v>
      </c>
    </row>
    <row r="11600" spans="3:3" x14ac:dyDescent="0.25">
      <c r="C11600" s="26">
        <v>11598</v>
      </c>
    </row>
    <row r="11601" spans="3:3" x14ac:dyDescent="0.25">
      <c r="C11601" s="26">
        <v>11599</v>
      </c>
    </row>
    <row r="11602" spans="3:3" x14ac:dyDescent="0.25">
      <c r="C11602" s="26">
        <v>11600</v>
      </c>
    </row>
    <row r="11603" spans="3:3" x14ac:dyDescent="0.25">
      <c r="C11603" s="26">
        <v>11601</v>
      </c>
    </row>
    <row r="11604" spans="3:3" x14ac:dyDescent="0.25">
      <c r="C11604" s="26">
        <v>11602</v>
      </c>
    </row>
    <row r="11605" spans="3:3" x14ac:dyDescent="0.25">
      <c r="C11605" s="26">
        <v>11603</v>
      </c>
    </row>
    <row r="11606" spans="3:3" x14ac:dyDescent="0.25">
      <c r="C11606" s="26">
        <v>11604</v>
      </c>
    </row>
    <row r="11607" spans="3:3" x14ac:dyDescent="0.25">
      <c r="C11607" s="26">
        <v>11605</v>
      </c>
    </row>
    <row r="11608" spans="3:3" x14ac:dyDescent="0.25">
      <c r="C11608" s="26">
        <v>11606</v>
      </c>
    </row>
    <row r="11609" spans="3:3" x14ac:dyDescent="0.25">
      <c r="C11609" s="26">
        <v>11607</v>
      </c>
    </row>
    <row r="11610" spans="3:3" x14ac:dyDescent="0.25">
      <c r="C11610" s="26">
        <v>11608</v>
      </c>
    </row>
    <row r="11611" spans="3:3" x14ac:dyDescent="0.25">
      <c r="C11611" s="26">
        <v>11609</v>
      </c>
    </row>
    <row r="11612" spans="3:3" x14ac:dyDescent="0.25">
      <c r="C11612" s="26">
        <v>11610</v>
      </c>
    </row>
    <row r="11613" spans="3:3" x14ac:dyDescent="0.25">
      <c r="C11613" s="26">
        <v>11611</v>
      </c>
    </row>
    <row r="11614" spans="3:3" x14ac:dyDescent="0.25">
      <c r="C11614" s="26">
        <v>11612</v>
      </c>
    </row>
    <row r="11615" spans="3:3" x14ac:dyDescent="0.25">
      <c r="C11615" s="26">
        <v>11613</v>
      </c>
    </row>
    <row r="11616" spans="3:3" x14ac:dyDescent="0.25">
      <c r="C11616" s="26">
        <v>11614</v>
      </c>
    </row>
    <row r="11617" spans="3:3" x14ac:dyDescent="0.25">
      <c r="C11617" s="26">
        <v>11615</v>
      </c>
    </row>
    <row r="11618" spans="3:3" x14ac:dyDescent="0.25">
      <c r="C11618" s="26">
        <v>11616</v>
      </c>
    </row>
    <row r="11619" spans="3:3" x14ac:dyDescent="0.25">
      <c r="C11619" s="26">
        <v>11617</v>
      </c>
    </row>
    <row r="11620" spans="3:3" x14ac:dyDescent="0.25">
      <c r="C11620" s="26">
        <v>11618</v>
      </c>
    </row>
    <row r="11621" spans="3:3" x14ac:dyDescent="0.25">
      <c r="C11621" s="26">
        <v>11619</v>
      </c>
    </row>
    <row r="11622" spans="3:3" x14ac:dyDescent="0.25">
      <c r="C11622" s="26">
        <v>11620</v>
      </c>
    </row>
    <row r="11623" spans="3:3" x14ac:dyDescent="0.25">
      <c r="C11623" s="26">
        <v>11621</v>
      </c>
    </row>
    <row r="11624" spans="3:3" x14ac:dyDescent="0.25">
      <c r="C11624" s="26">
        <v>11622</v>
      </c>
    </row>
    <row r="11625" spans="3:3" x14ac:dyDescent="0.25">
      <c r="C11625" s="26">
        <v>11623</v>
      </c>
    </row>
    <row r="11626" spans="3:3" x14ac:dyDescent="0.25">
      <c r="C11626" s="26">
        <v>11624</v>
      </c>
    </row>
    <row r="11627" spans="3:3" x14ac:dyDescent="0.25">
      <c r="C11627" s="26">
        <v>11625</v>
      </c>
    </row>
    <row r="11628" spans="3:3" x14ac:dyDescent="0.25">
      <c r="C11628" s="26">
        <v>11626</v>
      </c>
    </row>
    <row r="11629" spans="3:3" x14ac:dyDescent="0.25">
      <c r="C11629" s="26">
        <v>11627</v>
      </c>
    </row>
    <row r="11630" spans="3:3" x14ac:dyDescent="0.25">
      <c r="C11630" s="26">
        <v>11628</v>
      </c>
    </row>
    <row r="11631" spans="3:3" x14ac:dyDescent="0.25">
      <c r="C11631" s="26">
        <v>11629</v>
      </c>
    </row>
    <row r="11632" spans="3:3" x14ac:dyDescent="0.25">
      <c r="C11632" s="26">
        <v>11630</v>
      </c>
    </row>
    <row r="11633" spans="3:3" x14ac:dyDescent="0.25">
      <c r="C11633" s="26">
        <v>11631</v>
      </c>
    </row>
    <row r="11634" spans="3:3" x14ac:dyDescent="0.25">
      <c r="C11634" s="26">
        <v>11632</v>
      </c>
    </row>
    <row r="11635" spans="3:3" x14ac:dyDescent="0.25">
      <c r="C11635" s="26">
        <v>11633</v>
      </c>
    </row>
    <row r="11636" spans="3:3" x14ac:dyDescent="0.25">
      <c r="C11636" s="26">
        <v>11634</v>
      </c>
    </row>
    <row r="11637" spans="3:3" x14ac:dyDescent="0.25">
      <c r="C11637" s="26">
        <v>11635</v>
      </c>
    </row>
    <row r="11638" spans="3:3" x14ac:dyDescent="0.25">
      <c r="C11638" s="26">
        <v>11636</v>
      </c>
    </row>
    <row r="11639" spans="3:3" x14ac:dyDescent="0.25">
      <c r="C11639" s="26">
        <v>11637</v>
      </c>
    </row>
    <row r="11640" spans="3:3" x14ac:dyDescent="0.25">
      <c r="C11640" s="26">
        <v>11638</v>
      </c>
    </row>
    <row r="11641" spans="3:3" x14ac:dyDescent="0.25">
      <c r="C11641" s="26">
        <v>11639</v>
      </c>
    </row>
    <row r="11642" spans="3:3" x14ac:dyDescent="0.25">
      <c r="C11642" s="26">
        <v>11640</v>
      </c>
    </row>
    <row r="11643" spans="3:3" x14ac:dyDescent="0.25">
      <c r="C11643" s="26">
        <v>11641</v>
      </c>
    </row>
    <row r="11644" spans="3:3" x14ac:dyDescent="0.25">
      <c r="C11644" s="26">
        <v>11642</v>
      </c>
    </row>
    <row r="11645" spans="3:3" x14ac:dyDescent="0.25">
      <c r="C11645" s="26">
        <v>11643</v>
      </c>
    </row>
    <row r="11646" spans="3:3" x14ac:dyDescent="0.25">
      <c r="C11646" s="26">
        <v>11644</v>
      </c>
    </row>
    <row r="11647" spans="3:3" x14ac:dyDescent="0.25">
      <c r="C11647" s="26">
        <v>11645</v>
      </c>
    </row>
    <row r="11648" spans="3:3" x14ac:dyDescent="0.25">
      <c r="C11648" s="26">
        <v>11646</v>
      </c>
    </row>
    <row r="11649" spans="3:3" x14ac:dyDescent="0.25">
      <c r="C11649" s="26">
        <v>11647</v>
      </c>
    </row>
    <row r="11650" spans="3:3" x14ac:dyDescent="0.25">
      <c r="C11650" s="26">
        <v>11648</v>
      </c>
    </row>
    <row r="11651" spans="3:3" x14ac:dyDescent="0.25">
      <c r="C11651" s="26">
        <v>11649</v>
      </c>
    </row>
    <row r="11652" spans="3:3" x14ac:dyDescent="0.25">
      <c r="C11652" s="26">
        <v>11650</v>
      </c>
    </row>
    <row r="11653" spans="3:3" x14ac:dyDescent="0.25">
      <c r="C11653" s="26">
        <v>11651</v>
      </c>
    </row>
    <row r="11654" spans="3:3" x14ac:dyDescent="0.25">
      <c r="C11654" s="26">
        <v>11652</v>
      </c>
    </row>
    <row r="11655" spans="3:3" x14ac:dyDescent="0.25">
      <c r="C11655" s="26">
        <v>11653</v>
      </c>
    </row>
    <row r="11656" spans="3:3" x14ac:dyDescent="0.25">
      <c r="C11656" s="26">
        <v>11654</v>
      </c>
    </row>
    <row r="11657" spans="3:3" x14ac:dyDescent="0.25">
      <c r="C11657" s="26">
        <v>11655</v>
      </c>
    </row>
    <row r="11658" spans="3:3" x14ac:dyDescent="0.25">
      <c r="C11658" s="26">
        <v>11656</v>
      </c>
    </row>
    <row r="11659" spans="3:3" x14ac:dyDescent="0.25">
      <c r="C11659" s="26">
        <v>11657</v>
      </c>
    </row>
    <row r="11660" spans="3:3" x14ac:dyDescent="0.25">
      <c r="C11660" s="26">
        <v>11658</v>
      </c>
    </row>
    <row r="11661" spans="3:3" x14ac:dyDescent="0.25">
      <c r="C11661" s="26">
        <v>11659</v>
      </c>
    </row>
    <row r="11662" spans="3:3" x14ac:dyDescent="0.25">
      <c r="C11662" s="26">
        <v>11660</v>
      </c>
    </row>
    <row r="11663" spans="3:3" x14ac:dyDescent="0.25">
      <c r="C11663" s="26">
        <v>11661</v>
      </c>
    </row>
    <row r="11664" spans="3:3" x14ac:dyDescent="0.25">
      <c r="C11664" s="26">
        <v>11662</v>
      </c>
    </row>
    <row r="11665" spans="3:3" x14ac:dyDescent="0.25">
      <c r="C11665" s="26">
        <v>11663</v>
      </c>
    </row>
    <row r="11666" spans="3:3" x14ac:dyDescent="0.25">
      <c r="C11666" s="26">
        <v>11664</v>
      </c>
    </row>
    <row r="11667" spans="3:3" x14ac:dyDescent="0.25">
      <c r="C11667" s="26">
        <v>11665</v>
      </c>
    </row>
    <row r="11668" spans="3:3" x14ac:dyDescent="0.25">
      <c r="C11668" s="26">
        <v>11666</v>
      </c>
    </row>
    <row r="11669" spans="3:3" x14ac:dyDescent="0.25">
      <c r="C11669" s="26">
        <v>11667</v>
      </c>
    </row>
    <row r="11670" spans="3:3" x14ac:dyDescent="0.25">
      <c r="C11670" s="26">
        <v>11668</v>
      </c>
    </row>
    <row r="11671" spans="3:3" x14ac:dyDescent="0.25">
      <c r="C11671" s="26">
        <v>11669</v>
      </c>
    </row>
    <row r="11672" spans="3:3" x14ac:dyDescent="0.25">
      <c r="C11672" s="26">
        <v>11670</v>
      </c>
    </row>
    <row r="11673" spans="3:3" x14ac:dyDescent="0.25">
      <c r="C11673" s="26">
        <v>11671</v>
      </c>
    </row>
    <row r="11674" spans="3:3" x14ac:dyDescent="0.25">
      <c r="C11674" s="26">
        <v>11672</v>
      </c>
    </row>
    <row r="11675" spans="3:3" x14ac:dyDescent="0.25">
      <c r="C11675" s="26">
        <v>11673</v>
      </c>
    </row>
    <row r="11676" spans="3:3" x14ac:dyDescent="0.25">
      <c r="C11676" s="26">
        <v>11674</v>
      </c>
    </row>
    <row r="11677" spans="3:3" x14ac:dyDescent="0.25">
      <c r="C11677" s="26">
        <v>11675</v>
      </c>
    </row>
    <row r="11678" spans="3:3" x14ac:dyDescent="0.25">
      <c r="C11678" s="26">
        <v>11676</v>
      </c>
    </row>
    <row r="11679" spans="3:3" x14ac:dyDescent="0.25">
      <c r="C11679" s="26">
        <v>11677</v>
      </c>
    </row>
    <row r="11680" spans="3:3" x14ac:dyDescent="0.25">
      <c r="C11680" s="26">
        <v>11678</v>
      </c>
    </row>
    <row r="11681" spans="3:3" x14ac:dyDescent="0.25">
      <c r="C11681" s="26">
        <v>11679</v>
      </c>
    </row>
    <row r="11682" spans="3:3" x14ac:dyDescent="0.25">
      <c r="C11682" s="26">
        <v>11680</v>
      </c>
    </row>
    <row r="11683" spans="3:3" x14ac:dyDescent="0.25">
      <c r="C11683" s="26">
        <v>11681</v>
      </c>
    </row>
    <row r="11684" spans="3:3" x14ac:dyDescent="0.25">
      <c r="C11684" s="26">
        <v>11682</v>
      </c>
    </row>
    <row r="11685" spans="3:3" x14ac:dyDescent="0.25">
      <c r="C11685" s="26">
        <v>11683</v>
      </c>
    </row>
    <row r="11686" spans="3:3" x14ac:dyDescent="0.25">
      <c r="C11686" s="26">
        <v>11684</v>
      </c>
    </row>
    <row r="11687" spans="3:3" x14ac:dyDescent="0.25">
      <c r="C11687" s="26">
        <v>11685</v>
      </c>
    </row>
    <row r="11688" spans="3:3" x14ac:dyDescent="0.25">
      <c r="C11688" s="26">
        <v>11686</v>
      </c>
    </row>
    <row r="11689" spans="3:3" x14ac:dyDescent="0.25">
      <c r="C11689" s="26">
        <v>11687</v>
      </c>
    </row>
    <row r="11690" spans="3:3" x14ac:dyDescent="0.25">
      <c r="C11690" s="26">
        <v>11688</v>
      </c>
    </row>
    <row r="11691" spans="3:3" x14ac:dyDescent="0.25">
      <c r="C11691" s="26">
        <v>11689</v>
      </c>
    </row>
    <row r="11692" spans="3:3" x14ac:dyDescent="0.25">
      <c r="C11692" s="26">
        <v>11690</v>
      </c>
    </row>
    <row r="11693" spans="3:3" x14ac:dyDescent="0.25">
      <c r="C11693" s="26">
        <v>11691</v>
      </c>
    </row>
    <row r="11694" spans="3:3" x14ac:dyDescent="0.25">
      <c r="C11694" s="26">
        <v>11692</v>
      </c>
    </row>
    <row r="11695" spans="3:3" x14ac:dyDescent="0.25">
      <c r="C11695" s="26">
        <v>11693</v>
      </c>
    </row>
    <row r="11696" spans="3:3" x14ac:dyDescent="0.25">
      <c r="C11696" s="26">
        <v>11694</v>
      </c>
    </row>
    <row r="11697" spans="3:3" x14ac:dyDescent="0.25">
      <c r="C11697" s="26">
        <v>11695</v>
      </c>
    </row>
    <row r="11698" spans="3:3" x14ac:dyDescent="0.25">
      <c r="C11698" s="26">
        <v>11696</v>
      </c>
    </row>
    <row r="11699" spans="3:3" x14ac:dyDescent="0.25">
      <c r="C11699" s="26">
        <v>11697</v>
      </c>
    </row>
    <row r="11700" spans="3:3" x14ac:dyDescent="0.25">
      <c r="C11700" s="26">
        <v>11698</v>
      </c>
    </row>
    <row r="11701" spans="3:3" x14ac:dyDescent="0.25">
      <c r="C11701" s="26">
        <v>11699</v>
      </c>
    </row>
    <row r="11702" spans="3:3" x14ac:dyDescent="0.25">
      <c r="C11702" s="26">
        <v>11700</v>
      </c>
    </row>
    <row r="11703" spans="3:3" x14ac:dyDescent="0.25">
      <c r="C11703" s="26">
        <v>11701</v>
      </c>
    </row>
    <row r="11704" spans="3:3" x14ac:dyDescent="0.25">
      <c r="C11704" s="26">
        <v>11702</v>
      </c>
    </row>
    <row r="11705" spans="3:3" x14ac:dyDescent="0.25">
      <c r="C11705" s="26">
        <v>11703</v>
      </c>
    </row>
    <row r="11706" spans="3:3" x14ac:dyDescent="0.25">
      <c r="C11706" s="26">
        <v>11704</v>
      </c>
    </row>
    <row r="11707" spans="3:3" x14ac:dyDescent="0.25">
      <c r="C11707" s="26">
        <v>11705</v>
      </c>
    </row>
    <row r="11708" spans="3:3" x14ac:dyDescent="0.25">
      <c r="C11708" s="26">
        <v>11706</v>
      </c>
    </row>
    <row r="11709" spans="3:3" x14ac:dyDescent="0.25">
      <c r="C11709" s="26">
        <v>11707</v>
      </c>
    </row>
    <row r="11710" spans="3:3" x14ac:dyDescent="0.25">
      <c r="C11710" s="26">
        <v>11708</v>
      </c>
    </row>
    <row r="11711" spans="3:3" x14ac:dyDescent="0.25">
      <c r="C11711" s="26">
        <v>11709</v>
      </c>
    </row>
    <row r="11712" spans="3:3" x14ac:dyDescent="0.25">
      <c r="C11712" s="26">
        <v>11710</v>
      </c>
    </row>
    <row r="11713" spans="3:3" x14ac:dyDescent="0.25">
      <c r="C11713" s="26">
        <v>11711</v>
      </c>
    </row>
    <row r="11714" spans="3:3" x14ac:dyDescent="0.25">
      <c r="C11714" s="26">
        <v>11712</v>
      </c>
    </row>
    <row r="11715" spans="3:3" x14ac:dyDescent="0.25">
      <c r="C11715" s="26">
        <v>11713</v>
      </c>
    </row>
    <row r="11716" spans="3:3" x14ac:dyDescent="0.25">
      <c r="C11716" s="26">
        <v>11714</v>
      </c>
    </row>
    <row r="11717" spans="3:3" x14ac:dyDescent="0.25">
      <c r="C11717" s="26">
        <v>11715</v>
      </c>
    </row>
    <row r="11718" spans="3:3" x14ac:dyDescent="0.25">
      <c r="C11718" s="26">
        <v>11716</v>
      </c>
    </row>
    <row r="11719" spans="3:3" x14ac:dyDescent="0.25">
      <c r="C11719" s="26">
        <v>11717</v>
      </c>
    </row>
    <row r="11720" spans="3:3" x14ac:dyDescent="0.25">
      <c r="C11720" s="26">
        <v>11718</v>
      </c>
    </row>
    <row r="11721" spans="3:3" x14ac:dyDescent="0.25">
      <c r="C11721" s="26">
        <v>11719</v>
      </c>
    </row>
    <row r="11722" spans="3:3" x14ac:dyDescent="0.25">
      <c r="C11722" s="26">
        <v>11720</v>
      </c>
    </row>
    <row r="11723" spans="3:3" x14ac:dyDescent="0.25">
      <c r="C11723" s="26">
        <v>11721</v>
      </c>
    </row>
    <row r="11724" spans="3:3" x14ac:dyDescent="0.25">
      <c r="C11724" s="26">
        <v>11722</v>
      </c>
    </row>
    <row r="11725" spans="3:3" x14ac:dyDescent="0.25">
      <c r="C11725" s="26">
        <v>11723</v>
      </c>
    </row>
    <row r="11726" spans="3:3" x14ac:dyDescent="0.25">
      <c r="C11726" s="26">
        <v>11724</v>
      </c>
    </row>
    <row r="11727" spans="3:3" x14ac:dyDescent="0.25">
      <c r="C11727" s="26">
        <v>11725</v>
      </c>
    </row>
    <row r="11728" spans="3:3" x14ac:dyDescent="0.25">
      <c r="C11728" s="26">
        <v>11726</v>
      </c>
    </row>
    <row r="11729" spans="3:3" x14ac:dyDescent="0.25">
      <c r="C11729" s="26">
        <v>11727</v>
      </c>
    </row>
    <row r="11730" spans="3:3" x14ac:dyDescent="0.25">
      <c r="C11730" s="26">
        <v>11728</v>
      </c>
    </row>
    <row r="11731" spans="3:3" x14ac:dyDescent="0.25">
      <c r="C11731" s="26">
        <v>11729</v>
      </c>
    </row>
    <row r="11732" spans="3:3" x14ac:dyDescent="0.25">
      <c r="C11732" s="26">
        <v>11730</v>
      </c>
    </row>
    <row r="11733" spans="3:3" x14ac:dyDescent="0.25">
      <c r="C11733" s="26">
        <v>11731</v>
      </c>
    </row>
    <row r="11734" spans="3:3" x14ac:dyDescent="0.25">
      <c r="C11734" s="26">
        <v>11732</v>
      </c>
    </row>
    <row r="11735" spans="3:3" x14ac:dyDescent="0.25">
      <c r="C11735" s="26">
        <v>11733</v>
      </c>
    </row>
    <row r="11736" spans="3:3" x14ac:dyDescent="0.25">
      <c r="C11736" s="26">
        <v>11734</v>
      </c>
    </row>
    <row r="11737" spans="3:3" x14ac:dyDescent="0.25">
      <c r="C11737" s="26">
        <v>11735</v>
      </c>
    </row>
    <row r="11738" spans="3:3" x14ac:dyDescent="0.25">
      <c r="C11738" s="26">
        <v>11736</v>
      </c>
    </row>
    <row r="11739" spans="3:3" x14ac:dyDescent="0.25">
      <c r="C11739" s="26">
        <v>11737</v>
      </c>
    </row>
    <row r="11740" spans="3:3" x14ac:dyDescent="0.25">
      <c r="C11740" s="26">
        <v>11738</v>
      </c>
    </row>
    <row r="11741" spans="3:3" x14ac:dyDescent="0.25">
      <c r="C11741" s="26">
        <v>11739</v>
      </c>
    </row>
    <row r="11742" spans="3:3" x14ac:dyDescent="0.25">
      <c r="C11742" s="26">
        <v>11740</v>
      </c>
    </row>
    <row r="11743" spans="3:3" x14ac:dyDescent="0.25">
      <c r="C11743" s="26">
        <v>11741</v>
      </c>
    </row>
    <row r="11744" spans="3:3" x14ac:dyDescent="0.25">
      <c r="C11744" s="26">
        <v>11742</v>
      </c>
    </row>
    <row r="11745" spans="3:3" x14ac:dyDescent="0.25">
      <c r="C11745" s="26">
        <v>11743</v>
      </c>
    </row>
    <row r="11746" spans="3:3" x14ac:dyDescent="0.25">
      <c r="C11746" s="26">
        <v>11744</v>
      </c>
    </row>
    <row r="11747" spans="3:3" x14ac:dyDescent="0.25">
      <c r="C11747" s="26">
        <v>11745</v>
      </c>
    </row>
    <row r="11748" spans="3:3" x14ac:dyDescent="0.25">
      <c r="C11748" s="26">
        <v>11746</v>
      </c>
    </row>
    <row r="11749" spans="3:3" x14ac:dyDescent="0.25">
      <c r="C11749" s="26">
        <v>11747</v>
      </c>
    </row>
    <row r="11750" spans="3:3" x14ac:dyDescent="0.25">
      <c r="C11750" s="26">
        <v>11748</v>
      </c>
    </row>
    <row r="11751" spans="3:3" x14ac:dyDescent="0.25">
      <c r="C11751" s="26">
        <v>11749</v>
      </c>
    </row>
    <row r="11752" spans="3:3" x14ac:dyDescent="0.25">
      <c r="C11752" s="26">
        <v>11750</v>
      </c>
    </row>
    <row r="11753" spans="3:3" x14ac:dyDescent="0.25">
      <c r="C11753" s="26">
        <v>11751</v>
      </c>
    </row>
    <row r="11754" spans="3:3" x14ac:dyDescent="0.25">
      <c r="C11754" s="26">
        <v>11752</v>
      </c>
    </row>
    <row r="11755" spans="3:3" x14ac:dyDescent="0.25">
      <c r="C11755" s="26">
        <v>11753</v>
      </c>
    </row>
    <row r="11756" spans="3:3" x14ac:dyDescent="0.25">
      <c r="C11756" s="26">
        <v>11754</v>
      </c>
    </row>
    <row r="11757" spans="3:3" x14ac:dyDescent="0.25">
      <c r="C11757" s="26">
        <v>11755</v>
      </c>
    </row>
    <row r="11758" spans="3:3" x14ac:dyDescent="0.25">
      <c r="C11758" s="26">
        <v>11756</v>
      </c>
    </row>
    <row r="11759" spans="3:3" x14ac:dyDescent="0.25">
      <c r="C11759" s="26">
        <v>11757</v>
      </c>
    </row>
    <row r="11760" spans="3:3" x14ac:dyDescent="0.25">
      <c r="C11760" s="26">
        <v>11758</v>
      </c>
    </row>
    <row r="11761" spans="3:3" x14ac:dyDescent="0.25">
      <c r="C11761" s="26">
        <v>11759</v>
      </c>
    </row>
    <row r="11762" spans="3:3" x14ac:dyDescent="0.25">
      <c r="C11762" s="26">
        <v>11760</v>
      </c>
    </row>
    <row r="11763" spans="3:3" x14ac:dyDescent="0.25">
      <c r="C11763" s="26">
        <v>11761</v>
      </c>
    </row>
    <row r="11764" spans="3:3" x14ac:dyDescent="0.25">
      <c r="C11764" s="26">
        <v>11762</v>
      </c>
    </row>
    <row r="11765" spans="3:3" x14ac:dyDescent="0.25">
      <c r="C11765" s="26">
        <v>11763</v>
      </c>
    </row>
    <row r="11766" spans="3:3" x14ac:dyDescent="0.25">
      <c r="C11766" s="26">
        <v>11764</v>
      </c>
    </row>
    <row r="11767" spans="3:3" x14ac:dyDescent="0.25">
      <c r="C11767" s="26">
        <v>11765</v>
      </c>
    </row>
    <row r="11768" spans="3:3" x14ac:dyDescent="0.25">
      <c r="C11768" s="26">
        <v>11766</v>
      </c>
    </row>
    <row r="11769" spans="3:3" x14ac:dyDescent="0.25">
      <c r="C11769" s="26">
        <v>11767</v>
      </c>
    </row>
    <row r="11770" spans="3:3" x14ac:dyDescent="0.25">
      <c r="C11770" s="26">
        <v>11768</v>
      </c>
    </row>
    <row r="11771" spans="3:3" x14ac:dyDescent="0.25">
      <c r="C11771" s="26">
        <v>11769</v>
      </c>
    </row>
    <row r="11772" spans="3:3" x14ac:dyDescent="0.25">
      <c r="C11772" s="26">
        <v>11770</v>
      </c>
    </row>
    <row r="11773" spans="3:3" x14ac:dyDescent="0.25">
      <c r="C11773" s="26">
        <v>11771</v>
      </c>
    </row>
    <row r="11774" spans="3:3" x14ac:dyDescent="0.25">
      <c r="C11774" s="26">
        <v>11772</v>
      </c>
    </row>
    <row r="11775" spans="3:3" x14ac:dyDescent="0.25">
      <c r="C11775" s="26">
        <v>11773</v>
      </c>
    </row>
    <row r="11776" spans="3:3" x14ac:dyDescent="0.25">
      <c r="C11776" s="26">
        <v>11774</v>
      </c>
    </row>
    <row r="11777" spans="3:3" x14ac:dyDescent="0.25">
      <c r="C11777" s="26">
        <v>11775</v>
      </c>
    </row>
    <row r="11778" spans="3:3" x14ac:dyDescent="0.25">
      <c r="C11778" s="26">
        <v>11776</v>
      </c>
    </row>
    <row r="11779" spans="3:3" x14ac:dyDescent="0.25">
      <c r="C11779" s="26">
        <v>11777</v>
      </c>
    </row>
    <row r="11780" spans="3:3" x14ac:dyDescent="0.25">
      <c r="C11780" s="26">
        <v>11778</v>
      </c>
    </row>
    <row r="11781" spans="3:3" x14ac:dyDescent="0.25">
      <c r="C11781" s="26">
        <v>11779</v>
      </c>
    </row>
    <row r="11782" spans="3:3" x14ac:dyDescent="0.25">
      <c r="C11782" s="26">
        <v>11780</v>
      </c>
    </row>
    <row r="11783" spans="3:3" x14ac:dyDescent="0.25">
      <c r="C11783" s="26">
        <v>11781</v>
      </c>
    </row>
    <row r="11784" spans="3:3" x14ac:dyDescent="0.25">
      <c r="C11784" s="26">
        <v>11782</v>
      </c>
    </row>
    <row r="11785" spans="3:3" x14ac:dyDescent="0.25">
      <c r="C11785" s="26">
        <v>11783</v>
      </c>
    </row>
    <row r="11786" spans="3:3" x14ac:dyDescent="0.25">
      <c r="C11786" s="26">
        <v>11784</v>
      </c>
    </row>
    <row r="11787" spans="3:3" x14ac:dyDescent="0.25">
      <c r="C11787" s="26">
        <v>11785</v>
      </c>
    </row>
    <row r="11788" spans="3:3" x14ac:dyDescent="0.25">
      <c r="C11788" s="26">
        <v>11786</v>
      </c>
    </row>
    <row r="11789" spans="3:3" x14ac:dyDescent="0.25">
      <c r="C11789" s="26">
        <v>11787</v>
      </c>
    </row>
    <row r="11790" spans="3:3" x14ac:dyDescent="0.25">
      <c r="C11790" s="26">
        <v>11788</v>
      </c>
    </row>
    <row r="11791" spans="3:3" x14ac:dyDescent="0.25">
      <c r="C11791" s="26">
        <v>11789</v>
      </c>
    </row>
    <row r="11792" spans="3:3" x14ac:dyDescent="0.25">
      <c r="C11792" s="26">
        <v>11790</v>
      </c>
    </row>
    <row r="11793" spans="3:3" x14ac:dyDescent="0.25">
      <c r="C11793" s="26">
        <v>11791</v>
      </c>
    </row>
    <row r="11794" spans="3:3" x14ac:dyDescent="0.25">
      <c r="C11794" s="26">
        <v>11792</v>
      </c>
    </row>
    <row r="11795" spans="3:3" x14ac:dyDescent="0.25">
      <c r="C11795" s="26">
        <v>11793</v>
      </c>
    </row>
    <row r="11796" spans="3:3" x14ac:dyDescent="0.25">
      <c r="C11796" s="26">
        <v>11794</v>
      </c>
    </row>
    <row r="11797" spans="3:3" x14ac:dyDescent="0.25">
      <c r="C11797" s="26">
        <v>11795</v>
      </c>
    </row>
    <row r="11798" spans="3:3" x14ac:dyDescent="0.25">
      <c r="C11798" s="26">
        <v>11796</v>
      </c>
    </row>
    <row r="11799" spans="3:3" x14ac:dyDescent="0.25">
      <c r="C11799" s="26">
        <v>11797</v>
      </c>
    </row>
    <row r="11800" spans="3:3" x14ac:dyDescent="0.25">
      <c r="C11800" s="26">
        <v>11798</v>
      </c>
    </row>
    <row r="11801" spans="3:3" x14ac:dyDescent="0.25">
      <c r="C11801" s="26">
        <v>11799</v>
      </c>
    </row>
    <row r="11802" spans="3:3" x14ac:dyDescent="0.25">
      <c r="C11802" s="26">
        <v>11800</v>
      </c>
    </row>
    <row r="11803" spans="3:3" x14ac:dyDescent="0.25">
      <c r="C11803" s="26">
        <v>11801</v>
      </c>
    </row>
    <row r="11804" spans="3:3" x14ac:dyDescent="0.25">
      <c r="C11804" s="26">
        <v>11802</v>
      </c>
    </row>
    <row r="11805" spans="3:3" x14ac:dyDescent="0.25">
      <c r="C11805" s="26">
        <v>11803</v>
      </c>
    </row>
    <row r="11806" spans="3:3" x14ac:dyDescent="0.25">
      <c r="C11806" s="26">
        <v>11804</v>
      </c>
    </row>
    <row r="11807" spans="3:3" x14ac:dyDescent="0.25">
      <c r="C11807" s="26">
        <v>11805</v>
      </c>
    </row>
    <row r="11808" spans="3:3" x14ac:dyDescent="0.25">
      <c r="C11808" s="26">
        <v>11806</v>
      </c>
    </row>
    <row r="11809" spans="3:3" x14ac:dyDescent="0.25">
      <c r="C11809" s="26">
        <v>11807</v>
      </c>
    </row>
    <row r="11810" spans="3:3" x14ac:dyDescent="0.25">
      <c r="C11810" s="26">
        <v>11808</v>
      </c>
    </row>
    <row r="11811" spans="3:3" x14ac:dyDescent="0.25">
      <c r="C11811" s="26">
        <v>11809</v>
      </c>
    </row>
    <row r="11812" spans="3:3" x14ac:dyDescent="0.25">
      <c r="C11812" s="26">
        <v>11810</v>
      </c>
    </row>
    <row r="11813" spans="3:3" x14ac:dyDescent="0.25">
      <c r="C11813" s="26">
        <v>11811</v>
      </c>
    </row>
    <row r="11814" spans="3:3" x14ac:dyDescent="0.25">
      <c r="C11814" s="26">
        <v>11812</v>
      </c>
    </row>
    <row r="11815" spans="3:3" x14ac:dyDescent="0.25">
      <c r="C11815" s="26">
        <v>11813</v>
      </c>
    </row>
    <row r="11816" spans="3:3" x14ac:dyDescent="0.25">
      <c r="C11816" s="26">
        <v>11814</v>
      </c>
    </row>
    <row r="11817" spans="3:3" x14ac:dyDescent="0.25">
      <c r="C11817" s="26">
        <v>11815</v>
      </c>
    </row>
    <row r="11818" spans="3:3" x14ac:dyDescent="0.25">
      <c r="C11818" s="26">
        <v>11816</v>
      </c>
    </row>
    <row r="11819" spans="3:3" x14ac:dyDescent="0.25">
      <c r="C11819" s="26">
        <v>11817</v>
      </c>
    </row>
    <row r="11820" spans="3:3" x14ac:dyDescent="0.25">
      <c r="C11820" s="26">
        <v>11818</v>
      </c>
    </row>
    <row r="11821" spans="3:3" x14ac:dyDescent="0.25">
      <c r="C11821" s="26">
        <v>11819</v>
      </c>
    </row>
    <row r="11822" spans="3:3" x14ac:dyDescent="0.25">
      <c r="C11822" s="26">
        <v>11820</v>
      </c>
    </row>
    <row r="11823" spans="3:3" x14ac:dyDescent="0.25">
      <c r="C11823" s="26">
        <v>11821</v>
      </c>
    </row>
    <row r="11824" spans="3:3" x14ac:dyDescent="0.25">
      <c r="C11824" s="26">
        <v>11822</v>
      </c>
    </row>
    <row r="11825" spans="3:3" x14ac:dyDescent="0.25">
      <c r="C11825" s="26">
        <v>11823</v>
      </c>
    </row>
    <row r="11826" spans="3:3" x14ac:dyDescent="0.25">
      <c r="C11826" s="26">
        <v>11824</v>
      </c>
    </row>
    <row r="11827" spans="3:3" x14ac:dyDescent="0.25">
      <c r="C11827" s="26">
        <v>11825</v>
      </c>
    </row>
    <row r="11828" spans="3:3" x14ac:dyDescent="0.25">
      <c r="C11828" s="26">
        <v>11826</v>
      </c>
    </row>
    <row r="11829" spans="3:3" x14ac:dyDescent="0.25">
      <c r="C11829" s="26">
        <v>11827</v>
      </c>
    </row>
    <row r="11830" spans="3:3" x14ac:dyDescent="0.25">
      <c r="C11830" s="26">
        <v>11828</v>
      </c>
    </row>
    <row r="11831" spans="3:3" x14ac:dyDescent="0.25">
      <c r="C11831" s="26">
        <v>11829</v>
      </c>
    </row>
    <row r="11832" spans="3:3" x14ac:dyDescent="0.25">
      <c r="C11832" s="26">
        <v>11830</v>
      </c>
    </row>
    <row r="11833" spans="3:3" x14ac:dyDescent="0.25">
      <c r="C11833" s="26">
        <v>11831</v>
      </c>
    </row>
    <row r="11834" spans="3:3" x14ac:dyDescent="0.25">
      <c r="C11834" s="26">
        <v>11832</v>
      </c>
    </row>
    <row r="11835" spans="3:3" x14ac:dyDescent="0.25">
      <c r="C11835" s="26">
        <v>11833</v>
      </c>
    </row>
    <row r="11836" spans="3:3" x14ac:dyDescent="0.25">
      <c r="C11836" s="26">
        <v>11834</v>
      </c>
    </row>
    <row r="11837" spans="3:3" x14ac:dyDescent="0.25">
      <c r="C11837" s="26">
        <v>11835</v>
      </c>
    </row>
    <row r="11838" spans="3:3" x14ac:dyDescent="0.25">
      <c r="C11838" s="26">
        <v>11836</v>
      </c>
    </row>
    <row r="11839" spans="3:3" x14ac:dyDescent="0.25">
      <c r="C11839" s="26">
        <v>11837</v>
      </c>
    </row>
    <row r="11840" spans="3:3" x14ac:dyDescent="0.25">
      <c r="C11840" s="26">
        <v>11838</v>
      </c>
    </row>
    <row r="11841" spans="3:3" x14ac:dyDescent="0.25">
      <c r="C11841" s="26">
        <v>11839</v>
      </c>
    </row>
    <row r="11842" spans="3:3" x14ac:dyDescent="0.25">
      <c r="C11842" s="26">
        <v>11840</v>
      </c>
    </row>
    <row r="11843" spans="3:3" x14ac:dyDescent="0.25">
      <c r="C11843" s="26">
        <v>11841</v>
      </c>
    </row>
    <row r="11844" spans="3:3" x14ac:dyDescent="0.25">
      <c r="C11844" s="26">
        <v>11842</v>
      </c>
    </row>
    <row r="11845" spans="3:3" x14ac:dyDescent="0.25">
      <c r="C11845" s="26">
        <v>11843</v>
      </c>
    </row>
    <row r="11846" spans="3:3" x14ac:dyDescent="0.25">
      <c r="C11846" s="26">
        <v>11844</v>
      </c>
    </row>
    <row r="11847" spans="3:3" x14ac:dyDescent="0.25">
      <c r="C11847" s="26">
        <v>11845</v>
      </c>
    </row>
    <row r="11848" spans="3:3" x14ac:dyDescent="0.25">
      <c r="C11848" s="26">
        <v>11846</v>
      </c>
    </row>
    <row r="11849" spans="3:3" x14ac:dyDescent="0.25">
      <c r="C11849" s="26">
        <v>11847</v>
      </c>
    </row>
    <row r="11850" spans="3:3" x14ac:dyDescent="0.25">
      <c r="C11850" s="26">
        <v>11848</v>
      </c>
    </row>
    <row r="11851" spans="3:3" x14ac:dyDescent="0.25">
      <c r="C11851" s="26">
        <v>11849</v>
      </c>
    </row>
    <row r="11852" spans="3:3" x14ac:dyDescent="0.25">
      <c r="C11852" s="26">
        <v>11850</v>
      </c>
    </row>
    <row r="11853" spans="3:3" x14ac:dyDescent="0.25">
      <c r="C11853" s="26">
        <v>11851</v>
      </c>
    </row>
    <row r="11854" spans="3:3" x14ac:dyDescent="0.25">
      <c r="C11854" s="26">
        <v>11852</v>
      </c>
    </row>
    <row r="11855" spans="3:3" x14ac:dyDescent="0.25">
      <c r="C11855" s="26">
        <v>11853</v>
      </c>
    </row>
    <row r="11856" spans="3:3" x14ac:dyDescent="0.25">
      <c r="C11856" s="26">
        <v>11854</v>
      </c>
    </row>
    <row r="11857" spans="3:3" x14ac:dyDescent="0.25">
      <c r="C11857" s="26">
        <v>11855</v>
      </c>
    </row>
    <row r="11858" spans="3:3" x14ac:dyDescent="0.25">
      <c r="C11858" s="26">
        <v>11856</v>
      </c>
    </row>
    <row r="11859" spans="3:3" x14ac:dyDescent="0.25">
      <c r="C11859" s="26">
        <v>11857</v>
      </c>
    </row>
    <row r="11860" spans="3:3" x14ac:dyDescent="0.25">
      <c r="C11860" s="26">
        <v>11858</v>
      </c>
    </row>
    <row r="11861" spans="3:3" x14ac:dyDescent="0.25">
      <c r="C11861" s="26">
        <v>11859</v>
      </c>
    </row>
    <row r="11862" spans="3:3" x14ac:dyDescent="0.25">
      <c r="C11862" s="26">
        <v>11860</v>
      </c>
    </row>
    <row r="11863" spans="3:3" x14ac:dyDescent="0.25">
      <c r="C11863" s="26">
        <v>11861</v>
      </c>
    </row>
    <row r="11864" spans="3:3" x14ac:dyDescent="0.25">
      <c r="C11864" s="26">
        <v>11862</v>
      </c>
    </row>
    <row r="11865" spans="3:3" x14ac:dyDescent="0.25">
      <c r="C11865" s="26">
        <v>11863</v>
      </c>
    </row>
    <row r="11866" spans="3:3" x14ac:dyDescent="0.25">
      <c r="C11866" s="26">
        <v>11864</v>
      </c>
    </row>
    <row r="11867" spans="3:3" x14ac:dyDescent="0.25">
      <c r="C11867" s="26">
        <v>11865</v>
      </c>
    </row>
    <row r="11868" spans="3:3" x14ac:dyDescent="0.25">
      <c r="C11868" s="26">
        <v>11866</v>
      </c>
    </row>
    <row r="11869" spans="3:3" x14ac:dyDescent="0.25">
      <c r="C11869" s="26">
        <v>11867</v>
      </c>
    </row>
    <row r="11870" spans="3:3" x14ac:dyDescent="0.25">
      <c r="C11870" s="26">
        <v>11868</v>
      </c>
    </row>
    <row r="11871" spans="3:3" x14ac:dyDescent="0.25">
      <c r="C11871" s="26">
        <v>11869</v>
      </c>
    </row>
    <row r="11872" spans="3:3" x14ac:dyDescent="0.25">
      <c r="C11872" s="26">
        <v>11870</v>
      </c>
    </row>
    <row r="11873" spans="3:3" x14ac:dyDescent="0.25">
      <c r="C11873" s="26">
        <v>11871</v>
      </c>
    </row>
    <row r="11874" spans="3:3" x14ac:dyDescent="0.25">
      <c r="C11874" s="26">
        <v>11872</v>
      </c>
    </row>
    <row r="11875" spans="3:3" x14ac:dyDescent="0.25">
      <c r="C11875" s="26">
        <v>11873</v>
      </c>
    </row>
    <row r="11876" spans="3:3" x14ac:dyDescent="0.25">
      <c r="C11876" s="26">
        <v>11874</v>
      </c>
    </row>
    <row r="11877" spans="3:3" x14ac:dyDescent="0.25">
      <c r="C11877" s="26">
        <v>11875</v>
      </c>
    </row>
    <row r="11878" spans="3:3" x14ac:dyDescent="0.25">
      <c r="C11878" s="26">
        <v>11876</v>
      </c>
    </row>
    <row r="11879" spans="3:3" x14ac:dyDescent="0.25">
      <c r="C11879" s="26">
        <v>11877</v>
      </c>
    </row>
    <row r="11880" spans="3:3" x14ac:dyDescent="0.25">
      <c r="C11880" s="26">
        <v>11878</v>
      </c>
    </row>
    <row r="11881" spans="3:3" x14ac:dyDescent="0.25">
      <c r="C11881" s="26">
        <v>11879</v>
      </c>
    </row>
    <row r="11882" spans="3:3" x14ac:dyDescent="0.25">
      <c r="C11882" s="26">
        <v>11880</v>
      </c>
    </row>
    <row r="11883" spans="3:3" x14ac:dyDescent="0.25">
      <c r="C11883" s="26">
        <v>11881</v>
      </c>
    </row>
    <row r="11884" spans="3:3" x14ac:dyDescent="0.25">
      <c r="C11884" s="26">
        <v>11882</v>
      </c>
    </row>
    <row r="11885" spans="3:3" x14ac:dyDescent="0.25">
      <c r="C11885" s="26">
        <v>11883</v>
      </c>
    </row>
    <row r="11886" spans="3:3" x14ac:dyDescent="0.25">
      <c r="C11886" s="26">
        <v>11884</v>
      </c>
    </row>
    <row r="11887" spans="3:3" x14ac:dyDescent="0.25">
      <c r="C11887" s="26">
        <v>11885</v>
      </c>
    </row>
    <row r="11888" spans="3:3" x14ac:dyDescent="0.25">
      <c r="C11888" s="26">
        <v>11886</v>
      </c>
    </row>
    <row r="11889" spans="3:3" x14ac:dyDescent="0.25">
      <c r="C11889" s="26">
        <v>11887</v>
      </c>
    </row>
    <row r="11890" spans="3:3" x14ac:dyDescent="0.25">
      <c r="C11890" s="26">
        <v>11888</v>
      </c>
    </row>
    <row r="11891" spans="3:3" x14ac:dyDescent="0.25">
      <c r="C11891" s="26">
        <v>11889</v>
      </c>
    </row>
    <row r="11892" spans="3:3" x14ac:dyDescent="0.25">
      <c r="C11892" s="26">
        <v>11890</v>
      </c>
    </row>
    <row r="11893" spans="3:3" x14ac:dyDescent="0.25">
      <c r="C11893" s="26">
        <v>11891</v>
      </c>
    </row>
    <row r="11894" spans="3:3" x14ac:dyDescent="0.25">
      <c r="C11894" s="26">
        <v>11892</v>
      </c>
    </row>
    <row r="11895" spans="3:3" x14ac:dyDescent="0.25">
      <c r="C11895" s="26">
        <v>11893</v>
      </c>
    </row>
    <row r="11896" spans="3:3" x14ac:dyDescent="0.25">
      <c r="C11896" s="26">
        <v>11894</v>
      </c>
    </row>
    <row r="11897" spans="3:3" x14ac:dyDescent="0.25">
      <c r="C11897" s="26">
        <v>11895</v>
      </c>
    </row>
    <row r="11898" spans="3:3" x14ac:dyDescent="0.25">
      <c r="C11898" s="26">
        <v>11896</v>
      </c>
    </row>
    <row r="11899" spans="3:3" x14ac:dyDescent="0.25">
      <c r="C11899" s="26">
        <v>11897</v>
      </c>
    </row>
    <row r="11900" spans="3:3" x14ac:dyDescent="0.25">
      <c r="C11900" s="26">
        <v>11898</v>
      </c>
    </row>
    <row r="11901" spans="3:3" x14ac:dyDescent="0.25">
      <c r="C11901" s="26">
        <v>11899</v>
      </c>
    </row>
    <row r="11902" spans="3:3" x14ac:dyDescent="0.25">
      <c r="C11902" s="26">
        <v>11900</v>
      </c>
    </row>
    <row r="11903" spans="3:3" x14ac:dyDescent="0.25">
      <c r="C11903" s="26">
        <v>11901</v>
      </c>
    </row>
    <row r="11904" spans="3:3" x14ac:dyDescent="0.25">
      <c r="C11904" s="26">
        <v>11902</v>
      </c>
    </row>
    <row r="11905" spans="3:3" x14ac:dyDescent="0.25">
      <c r="C11905" s="26">
        <v>11903</v>
      </c>
    </row>
    <row r="11906" spans="3:3" x14ac:dyDescent="0.25">
      <c r="C11906" s="26">
        <v>11904</v>
      </c>
    </row>
    <row r="11907" spans="3:3" x14ac:dyDescent="0.25">
      <c r="C11907" s="26">
        <v>11905</v>
      </c>
    </row>
    <row r="11908" spans="3:3" x14ac:dyDescent="0.25">
      <c r="C11908" s="26">
        <v>11906</v>
      </c>
    </row>
    <row r="11909" spans="3:3" x14ac:dyDescent="0.25">
      <c r="C11909" s="26">
        <v>11907</v>
      </c>
    </row>
    <row r="11910" spans="3:3" x14ac:dyDescent="0.25">
      <c r="C11910" s="26">
        <v>11908</v>
      </c>
    </row>
    <row r="11911" spans="3:3" x14ac:dyDescent="0.25">
      <c r="C11911" s="26">
        <v>11909</v>
      </c>
    </row>
    <row r="11912" spans="3:3" x14ac:dyDescent="0.25">
      <c r="C11912" s="26">
        <v>11910</v>
      </c>
    </row>
    <row r="11913" spans="3:3" x14ac:dyDescent="0.25">
      <c r="C11913" s="26">
        <v>11911</v>
      </c>
    </row>
    <row r="11914" spans="3:3" x14ac:dyDescent="0.25">
      <c r="C11914" s="26">
        <v>11912</v>
      </c>
    </row>
    <row r="11915" spans="3:3" x14ac:dyDescent="0.25">
      <c r="C11915" s="26">
        <v>11913</v>
      </c>
    </row>
    <row r="11916" spans="3:3" x14ac:dyDescent="0.25">
      <c r="C11916" s="26">
        <v>11914</v>
      </c>
    </row>
    <row r="11917" spans="3:3" x14ac:dyDescent="0.25">
      <c r="C11917" s="26">
        <v>11915</v>
      </c>
    </row>
    <row r="11918" spans="3:3" x14ac:dyDescent="0.25">
      <c r="C11918" s="26">
        <v>11916</v>
      </c>
    </row>
    <row r="11919" spans="3:3" x14ac:dyDescent="0.25">
      <c r="C11919" s="26">
        <v>11917</v>
      </c>
    </row>
    <row r="11920" spans="3:3" x14ac:dyDescent="0.25">
      <c r="C11920" s="26">
        <v>11918</v>
      </c>
    </row>
    <row r="11921" spans="3:3" x14ac:dyDescent="0.25">
      <c r="C11921" s="26">
        <v>11919</v>
      </c>
    </row>
    <row r="11922" spans="3:3" x14ac:dyDescent="0.25">
      <c r="C11922" s="26">
        <v>11920</v>
      </c>
    </row>
    <row r="11923" spans="3:3" x14ac:dyDescent="0.25">
      <c r="C11923" s="26">
        <v>11921</v>
      </c>
    </row>
    <row r="11924" spans="3:3" x14ac:dyDescent="0.25">
      <c r="C11924" s="26">
        <v>11922</v>
      </c>
    </row>
    <row r="11925" spans="3:3" x14ac:dyDescent="0.25">
      <c r="C11925" s="26">
        <v>11923</v>
      </c>
    </row>
    <row r="11926" spans="3:3" x14ac:dyDescent="0.25">
      <c r="C11926" s="26">
        <v>11924</v>
      </c>
    </row>
    <row r="11927" spans="3:3" x14ac:dyDescent="0.25">
      <c r="C11927" s="26">
        <v>11925</v>
      </c>
    </row>
    <row r="11928" spans="3:3" x14ac:dyDescent="0.25">
      <c r="C11928" s="26">
        <v>11926</v>
      </c>
    </row>
    <row r="11929" spans="3:3" x14ac:dyDescent="0.25">
      <c r="C11929" s="26">
        <v>11927</v>
      </c>
    </row>
    <row r="11930" spans="3:3" x14ac:dyDescent="0.25">
      <c r="C11930" s="26">
        <v>11928</v>
      </c>
    </row>
    <row r="11931" spans="3:3" x14ac:dyDescent="0.25">
      <c r="C11931" s="26">
        <v>11929</v>
      </c>
    </row>
    <row r="11932" spans="3:3" x14ac:dyDescent="0.25">
      <c r="C11932" s="26">
        <v>11930</v>
      </c>
    </row>
    <row r="11933" spans="3:3" x14ac:dyDescent="0.25">
      <c r="C11933" s="26">
        <v>11931</v>
      </c>
    </row>
    <row r="11934" spans="3:3" x14ac:dyDescent="0.25">
      <c r="C11934" s="26">
        <v>11932</v>
      </c>
    </row>
    <row r="11935" spans="3:3" x14ac:dyDescent="0.25">
      <c r="C11935" s="26">
        <v>11933</v>
      </c>
    </row>
    <row r="11936" spans="3:3" x14ac:dyDescent="0.25">
      <c r="C11936" s="26">
        <v>11934</v>
      </c>
    </row>
    <row r="11937" spans="3:3" x14ac:dyDescent="0.25">
      <c r="C11937" s="26">
        <v>11935</v>
      </c>
    </row>
    <row r="11938" spans="3:3" x14ac:dyDescent="0.25">
      <c r="C11938" s="26">
        <v>11936</v>
      </c>
    </row>
    <row r="11939" spans="3:3" x14ac:dyDescent="0.25">
      <c r="C11939" s="26">
        <v>11937</v>
      </c>
    </row>
    <row r="11940" spans="3:3" x14ac:dyDescent="0.25">
      <c r="C11940" s="26">
        <v>11938</v>
      </c>
    </row>
    <row r="11941" spans="3:3" x14ac:dyDescent="0.25">
      <c r="C11941" s="26">
        <v>11939</v>
      </c>
    </row>
    <row r="11942" spans="3:3" x14ac:dyDescent="0.25">
      <c r="C11942" s="26">
        <v>11940</v>
      </c>
    </row>
    <row r="11943" spans="3:3" x14ac:dyDescent="0.25">
      <c r="C11943" s="26">
        <v>11941</v>
      </c>
    </row>
    <row r="11944" spans="3:3" x14ac:dyDescent="0.25">
      <c r="C11944" s="26">
        <v>11942</v>
      </c>
    </row>
    <row r="11945" spans="3:3" x14ac:dyDescent="0.25">
      <c r="C11945" s="26">
        <v>11943</v>
      </c>
    </row>
    <row r="11946" spans="3:3" x14ac:dyDescent="0.25">
      <c r="C11946" s="26">
        <v>11944</v>
      </c>
    </row>
    <row r="11947" spans="3:3" x14ac:dyDescent="0.25">
      <c r="C11947" s="26">
        <v>11945</v>
      </c>
    </row>
    <row r="11948" spans="3:3" x14ac:dyDescent="0.25">
      <c r="C11948" s="26">
        <v>11946</v>
      </c>
    </row>
    <row r="11949" spans="3:3" x14ac:dyDescent="0.25">
      <c r="C11949" s="26">
        <v>11947</v>
      </c>
    </row>
    <row r="11950" spans="3:3" x14ac:dyDescent="0.25">
      <c r="C11950" s="26">
        <v>11948</v>
      </c>
    </row>
    <row r="11951" spans="3:3" x14ac:dyDescent="0.25">
      <c r="C11951" s="26">
        <v>11949</v>
      </c>
    </row>
    <row r="11952" spans="3:3" x14ac:dyDescent="0.25">
      <c r="C11952" s="26">
        <v>11950</v>
      </c>
    </row>
    <row r="11953" spans="3:3" x14ac:dyDescent="0.25">
      <c r="C11953" s="26">
        <v>11951</v>
      </c>
    </row>
    <row r="11954" spans="3:3" x14ac:dyDescent="0.25">
      <c r="C11954" s="26">
        <v>11952</v>
      </c>
    </row>
    <row r="11955" spans="3:3" x14ac:dyDescent="0.25">
      <c r="C11955" s="26">
        <v>11953</v>
      </c>
    </row>
    <row r="11956" spans="3:3" x14ac:dyDescent="0.25">
      <c r="C11956" s="26">
        <v>11954</v>
      </c>
    </row>
    <row r="11957" spans="3:3" x14ac:dyDescent="0.25">
      <c r="C11957" s="26">
        <v>11955</v>
      </c>
    </row>
    <row r="11958" spans="3:3" x14ac:dyDescent="0.25">
      <c r="C11958" s="26">
        <v>11956</v>
      </c>
    </row>
    <row r="11959" spans="3:3" x14ac:dyDescent="0.25">
      <c r="C11959" s="26">
        <v>11957</v>
      </c>
    </row>
    <row r="11960" spans="3:3" x14ac:dyDescent="0.25">
      <c r="C11960" s="26">
        <v>11958</v>
      </c>
    </row>
    <row r="11961" spans="3:3" x14ac:dyDescent="0.25">
      <c r="C11961" s="26">
        <v>11959</v>
      </c>
    </row>
    <row r="11962" spans="3:3" x14ac:dyDescent="0.25">
      <c r="C11962" s="26">
        <v>11960</v>
      </c>
    </row>
    <row r="11963" spans="3:3" x14ac:dyDescent="0.25">
      <c r="C11963" s="26">
        <v>11961</v>
      </c>
    </row>
    <row r="11964" spans="3:3" x14ac:dyDescent="0.25">
      <c r="C11964" s="26">
        <v>11962</v>
      </c>
    </row>
    <row r="11965" spans="3:3" x14ac:dyDescent="0.25">
      <c r="C11965" s="26">
        <v>11963</v>
      </c>
    </row>
    <row r="11966" spans="3:3" x14ac:dyDescent="0.25">
      <c r="C11966" s="26">
        <v>11964</v>
      </c>
    </row>
    <row r="11967" spans="3:3" x14ac:dyDescent="0.25">
      <c r="C11967" s="26">
        <v>11965</v>
      </c>
    </row>
    <row r="11968" spans="3:3" x14ac:dyDescent="0.25">
      <c r="C11968" s="26">
        <v>11966</v>
      </c>
    </row>
    <row r="11969" spans="3:3" x14ac:dyDescent="0.25">
      <c r="C11969" s="26">
        <v>11967</v>
      </c>
    </row>
    <row r="11970" spans="3:3" x14ac:dyDescent="0.25">
      <c r="C11970" s="26">
        <v>11968</v>
      </c>
    </row>
    <row r="11971" spans="3:3" x14ac:dyDescent="0.25">
      <c r="C11971" s="26">
        <v>11969</v>
      </c>
    </row>
    <row r="11972" spans="3:3" x14ac:dyDescent="0.25">
      <c r="C11972" s="26">
        <v>11970</v>
      </c>
    </row>
    <row r="11973" spans="3:3" x14ac:dyDescent="0.25">
      <c r="C11973" s="26">
        <v>11971</v>
      </c>
    </row>
    <row r="11974" spans="3:3" x14ac:dyDescent="0.25">
      <c r="C11974" s="26">
        <v>11972</v>
      </c>
    </row>
    <row r="11975" spans="3:3" x14ac:dyDescent="0.25">
      <c r="C11975" s="26">
        <v>11973</v>
      </c>
    </row>
    <row r="11976" spans="3:3" x14ac:dyDescent="0.25">
      <c r="C11976" s="26">
        <v>11974</v>
      </c>
    </row>
    <row r="11977" spans="3:3" x14ac:dyDescent="0.25">
      <c r="C11977" s="26">
        <v>11975</v>
      </c>
    </row>
    <row r="11978" spans="3:3" x14ac:dyDescent="0.25">
      <c r="C11978" s="26">
        <v>11976</v>
      </c>
    </row>
    <row r="11979" spans="3:3" x14ac:dyDescent="0.25">
      <c r="C11979" s="26">
        <v>11977</v>
      </c>
    </row>
    <row r="11980" spans="3:3" x14ac:dyDescent="0.25">
      <c r="C11980" s="26">
        <v>11978</v>
      </c>
    </row>
    <row r="11981" spans="3:3" x14ac:dyDescent="0.25">
      <c r="C11981" s="26">
        <v>11979</v>
      </c>
    </row>
    <row r="11982" spans="3:3" x14ac:dyDescent="0.25">
      <c r="C11982" s="26">
        <v>11980</v>
      </c>
    </row>
    <row r="11983" spans="3:3" x14ac:dyDescent="0.25">
      <c r="C11983" s="26">
        <v>11981</v>
      </c>
    </row>
    <row r="11984" spans="3:3" x14ac:dyDescent="0.25">
      <c r="C11984" s="26">
        <v>11982</v>
      </c>
    </row>
    <row r="11985" spans="3:3" x14ac:dyDescent="0.25">
      <c r="C11985" s="26">
        <v>11983</v>
      </c>
    </row>
    <row r="11986" spans="3:3" x14ac:dyDescent="0.25">
      <c r="C11986" s="26">
        <v>11984</v>
      </c>
    </row>
    <row r="11987" spans="3:3" x14ac:dyDescent="0.25">
      <c r="C11987" s="26">
        <v>11985</v>
      </c>
    </row>
    <row r="11988" spans="3:3" x14ac:dyDescent="0.25">
      <c r="C11988" s="26">
        <v>11986</v>
      </c>
    </row>
    <row r="11989" spans="3:3" x14ac:dyDescent="0.25">
      <c r="C11989" s="26">
        <v>11987</v>
      </c>
    </row>
    <row r="11990" spans="3:3" x14ac:dyDescent="0.25">
      <c r="C11990" s="26">
        <v>11988</v>
      </c>
    </row>
    <row r="11991" spans="3:3" x14ac:dyDescent="0.25">
      <c r="C11991" s="26">
        <v>11989</v>
      </c>
    </row>
    <row r="11992" spans="3:3" x14ac:dyDescent="0.25">
      <c r="C11992" s="26">
        <v>11990</v>
      </c>
    </row>
    <row r="11993" spans="3:3" x14ac:dyDescent="0.25">
      <c r="C11993" s="26">
        <v>11991</v>
      </c>
    </row>
    <row r="11994" spans="3:3" x14ac:dyDescent="0.25">
      <c r="C11994" s="26">
        <v>11992</v>
      </c>
    </row>
    <row r="11995" spans="3:3" x14ac:dyDescent="0.25">
      <c r="C11995" s="26">
        <v>11993</v>
      </c>
    </row>
    <row r="11996" spans="3:3" x14ac:dyDescent="0.25">
      <c r="C11996" s="26">
        <v>11994</v>
      </c>
    </row>
    <row r="11997" spans="3:3" x14ac:dyDescent="0.25">
      <c r="C11997" s="26">
        <v>11995</v>
      </c>
    </row>
    <row r="11998" spans="3:3" x14ac:dyDescent="0.25">
      <c r="C11998" s="26">
        <v>11996</v>
      </c>
    </row>
    <row r="11999" spans="3:3" x14ac:dyDescent="0.25">
      <c r="C11999" s="26">
        <v>11997</v>
      </c>
    </row>
    <row r="12000" spans="3:3" x14ac:dyDescent="0.25">
      <c r="C12000" s="26">
        <v>11998</v>
      </c>
    </row>
    <row r="12001" spans="3:3" x14ac:dyDescent="0.25">
      <c r="C12001" s="26">
        <v>11999</v>
      </c>
    </row>
    <row r="12002" spans="3:3" x14ac:dyDescent="0.25">
      <c r="C12002" s="26">
        <v>12000</v>
      </c>
    </row>
    <row r="12003" spans="3:3" x14ac:dyDescent="0.25">
      <c r="C12003" s="26">
        <v>12001</v>
      </c>
    </row>
    <row r="12004" spans="3:3" x14ac:dyDescent="0.25">
      <c r="C12004" s="26">
        <v>12002</v>
      </c>
    </row>
    <row r="12005" spans="3:3" x14ac:dyDescent="0.25">
      <c r="C12005" s="26">
        <v>12003</v>
      </c>
    </row>
    <row r="12006" spans="3:3" x14ac:dyDescent="0.25">
      <c r="C12006" s="26">
        <v>12004</v>
      </c>
    </row>
    <row r="12007" spans="3:3" x14ac:dyDescent="0.25">
      <c r="C12007" s="26">
        <v>12005</v>
      </c>
    </row>
    <row r="12008" spans="3:3" x14ac:dyDescent="0.25">
      <c r="C12008" s="26">
        <v>12006</v>
      </c>
    </row>
    <row r="12009" spans="3:3" x14ac:dyDescent="0.25">
      <c r="C12009" s="26">
        <v>12007</v>
      </c>
    </row>
    <row r="12010" spans="3:3" x14ac:dyDescent="0.25">
      <c r="C12010" s="26">
        <v>12008</v>
      </c>
    </row>
    <row r="12011" spans="3:3" x14ac:dyDescent="0.25">
      <c r="C12011" s="26">
        <v>12009</v>
      </c>
    </row>
    <row r="12012" spans="3:3" x14ac:dyDescent="0.25">
      <c r="C12012" s="26">
        <v>12010</v>
      </c>
    </row>
    <row r="12013" spans="3:3" x14ac:dyDescent="0.25">
      <c r="C12013" s="26">
        <v>12011</v>
      </c>
    </row>
    <row r="12014" spans="3:3" x14ac:dyDescent="0.25">
      <c r="C12014" s="26">
        <v>12012</v>
      </c>
    </row>
    <row r="12015" spans="3:3" x14ac:dyDescent="0.25">
      <c r="C12015" s="26">
        <v>12013</v>
      </c>
    </row>
    <row r="12016" spans="3:3" x14ac:dyDescent="0.25">
      <c r="C12016" s="26">
        <v>12014</v>
      </c>
    </row>
    <row r="12017" spans="3:3" x14ac:dyDescent="0.25">
      <c r="C12017" s="26">
        <v>12015</v>
      </c>
    </row>
    <row r="12018" spans="3:3" x14ac:dyDescent="0.25">
      <c r="C12018" s="26">
        <v>12016</v>
      </c>
    </row>
    <row r="12019" spans="3:3" x14ac:dyDescent="0.25">
      <c r="C12019" s="26">
        <v>12017</v>
      </c>
    </row>
    <row r="12020" spans="3:3" x14ac:dyDescent="0.25">
      <c r="C12020" s="26">
        <v>12018</v>
      </c>
    </row>
    <row r="12021" spans="3:3" x14ac:dyDescent="0.25">
      <c r="C12021" s="26">
        <v>12019</v>
      </c>
    </row>
    <row r="12022" spans="3:3" x14ac:dyDescent="0.25">
      <c r="C12022" s="26">
        <v>12020</v>
      </c>
    </row>
    <row r="12023" spans="3:3" x14ac:dyDescent="0.25">
      <c r="C12023" s="26">
        <v>12021</v>
      </c>
    </row>
    <row r="12024" spans="3:3" x14ac:dyDescent="0.25">
      <c r="C12024" s="26">
        <v>12022</v>
      </c>
    </row>
    <row r="12025" spans="3:3" x14ac:dyDescent="0.25">
      <c r="C12025" s="26">
        <v>12023</v>
      </c>
    </row>
    <row r="12026" spans="3:3" x14ac:dyDescent="0.25">
      <c r="C12026" s="26">
        <v>12024</v>
      </c>
    </row>
    <row r="12027" spans="3:3" x14ac:dyDescent="0.25">
      <c r="C12027" s="26">
        <v>12025</v>
      </c>
    </row>
    <row r="12028" spans="3:3" x14ac:dyDescent="0.25">
      <c r="C12028" s="26">
        <v>12026</v>
      </c>
    </row>
    <row r="12029" spans="3:3" x14ac:dyDescent="0.25">
      <c r="C12029" s="26">
        <v>12027</v>
      </c>
    </row>
    <row r="12030" spans="3:3" x14ac:dyDescent="0.25">
      <c r="C12030" s="26">
        <v>12028</v>
      </c>
    </row>
    <row r="12031" spans="3:3" x14ac:dyDescent="0.25">
      <c r="C12031" s="26">
        <v>12029</v>
      </c>
    </row>
    <row r="12032" spans="3:3" x14ac:dyDescent="0.25">
      <c r="C12032" s="26">
        <v>12030</v>
      </c>
    </row>
    <row r="12033" spans="3:3" x14ac:dyDescent="0.25">
      <c r="C12033" s="26">
        <v>12031</v>
      </c>
    </row>
    <row r="12034" spans="3:3" x14ac:dyDescent="0.25">
      <c r="C12034" s="26">
        <v>12032</v>
      </c>
    </row>
    <row r="12035" spans="3:3" x14ac:dyDescent="0.25">
      <c r="C12035" s="26">
        <v>12033</v>
      </c>
    </row>
    <row r="12036" spans="3:3" x14ac:dyDescent="0.25">
      <c r="C12036" s="26">
        <v>12034</v>
      </c>
    </row>
    <row r="12037" spans="3:3" x14ac:dyDescent="0.25">
      <c r="C12037" s="26">
        <v>12035</v>
      </c>
    </row>
    <row r="12038" spans="3:3" x14ac:dyDescent="0.25">
      <c r="C12038" s="26">
        <v>12036</v>
      </c>
    </row>
    <row r="12039" spans="3:3" x14ac:dyDescent="0.25">
      <c r="C12039" s="26">
        <v>12037</v>
      </c>
    </row>
    <row r="12040" spans="3:3" x14ac:dyDescent="0.25">
      <c r="C12040" s="26">
        <v>12038</v>
      </c>
    </row>
    <row r="12041" spans="3:3" x14ac:dyDescent="0.25">
      <c r="C12041" s="26">
        <v>12039</v>
      </c>
    </row>
    <row r="12042" spans="3:3" x14ac:dyDescent="0.25">
      <c r="C12042" s="26">
        <v>12040</v>
      </c>
    </row>
    <row r="12043" spans="3:3" x14ac:dyDescent="0.25">
      <c r="C12043" s="26">
        <v>12041</v>
      </c>
    </row>
    <row r="12044" spans="3:3" x14ac:dyDescent="0.25">
      <c r="C12044" s="26">
        <v>12042</v>
      </c>
    </row>
    <row r="12045" spans="3:3" x14ac:dyDescent="0.25">
      <c r="C12045" s="26">
        <v>12043</v>
      </c>
    </row>
    <row r="12046" spans="3:3" x14ac:dyDescent="0.25">
      <c r="C12046" s="26">
        <v>12044</v>
      </c>
    </row>
    <row r="12047" spans="3:3" x14ac:dyDescent="0.25">
      <c r="C12047" s="26">
        <v>12045</v>
      </c>
    </row>
    <row r="12048" spans="3:3" x14ac:dyDescent="0.25">
      <c r="C12048" s="26">
        <v>12046</v>
      </c>
    </row>
    <row r="12049" spans="3:3" x14ac:dyDescent="0.25">
      <c r="C12049" s="26">
        <v>12047</v>
      </c>
    </row>
    <row r="12050" spans="3:3" x14ac:dyDescent="0.25">
      <c r="C12050" s="26">
        <v>12048</v>
      </c>
    </row>
    <row r="12051" spans="3:3" x14ac:dyDescent="0.25">
      <c r="C12051" s="26">
        <v>12049</v>
      </c>
    </row>
    <row r="12052" spans="3:3" x14ac:dyDescent="0.25">
      <c r="C12052" s="26">
        <v>12050</v>
      </c>
    </row>
    <row r="12053" spans="3:3" x14ac:dyDescent="0.25">
      <c r="C12053" s="26">
        <v>12051</v>
      </c>
    </row>
    <row r="12054" spans="3:3" x14ac:dyDescent="0.25">
      <c r="C12054" s="26">
        <v>12052</v>
      </c>
    </row>
    <row r="12055" spans="3:3" x14ac:dyDescent="0.25">
      <c r="C12055" s="26">
        <v>12053</v>
      </c>
    </row>
    <row r="12056" spans="3:3" x14ac:dyDescent="0.25">
      <c r="C12056" s="26">
        <v>12054</v>
      </c>
    </row>
    <row r="12057" spans="3:3" x14ac:dyDescent="0.25">
      <c r="C12057" s="26">
        <v>12055</v>
      </c>
    </row>
    <row r="12058" spans="3:3" x14ac:dyDescent="0.25">
      <c r="C12058" s="26">
        <v>12056</v>
      </c>
    </row>
    <row r="12059" spans="3:3" x14ac:dyDescent="0.25">
      <c r="C12059" s="26">
        <v>12057</v>
      </c>
    </row>
    <row r="12060" spans="3:3" x14ac:dyDescent="0.25">
      <c r="C12060" s="26">
        <v>12058</v>
      </c>
    </row>
    <row r="12061" spans="3:3" x14ac:dyDescent="0.25">
      <c r="C12061" s="26">
        <v>12059</v>
      </c>
    </row>
    <row r="12062" spans="3:3" x14ac:dyDescent="0.25">
      <c r="C12062" s="26">
        <v>12060</v>
      </c>
    </row>
    <row r="12063" spans="3:3" x14ac:dyDescent="0.25">
      <c r="C12063" s="26">
        <v>12061</v>
      </c>
    </row>
    <row r="12064" spans="3:3" x14ac:dyDescent="0.25">
      <c r="C12064" s="26">
        <v>12062</v>
      </c>
    </row>
    <row r="12065" spans="3:3" x14ac:dyDescent="0.25">
      <c r="C12065" s="26">
        <v>12063</v>
      </c>
    </row>
    <row r="12066" spans="3:3" x14ac:dyDescent="0.25">
      <c r="C12066" s="26">
        <v>12064</v>
      </c>
    </row>
    <row r="12067" spans="3:3" x14ac:dyDescent="0.25">
      <c r="C12067" s="26">
        <v>12065</v>
      </c>
    </row>
    <row r="12068" spans="3:3" x14ac:dyDescent="0.25">
      <c r="C12068" s="26">
        <v>12066</v>
      </c>
    </row>
    <row r="12069" spans="3:3" x14ac:dyDescent="0.25">
      <c r="C12069" s="26">
        <v>12067</v>
      </c>
    </row>
    <row r="12070" spans="3:3" x14ac:dyDescent="0.25">
      <c r="C12070" s="26">
        <v>12068</v>
      </c>
    </row>
    <row r="12071" spans="3:3" x14ac:dyDescent="0.25">
      <c r="C12071" s="26">
        <v>12069</v>
      </c>
    </row>
    <row r="12072" spans="3:3" x14ac:dyDescent="0.25">
      <c r="C12072" s="26">
        <v>12070</v>
      </c>
    </row>
    <row r="12073" spans="3:3" x14ac:dyDescent="0.25">
      <c r="C12073" s="26">
        <v>12071</v>
      </c>
    </row>
    <row r="12074" spans="3:3" x14ac:dyDescent="0.25">
      <c r="C12074" s="26">
        <v>12072</v>
      </c>
    </row>
    <row r="12075" spans="3:3" x14ac:dyDescent="0.25">
      <c r="C12075" s="26">
        <v>12073</v>
      </c>
    </row>
    <row r="12076" spans="3:3" x14ac:dyDescent="0.25">
      <c r="C12076" s="26">
        <v>12074</v>
      </c>
    </row>
    <row r="12077" spans="3:3" x14ac:dyDescent="0.25">
      <c r="C12077" s="26">
        <v>12075</v>
      </c>
    </row>
    <row r="12078" spans="3:3" x14ac:dyDescent="0.25">
      <c r="C12078" s="26">
        <v>12076</v>
      </c>
    </row>
    <row r="12079" spans="3:3" x14ac:dyDescent="0.25">
      <c r="C12079" s="26">
        <v>12077</v>
      </c>
    </row>
    <row r="12080" spans="3:3" x14ac:dyDescent="0.25">
      <c r="C12080" s="26">
        <v>12078</v>
      </c>
    </row>
    <row r="12081" spans="3:3" x14ac:dyDescent="0.25">
      <c r="C12081" s="26">
        <v>12079</v>
      </c>
    </row>
    <row r="12082" spans="3:3" x14ac:dyDescent="0.25">
      <c r="C12082" s="26">
        <v>12080</v>
      </c>
    </row>
    <row r="12083" spans="3:3" x14ac:dyDescent="0.25">
      <c r="C12083" s="26">
        <v>12081</v>
      </c>
    </row>
    <row r="12084" spans="3:3" x14ac:dyDescent="0.25">
      <c r="C12084" s="26">
        <v>12082</v>
      </c>
    </row>
    <row r="12085" spans="3:3" x14ac:dyDescent="0.25">
      <c r="C12085" s="26">
        <v>12083</v>
      </c>
    </row>
    <row r="12086" spans="3:3" x14ac:dyDescent="0.25">
      <c r="C12086" s="26">
        <v>12084</v>
      </c>
    </row>
    <row r="12087" spans="3:3" x14ac:dyDescent="0.25">
      <c r="C12087" s="26">
        <v>12085</v>
      </c>
    </row>
    <row r="12088" spans="3:3" x14ac:dyDescent="0.25">
      <c r="C12088" s="26">
        <v>12086</v>
      </c>
    </row>
    <row r="12089" spans="3:3" x14ac:dyDescent="0.25">
      <c r="C12089" s="26">
        <v>12087</v>
      </c>
    </row>
    <row r="12090" spans="3:3" x14ac:dyDescent="0.25">
      <c r="C12090" s="26">
        <v>12088</v>
      </c>
    </row>
    <row r="12091" spans="3:3" x14ac:dyDescent="0.25">
      <c r="C12091" s="26">
        <v>12089</v>
      </c>
    </row>
    <row r="12092" spans="3:3" x14ac:dyDescent="0.25">
      <c r="C12092" s="26">
        <v>12090</v>
      </c>
    </row>
    <row r="12093" spans="3:3" x14ac:dyDescent="0.25">
      <c r="C12093" s="26">
        <v>12091</v>
      </c>
    </row>
    <row r="12094" spans="3:3" x14ac:dyDescent="0.25">
      <c r="C12094" s="26">
        <v>12092</v>
      </c>
    </row>
    <row r="12095" spans="3:3" x14ac:dyDescent="0.25">
      <c r="C12095" s="26">
        <v>12093</v>
      </c>
    </row>
    <row r="12096" spans="3:3" x14ac:dyDescent="0.25">
      <c r="C12096" s="26">
        <v>12094</v>
      </c>
    </row>
    <row r="12097" spans="3:3" x14ac:dyDescent="0.25">
      <c r="C12097" s="26">
        <v>12095</v>
      </c>
    </row>
    <row r="12098" spans="3:3" x14ac:dyDescent="0.25">
      <c r="C12098" s="26">
        <v>12096</v>
      </c>
    </row>
    <row r="12099" spans="3:3" x14ac:dyDescent="0.25">
      <c r="C12099" s="26">
        <v>12097</v>
      </c>
    </row>
    <row r="12100" spans="3:3" x14ac:dyDescent="0.25">
      <c r="C12100" s="26">
        <v>12098</v>
      </c>
    </row>
    <row r="12101" spans="3:3" x14ac:dyDescent="0.25">
      <c r="C12101" s="26">
        <v>12099</v>
      </c>
    </row>
    <row r="12102" spans="3:3" x14ac:dyDescent="0.25">
      <c r="C12102" s="26">
        <v>12100</v>
      </c>
    </row>
    <row r="12103" spans="3:3" x14ac:dyDescent="0.25">
      <c r="C12103" s="26">
        <v>12101</v>
      </c>
    </row>
    <row r="12104" spans="3:3" x14ac:dyDescent="0.25">
      <c r="C12104" s="26">
        <v>12102</v>
      </c>
    </row>
    <row r="12105" spans="3:3" x14ac:dyDescent="0.25">
      <c r="C12105" s="26">
        <v>12103</v>
      </c>
    </row>
    <row r="12106" spans="3:3" x14ac:dyDescent="0.25">
      <c r="C12106" s="26">
        <v>12104</v>
      </c>
    </row>
    <row r="12107" spans="3:3" x14ac:dyDescent="0.25">
      <c r="C12107" s="26">
        <v>12105</v>
      </c>
    </row>
    <row r="12108" spans="3:3" x14ac:dyDescent="0.25">
      <c r="C12108" s="26">
        <v>12106</v>
      </c>
    </row>
    <row r="12109" spans="3:3" x14ac:dyDescent="0.25">
      <c r="C12109" s="26">
        <v>12107</v>
      </c>
    </row>
    <row r="12110" spans="3:3" x14ac:dyDescent="0.25">
      <c r="C12110" s="26">
        <v>12108</v>
      </c>
    </row>
    <row r="12111" spans="3:3" x14ac:dyDescent="0.25">
      <c r="C12111" s="26">
        <v>12109</v>
      </c>
    </row>
    <row r="12112" spans="3:3" x14ac:dyDescent="0.25">
      <c r="C12112" s="26">
        <v>12110</v>
      </c>
    </row>
    <row r="12113" spans="3:3" x14ac:dyDescent="0.25">
      <c r="C12113" s="26">
        <v>12111</v>
      </c>
    </row>
    <row r="12114" spans="3:3" x14ac:dyDescent="0.25">
      <c r="C12114" s="26">
        <v>12112</v>
      </c>
    </row>
    <row r="12115" spans="3:3" x14ac:dyDescent="0.25">
      <c r="C12115" s="26">
        <v>12113</v>
      </c>
    </row>
    <row r="12116" spans="3:3" x14ac:dyDescent="0.25">
      <c r="C12116" s="26">
        <v>12114</v>
      </c>
    </row>
    <row r="12117" spans="3:3" x14ac:dyDescent="0.25">
      <c r="C12117" s="26">
        <v>12115</v>
      </c>
    </row>
    <row r="12118" spans="3:3" x14ac:dyDescent="0.25">
      <c r="C12118" s="26">
        <v>12116</v>
      </c>
    </row>
    <row r="12119" spans="3:3" x14ac:dyDescent="0.25">
      <c r="C12119" s="26">
        <v>12117</v>
      </c>
    </row>
    <row r="12120" spans="3:3" x14ac:dyDescent="0.25">
      <c r="C12120" s="26">
        <v>12118</v>
      </c>
    </row>
    <row r="12121" spans="3:3" x14ac:dyDescent="0.25">
      <c r="C12121" s="26">
        <v>12119</v>
      </c>
    </row>
    <row r="12122" spans="3:3" x14ac:dyDescent="0.25">
      <c r="C12122" s="26">
        <v>12120</v>
      </c>
    </row>
    <row r="12123" spans="3:3" x14ac:dyDescent="0.25">
      <c r="C12123" s="26">
        <v>12121</v>
      </c>
    </row>
    <row r="12124" spans="3:3" x14ac:dyDescent="0.25">
      <c r="C12124" s="26">
        <v>12122</v>
      </c>
    </row>
    <row r="12125" spans="3:3" x14ac:dyDescent="0.25">
      <c r="C12125" s="26">
        <v>12123</v>
      </c>
    </row>
    <row r="12126" spans="3:3" x14ac:dyDescent="0.25">
      <c r="C12126" s="26">
        <v>12124</v>
      </c>
    </row>
    <row r="12127" spans="3:3" x14ac:dyDescent="0.25">
      <c r="C12127" s="26">
        <v>12125</v>
      </c>
    </row>
    <row r="12128" spans="3:3" x14ac:dyDescent="0.25">
      <c r="C12128" s="26">
        <v>12126</v>
      </c>
    </row>
    <row r="12129" spans="3:3" x14ac:dyDescent="0.25">
      <c r="C12129" s="26">
        <v>12127</v>
      </c>
    </row>
    <row r="12130" spans="3:3" x14ac:dyDescent="0.25">
      <c r="C12130" s="26">
        <v>12128</v>
      </c>
    </row>
    <row r="12131" spans="3:3" x14ac:dyDescent="0.25">
      <c r="C12131" s="26">
        <v>12129</v>
      </c>
    </row>
    <row r="12132" spans="3:3" x14ac:dyDescent="0.25">
      <c r="C12132" s="26">
        <v>12130</v>
      </c>
    </row>
    <row r="12133" spans="3:3" x14ac:dyDescent="0.25">
      <c r="C12133" s="26">
        <v>12131</v>
      </c>
    </row>
    <row r="12134" spans="3:3" x14ac:dyDescent="0.25">
      <c r="C12134" s="26">
        <v>12132</v>
      </c>
    </row>
    <row r="12135" spans="3:3" x14ac:dyDescent="0.25">
      <c r="C12135" s="26">
        <v>12133</v>
      </c>
    </row>
    <row r="12136" spans="3:3" x14ac:dyDescent="0.25">
      <c r="C12136" s="26">
        <v>12134</v>
      </c>
    </row>
    <row r="12137" spans="3:3" x14ac:dyDescent="0.25">
      <c r="C12137" s="26">
        <v>12135</v>
      </c>
    </row>
    <row r="12138" spans="3:3" x14ac:dyDescent="0.25">
      <c r="C12138" s="26">
        <v>12136</v>
      </c>
    </row>
    <row r="12139" spans="3:3" x14ac:dyDescent="0.25">
      <c r="C12139" s="26">
        <v>12137</v>
      </c>
    </row>
    <row r="12140" spans="3:3" x14ac:dyDescent="0.25">
      <c r="C12140" s="26">
        <v>12138</v>
      </c>
    </row>
    <row r="12141" spans="3:3" x14ac:dyDescent="0.25">
      <c r="C12141" s="26">
        <v>12139</v>
      </c>
    </row>
    <row r="12142" spans="3:3" x14ac:dyDescent="0.25">
      <c r="C12142" s="26">
        <v>12140</v>
      </c>
    </row>
    <row r="12143" spans="3:3" x14ac:dyDescent="0.25">
      <c r="C12143" s="26">
        <v>12141</v>
      </c>
    </row>
    <row r="12144" spans="3:3" x14ac:dyDescent="0.25">
      <c r="C12144" s="26">
        <v>12142</v>
      </c>
    </row>
    <row r="12145" spans="3:3" x14ac:dyDescent="0.25">
      <c r="C12145" s="26">
        <v>12143</v>
      </c>
    </row>
    <row r="12146" spans="3:3" x14ac:dyDescent="0.25">
      <c r="C12146" s="26">
        <v>12144</v>
      </c>
    </row>
    <row r="12147" spans="3:3" x14ac:dyDescent="0.25">
      <c r="C12147" s="26">
        <v>12145</v>
      </c>
    </row>
    <row r="12148" spans="3:3" x14ac:dyDescent="0.25">
      <c r="C12148" s="26">
        <v>12146</v>
      </c>
    </row>
    <row r="12149" spans="3:3" x14ac:dyDescent="0.25">
      <c r="C12149" s="26">
        <v>12147</v>
      </c>
    </row>
    <row r="12150" spans="3:3" x14ac:dyDescent="0.25">
      <c r="C12150" s="26">
        <v>12148</v>
      </c>
    </row>
    <row r="12151" spans="3:3" x14ac:dyDescent="0.25">
      <c r="C12151" s="26">
        <v>12149</v>
      </c>
    </row>
    <row r="12152" spans="3:3" x14ac:dyDescent="0.25">
      <c r="C12152" s="26">
        <v>12150</v>
      </c>
    </row>
    <row r="12153" spans="3:3" x14ac:dyDescent="0.25">
      <c r="C12153" s="26">
        <v>12151</v>
      </c>
    </row>
    <row r="12154" spans="3:3" x14ac:dyDescent="0.25">
      <c r="C12154" s="26">
        <v>12152</v>
      </c>
    </row>
    <row r="12155" spans="3:3" x14ac:dyDescent="0.25">
      <c r="C12155" s="26">
        <v>12153</v>
      </c>
    </row>
    <row r="12156" spans="3:3" x14ac:dyDescent="0.25">
      <c r="C12156" s="26">
        <v>12154</v>
      </c>
    </row>
    <row r="12157" spans="3:3" x14ac:dyDescent="0.25">
      <c r="C12157" s="26">
        <v>12155</v>
      </c>
    </row>
    <row r="12158" spans="3:3" x14ac:dyDescent="0.25">
      <c r="C12158" s="26">
        <v>12156</v>
      </c>
    </row>
    <row r="12159" spans="3:3" x14ac:dyDescent="0.25">
      <c r="C12159" s="26">
        <v>12157</v>
      </c>
    </row>
    <row r="12160" spans="3:3" x14ac:dyDescent="0.25">
      <c r="C12160" s="26">
        <v>12158</v>
      </c>
    </row>
    <row r="12161" spans="3:3" x14ac:dyDescent="0.25">
      <c r="C12161" s="26">
        <v>12159</v>
      </c>
    </row>
    <row r="12162" spans="3:3" x14ac:dyDescent="0.25">
      <c r="C12162" s="26">
        <v>12160</v>
      </c>
    </row>
    <row r="12163" spans="3:3" x14ac:dyDescent="0.25">
      <c r="C12163" s="26">
        <v>12161</v>
      </c>
    </row>
    <row r="12164" spans="3:3" x14ac:dyDescent="0.25">
      <c r="C12164" s="26">
        <v>12162</v>
      </c>
    </row>
    <row r="12165" spans="3:3" x14ac:dyDescent="0.25">
      <c r="C12165" s="26">
        <v>12163</v>
      </c>
    </row>
    <row r="12166" spans="3:3" x14ac:dyDescent="0.25">
      <c r="C12166" s="26">
        <v>12164</v>
      </c>
    </row>
    <row r="12167" spans="3:3" x14ac:dyDescent="0.25">
      <c r="C12167" s="26">
        <v>12165</v>
      </c>
    </row>
    <row r="12168" spans="3:3" x14ac:dyDescent="0.25">
      <c r="C12168" s="26">
        <v>12166</v>
      </c>
    </row>
    <row r="12169" spans="3:3" x14ac:dyDescent="0.25">
      <c r="C12169" s="26">
        <v>12167</v>
      </c>
    </row>
    <row r="12170" spans="3:3" x14ac:dyDescent="0.25">
      <c r="C12170" s="26">
        <v>12168</v>
      </c>
    </row>
    <row r="12171" spans="3:3" x14ac:dyDescent="0.25">
      <c r="C12171" s="26">
        <v>12169</v>
      </c>
    </row>
    <row r="12172" spans="3:3" x14ac:dyDescent="0.25">
      <c r="C12172" s="26">
        <v>12170</v>
      </c>
    </row>
    <row r="12173" spans="3:3" x14ac:dyDescent="0.25">
      <c r="C12173" s="26">
        <v>12171</v>
      </c>
    </row>
    <row r="12174" spans="3:3" x14ac:dyDescent="0.25">
      <c r="C12174" s="26">
        <v>12172</v>
      </c>
    </row>
    <row r="12175" spans="3:3" x14ac:dyDescent="0.25">
      <c r="C12175" s="26">
        <v>12173</v>
      </c>
    </row>
    <row r="12176" spans="3:3" x14ac:dyDescent="0.25">
      <c r="C12176" s="26">
        <v>12174</v>
      </c>
    </row>
    <row r="12177" spans="3:3" x14ac:dyDescent="0.25">
      <c r="C12177" s="26">
        <v>12175</v>
      </c>
    </row>
    <row r="12178" spans="3:3" x14ac:dyDescent="0.25">
      <c r="C12178" s="26">
        <v>12176</v>
      </c>
    </row>
    <row r="12179" spans="3:3" x14ac:dyDescent="0.25">
      <c r="C12179" s="26">
        <v>12177</v>
      </c>
    </row>
    <row r="12180" spans="3:3" x14ac:dyDescent="0.25">
      <c r="C12180" s="26">
        <v>12178</v>
      </c>
    </row>
    <row r="12181" spans="3:3" x14ac:dyDescent="0.25">
      <c r="C12181" s="26">
        <v>12179</v>
      </c>
    </row>
    <row r="12182" spans="3:3" x14ac:dyDescent="0.25">
      <c r="C12182" s="26">
        <v>12180</v>
      </c>
    </row>
    <row r="12183" spans="3:3" x14ac:dyDescent="0.25">
      <c r="C12183" s="26">
        <v>12181</v>
      </c>
    </row>
    <row r="12184" spans="3:3" x14ac:dyDescent="0.25">
      <c r="C12184" s="26">
        <v>12182</v>
      </c>
    </row>
    <row r="12185" spans="3:3" x14ac:dyDescent="0.25">
      <c r="C12185" s="26">
        <v>12183</v>
      </c>
    </row>
    <row r="12186" spans="3:3" x14ac:dyDescent="0.25">
      <c r="C12186" s="26">
        <v>12184</v>
      </c>
    </row>
    <row r="12187" spans="3:3" x14ac:dyDescent="0.25">
      <c r="C12187" s="26">
        <v>12185</v>
      </c>
    </row>
    <row r="12188" spans="3:3" x14ac:dyDescent="0.25">
      <c r="C12188" s="26">
        <v>12186</v>
      </c>
    </row>
    <row r="12189" spans="3:3" x14ac:dyDescent="0.25">
      <c r="C12189" s="26">
        <v>12187</v>
      </c>
    </row>
    <row r="12190" spans="3:3" x14ac:dyDescent="0.25">
      <c r="C12190" s="26">
        <v>12188</v>
      </c>
    </row>
    <row r="12191" spans="3:3" x14ac:dyDescent="0.25">
      <c r="C12191" s="26">
        <v>12189</v>
      </c>
    </row>
    <row r="12192" spans="3:3" x14ac:dyDescent="0.25">
      <c r="C12192" s="26">
        <v>12190</v>
      </c>
    </row>
    <row r="12193" spans="3:3" x14ac:dyDescent="0.25">
      <c r="C12193" s="26">
        <v>12191</v>
      </c>
    </row>
    <row r="12194" spans="3:3" x14ac:dyDescent="0.25">
      <c r="C12194" s="26">
        <v>12192</v>
      </c>
    </row>
    <row r="12195" spans="3:3" x14ac:dyDescent="0.25">
      <c r="C12195" s="26">
        <v>12193</v>
      </c>
    </row>
    <row r="12196" spans="3:3" x14ac:dyDescent="0.25">
      <c r="C12196" s="26">
        <v>12194</v>
      </c>
    </row>
    <row r="12197" spans="3:3" x14ac:dyDescent="0.25">
      <c r="C12197" s="26">
        <v>12195</v>
      </c>
    </row>
    <row r="12198" spans="3:3" x14ac:dyDescent="0.25">
      <c r="C12198" s="26">
        <v>12196</v>
      </c>
    </row>
    <row r="12199" spans="3:3" x14ac:dyDescent="0.25">
      <c r="C12199" s="26">
        <v>12197</v>
      </c>
    </row>
    <row r="12200" spans="3:3" x14ac:dyDescent="0.25">
      <c r="C12200" s="26">
        <v>12198</v>
      </c>
    </row>
    <row r="12201" spans="3:3" x14ac:dyDescent="0.25">
      <c r="C12201" s="26">
        <v>12199</v>
      </c>
    </row>
    <row r="12202" spans="3:3" x14ac:dyDescent="0.25">
      <c r="C12202" s="26">
        <v>12200</v>
      </c>
    </row>
    <row r="12203" spans="3:3" x14ac:dyDescent="0.25">
      <c r="C12203" s="26">
        <v>12201</v>
      </c>
    </row>
    <row r="12204" spans="3:3" x14ac:dyDescent="0.25">
      <c r="C12204" s="26">
        <v>12202</v>
      </c>
    </row>
    <row r="12205" spans="3:3" x14ac:dyDescent="0.25">
      <c r="C12205" s="26">
        <v>12203</v>
      </c>
    </row>
    <row r="12206" spans="3:3" x14ac:dyDescent="0.25">
      <c r="C12206" s="26">
        <v>12204</v>
      </c>
    </row>
    <row r="12207" spans="3:3" x14ac:dyDescent="0.25">
      <c r="C12207" s="26">
        <v>12205</v>
      </c>
    </row>
    <row r="12208" spans="3:3" x14ac:dyDescent="0.25">
      <c r="C12208" s="26">
        <v>12206</v>
      </c>
    </row>
    <row r="12209" spans="3:3" x14ac:dyDescent="0.25">
      <c r="C12209" s="26">
        <v>12207</v>
      </c>
    </row>
    <row r="12210" spans="3:3" x14ac:dyDescent="0.25">
      <c r="C12210" s="26">
        <v>12208</v>
      </c>
    </row>
    <row r="12211" spans="3:3" x14ac:dyDescent="0.25">
      <c r="C12211" s="26">
        <v>12209</v>
      </c>
    </row>
    <row r="12212" spans="3:3" x14ac:dyDescent="0.25">
      <c r="C12212" s="26">
        <v>12210</v>
      </c>
    </row>
    <row r="12213" spans="3:3" x14ac:dyDescent="0.25">
      <c r="C12213" s="26">
        <v>12211</v>
      </c>
    </row>
    <row r="12214" spans="3:3" x14ac:dyDescent="0.25">
      <c r="C12214" s="26">
        <v>12212</v>
      </c>
    </row>
    <row r="12215" spans="3:3" x14ac:dyDescent="0.25">
      <c r="C12215" s="26">
        <v>12213</v>
      </c>
    </row>
    <row r="12216" spans="3:3" x14ac:dyDescent="0.25">
      <c r="C12216" s="26">
        <v>12214</v>
      </c>
    </row>
    <row r="12217" spans="3:3" x14ac:dyDescent="0.25">
      <c r="C12217" s="26">
        <v>12215</v>
      </c>
    </row>
    <row r="12218" spans="3:3" x14ac:dyDescent="0.25">
      <c r="C12218" s="26">
        <v>12216</v>
      </c>
    </row>
    <row r="12219" spans="3:3" x14ac:dyDescent="0.25">
      <c r="C12219" s="26">
        <v>12217</v>
      </c>
    </row>
    <row r="12220" spans="3:3" x14ac:dyDescent="0.25">
      <c r="C12220" s="26">
        <v>12218</v>
      </c>
    </row>
    <row r="12221" spans="3:3" x14ac:dyDescent="0.25">
      <c r="C12221" s="26">
        <v>12219</v>
      </c>
    </row>
    <row r="12222" spans="3:3" x14ac:dyDescent="0.25">
      <c r="C12222" s="26">
        <v>12220</v>
      </c>
    </row>
    <row r="12223" spans="3:3" x14ac:dyDescent="0.25">
      <c r="C12223" s="26">
        <v>12221</v>
      </c>
    </row>
    <row r="12224" spans="3:3" x14ac:dyDescent="0.25">
      <c r="C12224" s="26">
        <v>12222</v>
      </c>
    </row>
    <row r="12225" spans="3:3" x14ac:dyDescent="0.25">
      <c r="C12225" s="26">
        <v>12223</v>
      </c>
    </row>
    <row r="12226" spans="3:3" x14ac:dyDescent="0.25">
      <c r="C12226" s="26">
        <v>12224</v>
      </c>
    </row>
    <row r="12227" spans="3:3" x14ac:dyDescent="0.25">
      <c r="C12227" s="26">
        <v>12225</v>
      </c>
    </row>
    <row r="12228" spans="3:3" x14ac:dyDescent="0.25">
      <c r="C12228" s="26">
        <v>12226</v>
      </c>
    </row>
    <row r="12229" spans="3:3" x14ac:dyDescent="0.25">
      <c r="C12229" s="26">
        <v>12227</v>
      </c>
    </row>
    <row r="12230" spans="3:3" x14ac:dyDescent="0.25">
      <c r="C12230" s="26">
        <v>12228</v>
      </c>
    </row>
    <row r="12231" spans="3:3" x14ac:dyDescent="0.25">
      <c r="C12231" s="26">
        <v>12229</v>
      </c>
    </row>
    <row r="12232" spans="3:3" x14ac:dyDescent="0.25">
      <c r="C12232" s="26">
        <v>12230</v>
      </c>
    </row>
    <row r="12233" spans="3:3" x14ac:dyDescent="0.25">
      <c r="C12233" s="26">
        <v>12231</v>
      </c>
    </row>
    <row r="12234" spans="3:3" x14ac:dyDescent="0.25">
      <c r="C12234" s="26">
        <v>12232</v>
      </c>
    </row>
    <row r="12235" spans="3:3" x14ac:dyDescent="0.25">
      <c r="C12235" s="26">
        <v>12233</v>
      </c>
    </row>
    <row r="12236" spans="3:3" x14ac:dyDescent="0.25">
      <c r="C12236" s="26">
        <v>12234</v>
      </c>
    </row>
    <row r="12237" spans="3:3" x14ac:dyDescent="0.25">
      <c r="C12237" s="26">
        <v>12235</v>
      </c>
    </row>
    <row r="12238" spans="3:3" x14ac:dyDescent="0.25">
      <c r="C12238" s="26">
        <v>12236</v>
      </c>
    </row>
    <row r="12239" spans="3:3" x14ac:dyDescent="0.25">
      <c r="C12239" s="26">
        <v>12237</v>
      </c>
    </row>
    <row r="12240" spans="3:3" x14ac:dyDescent="0.25">
      <c r="C12240" s="26">
        <v>12238</v>
      </c>
    </row>
    <row r="12241" spans="3:3" x14ac:dyDescent="0.25">
      <c r="C12241" s="26">
        <v>12239</v>
      </c>
    </row>
    <row r="12242" spans="3:3" x14ac:dyDescent="0.25">
      <c r="C12242" s="26">
        <v>12240</v>
      </c>
    </row>
    <row r="12243" spans="3:3" x14ac:dyDescent="0.25">
      <c r="C12243" s="26">
        <v>12241</v>
      </c>
    </row>
    <row r="12244" spans="3:3" x14ac:dyDescent="0.25">
      <c r="C12244" s="26">
        <v>12242</v>
      </c>
    </row>
    <row r="12245" spans="3:3" x14ac:dyDescent="0.25">
      <c r="C12245" s="26">
        <v>12243</v>
      </c>
    </row>
    <row r="12246" spans="3:3" x14ac:dyDescent="0.25">
      <c r="C12246" s="26">
        <v>12244</v>
      </c>
    </row>
    <row r="12247" spans="3:3" x14ac:dyDescent="0.25">
      <c r="C12247" s="26">
        <v>12245</v>
      </c>
    </row>
    <row r="12248" spans="3:3" x14ac:dyDescent="0.25">
      <c r="C12248" s="26">
        <v>12246</v>
      </c>
    </row>
    <row r="12249" spans="3:3" x14ac:dyDescent="0.25">
      <c r="C12249" s="26">
        <v>12247</v>
      </c>
    </row>
    <row r="12250" spans="3:3" x14ac:dyDescent="0.25">
      <c r="C12250" s="26">
        <v>12248</v>
      </c>
    </row>
    <row r="12251" spans="3:3" x14ac:dyDescent="0.25">
      <c r="C12251" s="26">
        <v>12249</v>
      </c>
    </row>
    <row r="12252" spans="3:3" x14ac:dyDescent="0.25">
      <c r="C12252" s="26">
        <v>12250</v>
      </c>
    </row>
    <row r="12253" spans="3:3" x14ac:dyDescent="0.25">
      <c r="C12253" s="26">
        <v>12251</v>
      </c>
    </row>
    <row r="12254" spans="3:3" x14ac:dyDescent="0.25">
      <c r="C12254" s="26">
        <v>12252</v>
      </c>
    </row>
    <row r="12255" spans="3:3" x14ac:dyDescent="0.25">
      <c r="C12255" s="26">
        <v>12253</v>
      </c>
    </row>
    <row r="12256" spans="3:3" x14ac:dyDescent="0.25">
      <c r="C12256" s="26">
        <v>12254</v>
      </c>
    </row>
    <row r="12257" spans="3:3" x14ac:dyDescent="0.25">
      <c r="C12257" s="26">
        <v>12255</v>
      </c>
    </row>
    <row r="12258" spans="3:3" x14ac:dyDescent="0.25">
      <c r="C12258" s="26">
        <v>12256</v>
      </c>
    </row>
    <row r="12259" spans="3:3" x14ac:dyDescent="0.25">
      <c r="C12259" s="26">
        <v>12257</v>
      </c>
    </row>
    <row r="12260" spans="3:3" x14ac:dyDescent="0.25">
      <c r="C12260" s="26">
        <v>12258</v>
      </c>
    </row>
    <row r="12261" spans="3:3" x14ac:dyDescent="0.25">
      <c r="C12261" s="26">
        <v>12259</v>
      </c>
    </row>
    <row r="12262" spans="3:3" x14ac:dyDescent="0.25">
      <c r="C12262" s="26">
        <v>12260</v>
      </c>
    </row>
    <row r="12263" spans="3:3" x14ac:dyDescent="0.25">
      <c r="C12263" s="26">
        <v>12261</v>
      </c>
    </row>
    <row r="12264" spans="3:3" x14ac:dyDescent="0.25">
      <c r="C12264" s="26">
        <v>12262</v>
      </c>
    </row>
    <row r="12265" spans="3:3" x14ac:dyDescent="0.25">
      <c r="C12265" s="26">
        <v>12263</v>
      </c>
    </row>
    <row r="12266" spans="3:3" x14ac:dyDescent="0.25">
      <c r="C12266" s="26">
        <v>12264</v>
      </c>
    </row>
    <row r="12267" spans="3:3" x14ac:dyDescent="0.25">
      <c r="C12267" s="26">
        <v>12265</v>
      </c>
    </row>
    <row r="12268" spans="3:3" x14ac:dyDescent="0.25">
      <c r="C12268" s="26">
        <v>12266</v>
      </c>
    </row>
    <row r="12269" spans="3:3" x14ac:dyDescent="0.25">
      <c r="C12269" s="26">
        <v>12267</v>
      </c>
    </row>
    <row r="12270" spans="3:3" x14ac:dyDescent="0.25">
      <c r="C12270" s="26">
        <v>12268</v>
      </c>
    </row>
    <row r="12271" spans="3:3" x14ac:dyDescent="0.25">
      <c r="C12271" s="26">
        <v>12269</v>
      </c>
    </row>
    <row r="12272" spans="3:3" x14ac:dyDescent="0.25">
      <c r="C12272" s="26">
        <v>12270</v>
      </c>
    </row>
    <row r="12273" spans="3:3" x14ac:dyDescent="0.25">
      <c r="C12273" s="26">
        <v>12271</v>
      </c>
    </row>
    <row r="12274" spans="3:3" x14ac:dyDescent="0.25">
      <c r="C12274" s="26">
        <v>12272</v>
      </c>
    </row>
    <row r="12275" spans="3:3" x14ac:dyDescent="0.25">
      <c r="C12275" s="26">
        <v>12273</v>
      </c>
    </row>
    <row r="12276" spans="3:3" x14ac:dyDescent="0.25">
      <c r="C12276" s="26">
        <v>12274</v>
      </c>
    </row>
    <row r="12277" spans="3:3" x14ac:dyDescent="0.25">
      <c r="C12277" s="26">
        <v>12275</v>
      </c>
    </row>
    <row r="12278" spans="3:3" x14ac:dyDescent="0.25">
      <c r="C12278" s="26">
        <v>12276</v>
      </c>
    </row>
    <row r="12279" spans="3:3" x14ac:dyDescent="0.25">
      <c r="C12279" s="26">
        <v>12277</v>
      </c>
    </row>
    <row r="12280" spans="3:3" x14ac:dyDescent="0.25">
      <c r="C12280" s="26">
        <v>12278</v>
      </c>
    </row>
    <row r="12281" spans="3:3" x14ac:dyDescent="0.25">
      <c r="C12281" s="26">
        <v>12279</v>
      </c>
    </row>
    <row r="12282" spans="3:3" x14ac:dyDescent="0.25">
      <c r="C12282" s="26">
        <v>12280</v>
      </c>
    </row>
    <row r="12283" spans="3:3" x14ac:dyDescent="0.25">
      <c r="C12283" s="26">
        <v>12281</v>
      </c>
    </row>
    <row r="12284" spans="3:3" x14ac:dyDescent="0.25">
      <c r="C12284" s="26">
        <v>12282</v>
      </c>
    </row>
    <row r="12285" spans="3:3" x14ac:dyDescent="0.25">
      <c r="C12285" s="26">
        <v>12283</v>
      </c>
    </row>
    <row r="12286" spans="3:3" x14ac:dyDescent="0.25">
      <c r="C12286" s="26">
        <v>12284</v>
      </c>
    </row>
    <row r="12287" spans="3:3" x14ac:dyDescent="0.25">
      <c r="C12287" s="26">
        <v>12285</v>
      </c>
    </row>
    <row r="12288" spans="3:3" x14ac:dyDescent="0.25">
      <c r="C12288" s="26">
        <v>12286</v>
      </c>
    </row>
    <row r="12289" spans="3:3" x14ac:dyDescent="0.25">
      <c r="C12289" s="26">
        <v>12287</v>
      </c>
    </row>
    <row r="12290" spans="3:3" x14ac:dyDescent="0.25">
      <c r="C12290" s="26">
        <v>12288</v>
      </c>
    </row>
    <row r="12291" spans="3:3" x14ac:dyDescent="0.25">
      <c r="C12291" s="26">
        <v>12289</v>
      </c>
    </row>
    <row r="12292" spans="3:3" x14ac:dyDescent="0.25">
      <c r="C12292" s="26">
        <v>12290</v>
      </c>
    </row>
    <row r="12293" spans="3:3" x14ac:dyDescent="0.25">
      <c r="C12293" s="26">
        <v>12291</v>
      </c>
    </row>
    <row r="12294" spans="3:3" x14ac:dyDescent="0.25">
      <c r="C12294" s="26">
        <v>12292</v>
      </c>
    </row>
    <row r="12295" spans="3:3" x14ac:dyDescent="0.25">
      <c r="C12295" s="26">
        <v>12293</v>
      </c>
    </row>
    <row r="12296" spans="3:3" x14ac:dyDescent="0.25">
      <c r="C12296" s="26">
        <v>12294</v>
      </c>
    </row>
    <row r="12297" spans="3:3" x14ac:dyDescent="0.25">
      <c r="C12297" s="26">
        <v>12295</v>
      </c>
    </row>
    <row r="12298" spans="3:3" x14ac:dyDescent="0.25">
      <c r="C12298" s="26">
        <v>12296</v>
      </c>
    </row>
    <row r="12299" spans="3:3" x14ac:dyDescent="0.25">
      <c r="C12299" s="26">
        <v>12297</v>
      </c>
    </row>
    <row r="12300" spans="3:3" x14ac:dyDescent="0.25">
      <c r="C12300" s="26">
        <v>12298</v>
      </c>
    </row>
    <row r="12301" spans="3:3" x14ac:dyDescent="0.25">
      <c r="C12301" s="26">
        <v>12299</v>
      </c>
    </row>
    <row r="12302" spans="3:3" x14ac:dyDescent="0.25">
      <c r="C12302" s="26">
        <v>12300</v>
      </c>
    </row>
    <row r="12303" spans="3:3" x14ac:dyDescent="0.25">
      <c r="C12303" s="26">
        <v>12301</v>
      </c>
    </row>
    <row r="12304" spans="3:3" x14ac:dyDescent="0.25">
      <c r="C12304" s="26">
        <v>12302</v>
      </c>
    </row>
    <row r="12305" spans="3:3" x14ac:dyDescent="0.25">
      <c r="C12305" s="26">
        <v>12303</v>
      </c>
    </row>
    <row r="12306" spans="3:3" x14ac:dyDescent="0.25">
      <c r="C12306" s="26">
        <v>12304</v>
      </c>
    </row>
    <row r="12307" spans="3:3" x14ac:dyDescent="0.25">
      <c r="C12307" s="26">
        <v>12305</v>
      </c>
    </row>
    <row r="12308" spans="3:3" x14ac:dyDescent="0.25">
      <c r="C12308" s="26">
        <v>12306</v>
      </c>
    </row>
    <row r="12309" spans="3:3" x14ac:dyDescent="0.25">
      <c r="C12309" s="26">
        <v>12307</v>
      </c>
    </row>
    <row r="12310" spans="3:3" x14ac:dyDescent="0.25">
      <c r="C12310" s="26">
        <v>12308</v>
      </c>
    </row>
    <row r="12311" spans="3:3" x14ac:dyDescent="0.25">
      <c r="C12311" s="26">
        <v>12309</v>
      </c>
    </row>
    <row r="12312" spans="3:3" x14ac:dyDescent="0.25">
      <c r="C12312" s="26">
        <v>12310</v>
      </c>
    </row>
    <row r="12313" spans="3:3" x14ac:dyDescent="0.25">
      <c r="C12313" s="26">
        <v>12311</v>
      </c>
    </row>
    <row r="12314" spans="3:3" x14ac:dyDescent="0.25">
      <c r="C12314" s="26">
        <v>12312</v>
      </c>
    </row>
    <row r="12315" spans="3:3" x14ac:dyDescent="0.25">
      <c r="C12315" s="26">
        <v>12313</v>
      </c>
    </row>
    <row r="12316" spans="3:3" x14ac:dyDescent="0.25">
      <c r="C12316" s="26">
        <v>12314</v>
      </c>
    </row>
    <row r="12317" spans="3:3" x14ac:dyDescent="0.25">
      <c r="C12317" s="26">
        <v>12315</v>
      </c>
    </row>
    <row r="12318" spans="3:3" x14ac:dyDescent="0.25">
      <c r="C12318" s="26">
        <v>12316</v>
      </c>
    </row>
    <row r="12319" spans="3:3" x14ac:dyDescent="0.25">
      <c r="C12319" s="26">
        <v>12317</v>
      </c>
    </row>
    <row r="12320" spans="3:3" x14ac:dyDescent="0.25">
      <c r="C12320" s="26">
        <v>12318</v>
      </c>
    </row>
    <row r="12321" spans="3:3" x14ac:dyDescent="0.25">
      <c r="C12321" s="26">
        <v>12319</v>
      </c>
    </row>
    <row r="12322" spans="3:3" x14ac:dyDescent="0.25">
      <c r="C12322" s="26">
        <v>12320</v>
      </c>
    </row>
    <row r="12323" spans="3:3" x14ac:dyDescent="0.25">
      <c r="C12323" s="26">
        <v>12321</v>
      </c>
    </row>
    <row r="12324" spans="3:3" x14ac:dyDescent="0.25">
      <c r="C12324" s="26">
        <v>12322</v>
      </c>
    </row>
    <row r="12325" spans="3:3" x14ac:dyDescent="0.25">
      <c r="C12325" s="26">
        <v>12323</v>
      </c>
    </row>
    <row r="12326" spans="3:3" x14ac:dyDescent="0.25">
      <c r="C12326" s="26">
        <v>12324</v>
      </c>
    </row>
    <row r="12327" spans="3:3" x14ac:dyDescent="0.25">
      <c r="C12327" s="26">
        <v>12325</v>
      </c>
    </row>
    <row r="12328" spans="3:3" x14ac:dyDescent="0.25">
      <c r="C12328" s="26">
        <v>12326</v>
      </c>
    </row>
    <row r="12329" spans="3:3" x14ac:dyDescent="0.25">
      <c r="C12329" s="26">
        <v>12327</v>
      </c>
    </row>
    <row r="12330" spans="3:3" x14ac:dyDescent="0.25">
      <c r="C12330" s="26">
        <v>12328</v>
      </c>
    </row>
    <row r="12331" spans="3:3" x14ac:dyDescent="0.25">
      <c r="C12331" s="26">
        <v>12329</v>
      </c>
    </row>
    <row r="12332" spans="3:3" x14ac:dyDescent="0.25">
      <c r="C12332" s="26">
        <v>12330</v>
      </c>
    </row>
    <row r="12333" spans="3:3" x14ac:dyDescent="0.25">
      <c r="C12333" s="26">
        <v>12331</v>
      </c>
    </row>
    <row r="12334" spans="3:3" x14ac:dyDescent="0.25">
      <c r="C12334" s="26">
        <v>12332</v>
      </c>
    </row>
    <row r="12335" spans="3:3" x14ac:dyDescent="0.25">
      <c r="C12335" s="26">
        <v>12333</v>
      </c>
    </row>
    <row r="12336" spans="3:3" x14ac:dyDescent="0.25">
      <c r="C12336" s="26">
        <v>12334</v>
      </c>
    </row>
    <row r="12337" spans="3:3" x14ac:dyDescent="0.25">
      <c r="C12337" s="26">
        <v>12335</v>
      </c>
    </row>
    <row r="12338" spans="3:3" x14ac:dyDescent="0.25">
      <c r="C12338" s="26">
        <v>12336</v>
      </c>
    </row>
    <row r="12339" spans="3:3" x14ac:dyDescent="0.25">
      <c r="C12339" s="26">
        <v>12337</v>
      </c>
    </row>
    <row r="12340" spans="3:3" x14ac:dyDescent="0.25">
      <c r="C12340" s="26">
        <v>12338</v>
      </c>
    </row>
    <row r="12341" spans="3:3" x14ac:dyDescent="0.25">
      <c r="C12341" s="26">
        <v>12339</v>
      </c>
    </row>
    <row r="12342" spans="3:3" x14ac:dyDescent="0.25">
      <c r="C12342" s="26">
        <v>12340</v>
      </c>
    </row>
    <row r="12343" spans="3:3" x14ac:dyDescent="0.25">
      <c r="C12343" s="26">
        <v>12341</v>
      </c>
    </row>
    <row r="12344" spans="3:3" x14ac:dyDescent="0.25">
      <c r="C12344" s="26">
        <v>12342</v>
      </c>
    </row>
    <row r="12345" spans="3:3" x14ac:dyDescent="0.25">
      <c r="C12345" s="26">
        <v>12343</v>
      </c>
    </row>
    <row r="12346" spans="3:3" x14ac:dyDescent="0.25">
      <c r="C12346" s="26">
        <v>12344</v>
      </c>
    </row>
    <row r="12347" spans="3:3" x14ac:dyDescent="0.25">
      <c r="C12347" s="26">
        <v>12345</v>
      </c>
    </row>
    <row r="12348" spans="3:3" x14ac:dyDescent="0.25">
      <c r="C12348" s="26">
        <v>12346</v>
      </c>
    </row>
    <row r="12349" spans="3:3" x14ac:dyDescent="0.25">
      <c r="C12349" s="26">
        <v>12347</v>
      </c>
    </row>
    <row r="12350" spans="3:3" x14ac:dyDescent="0.25">
      <c r="C12350" s="26">
        <v>12348</v>
      </c>
    </row>
    <row r="12351" spans="3:3" x14ac:dyDescent="0.25">
      <c r="C12351" s="26">
        <v>12349</v>
      </c>
    </row>
    <row r="12352" spans="3:3" x14ac:dyDescent="0.25">
      <c r="C12352" s="26">
        <v>12350</v>
      </c>
    </row>
    <row r="12353" spans="3:3" x14ac:dyDescent="0.25">
      <c r="C12353" s="26">
        <v>12351</v>
      </c>
    </row>
    <row r="12354" spans="3:3" x14ac:dyDescent="0.25">
      <c r="C12354" s="26">
        <v>12352</v>
      </c>
    </row>
    <row r="12355" spans="3:3" x14ac:dyDescent="0.25">
      <c r="C12355" s="26">
        <v>12353</v>
      </c>
    </row>
    <row r="12356" spans="3:3" x14ac:dyDescent="0.25">
      <c r="C12356" s="26">
        <v>12354</v>
      </c>
    </row>
    <row r="12357" spans="3:3" x14ac:dyDescent="0.25">
      <c r="C12357" s="26">
        <v>12355</v>
      </c>
    </row>
    <row r="12358" spans="3:3" x14ac:dyDescent="0.25">
      <c r="C12358" s="26">
        <v>12356</v>
      </c>
    </row>
    <row r="12359" spans="3:3" x14ac:dyDescent="0.25">
      <c r="C12359" s="26">
        <v>12357</v>
      </c>
    </row>
    <row r="12360" spans="3:3" x14ac:dyDescent="0.25">
      <c r="C12360" s="26">
        <v>12358</v>
      </c>
    </row>
    <row r="12361" spans="3:3" x14ac:dyDescent="0.25">
      <c r="C12361" s="26">
        <v>12359</v>
      </c>
    </row>
    <row r="12362" spans="3:3" x14ac:dyDescent="0.25">
      <c r="C12362" s="26">
        <v>12360</v>
      </c>
    </row>
    <row r="12363" spans="3:3" x14ac:dyDescent="0.25">
      <c r="C12363" s="26">
        <v>12361</v>
      </c>
    </row>
    <row r="12364" spans="3:3" x14ac:dyDescent="0.25">
      <c r="C12364" s="26">
        <v>12362</v>
      </c>
    </row>
    <row r="12365" spans="3:3" x14ac:dyDescent="0.25">
      <c r="C12365" s="26">
        <v>12363</v>
      </c>
    </row>
    <row r="12366" spans="3:3" x14ac:dyDescent="0.25">
      <c r="C12366" s="26">
        <v>12364</v>
      </c>
    </row>
    <row r="12367" spans="3:3" x14ac:dyDescent="0.25">
      <c r="C12367" s="26">
        <v>12365</v>
      </c>
    </row>
    <row r="12368" spans="3:3" x14ac:dyDescent="0.25">
      <c r="C12368" s="26">
        <v>12366</v>
      </c>
    </row>
    <row r="12369" spans="3:3" x14ac:dyDescent="0.25">
      <c r="C12369" s="26">
        <v>12367</v>
      </c>
    </row>
    <row r="12370" spans="3:3" x14ac:dyDescent="0.25">
      <c r="C12370" s="26">
        <v>12368</v>
      </c>
    </row>
    <row r="12371" spans="3:3" x14ac:dyDescent="0.25">
      <c r="C12371" s="26">
        <v>12369</v>
      </c>
    </row>
    <row r="12372" spans="3:3" x14ac:dyDescent="0.25">
      <c r="C12372" s="26">
        <v>12370</v>
      </c>
    </row>
    <row r="12373" spans="3:3" x14ac:dyDescent="0.25">
      <c r="C12373" s="26">
        <v>12371</v>
      </c>
    </row>
    <row r="12374" spans="3:3" x14ac:dyDescent="0.25">
      <c r="C12374" s="26">
        <v>12372</v>
      </c>
    </row>
    <row r="12375" spans="3:3" x14ac:dyDescent="0.25">
      <c r="C12375" s="26">
        <v>12373</v>
      </c>
    </row>
    <row r="12376" spans="3:3" x14ac:dyDescent="0.25">
      <c r="C12376" s="26">
        <v>12374</v>
      </c>
    </row>
    <row r="12377" spans="3:3" x14ac:dyDescent="0.25">
      <c r="C12377" s="26">
        <v>12375</v>
      </c>
    </row>
    <row r="12378" spans="3:3" x14ac:dyDescent="0.25">
      <c r="C12378" s="26">
        <v>12376</v>
      </c>
    </row>
    <row r="12379" spans="3:3" x14ac:dyDescent="0.25">
      <c r="C12379" s="26">
        <v>12377</v>
      </c>
    </row>
    <row r="12380" spans="3:3" x14ac:dyDescent="0.25">
      <c r="C12380" s="26">
        <v>12378</v>
      </c>
    </row>
    <row r="12381" spans="3:3" x14ac:dyDescent="0.25">
      <c r="C12381" s="26">
        <v>12379</v>
      </c>
    </row>
    <row r="12382" spans="3:3" x14ac:dyDescent="0.25">
      <c r="C12382" s="26">
        <v>12380</v>
      </c>
    </row>
    <row r="12383" spans="3:3" x14ac:dyDescent="0.25">
      <c r="C12383" s="26">
        <v>12381</v>
      </c>
    </row>
    <row r="12384" spans="3:3" x14ac:dyDescent="0.25">
      <c r="C12384" s="26">
        <v>12382</v>
      </c>
    </row>
    <row r="12385" spans="3:3" x14ac:dyDescent="0.25">
      <c r="C12385" s="26">
        <v>12383</v>
      </c>
    </row>
    <row r="12386" spans="3:3" x14ac:dyDescent="0.25">
      <c r="C12386" s="26">
        <v>12384</v>
      </c>
    </row>
    <row r="12387" spans="3:3" x14ac:dyDescent="0.25">
      <c r="C12387" s="26">
        <v>12385</v>
      </c>
    </row>
    <row r="12388" spans="3:3" x14ac:dyDescent="0.25">
      <c r="C12388" s="26">
        <v>12386</v>
      </c>
    </row>
    <row r="12389" spans="3:3" x14ac:dyDescent="0.25">
      <c r="C12389" s="26">
        <v>12387</v>
      </c>
    </row>
    <row r="12390" spans="3:3" x14ac:dyDescent="0.25">
      <c r="C12390" s="26">
        <v>12388</v>
      </c>
    </row>
    <row r="12391" spans="3:3" x14ac:dyDescent="0.25">
      <c r="C12391" s="26">
        <v>12389</v>
      </c>
    </row>
    <row r="12392" spans="3:3" x14ac:dyDescent="0.25">
      <c r="C12392" s="26">
        <v>12390</v>
      </c>
    </row>
    <row r="12393" spans="3:3" x14ac:dyDescent="0.25">
      <c r="C12393" s="26">
        <v>12391</v>
      </c>
    </row>
    <row r="12394" spans="3:3" x14ac:dyDescent="0.25">
      <c r="C12394" s="26">
        <v>12392</v>
      </c>
    </row>
    <row r="12395" spans="3:3" x14ac:dyDescent="0.25">
      <c r="C12395" s="26">
        <v>12393</v>
      </c>
    </row>
    <row r="12396" spans="3:3" x14ac:dyDescent="0.25">
      <c r="C12396" s="26">
        <v>12394</v>
      </c>
    </row>
    <row r="12397" spans="3:3" x14ac:dyDescent="0.25">
      <c r="C12397" s="26">
        <v>12395</v>
      </c>
    </row>
    <row r="12398" spans="3:3" x14ac:dyDescent="0.25">
      <c r="C12398" s="26">
        <v>12396</v>
      </c>
    </row>
    <row r="12399" spans="3:3" x14ac:dyDescent="0.25">
      <c r="C12399" s="26">
        <v>12397</v>
      </c>
    </row>
    <row r="12400" spans="3:3" x14ac:dyDescent="0.25">
      <c r="C12400" s="26">
        <v>12398</v>
      </c>
    </row>
    <row r="12401" spans="3:3" x14ac:dyDescent="0.25">
      <c r="C12401" s="26">
        <v>12399</v>
      </c>
    </row>
    <row r="12402" spans="3:3" x14ac:dyDescent="0.25">
      <c r="C12402" s="26">
        <v>12400</v>
      </c>
    </row>
    <row r="12403" spans="3:3" x14ac:dyDescent="0.25">
      <c r="C12403" s="26">
        <v>12401</v>
      </c>
    </row>
    <row r="12404" spans="3:3" x14ac:dyDescent="0.25">
      <c r="C12404" s="26">
        <v>12402</v>
      </c>
    </row>
    <row r="12405" spans="3:3" x14ac:dyDescent="0.25">
      <c r="C12405" s="26">
        <v>12403</v>
      </c>
    </row>
    <row r="12406" spans="3:3" x14ac:dyDescent="0.25">
      <c r="C12406" s="26">
        <v>12404</v>
      </c>
    </row>
    <row r="12407" spans="3:3" x14ac:dyDescent="0.25">
      <c r="C12407" s="26">
        <v>12405</v>
      </c>
    </row>
    <row r="12408" spans="3:3" x14ac:dyDescent="0.25">
      <c r="C12408" s="26">
        <v>12406</v>
      </c>
    </row>
    <row r="12409" spans="3:3" x14ac:dyDescent="0.25">
      <c r="C12409" s="26">
        <v>12407</v>
      </c>
    </row>
    <row r="12410" spans="3:3" x14ac:dyDescent="0.25">
      <c r="C12410" s="26">
        <v>12408</v>
      </c>
    </row>
    <row r="12411" spans="3:3" x14ac:dyDescent="0.25">
      <c r="C12411" s="26">
        <v>12409</v>
      </c>
    </row>
    <row r="12412" spans="3:3" x14ac:dyDescent="0.25">
      <c r="C12412" s="26">
        <v>12410</v>
      </c>
    </row>
    <row r="12413" spans="3:3" x14ac:dyDescent="0.25">
      <c r="C12413" s="26">
        <v>12411</v>
      </c>
    </row>
    <row r="12414" spans="3:3" x14ac:dyDescent="0.25">
      <c r="C12414" s="26">
        <v>12412</v>
      </c>
    </row>
    <row r="12415" spans="3:3" x14ac:dyDescent="0.25">
      <c r="C12415" s="26">
        <v>12413</v>
      </c>
    </row>
    <row r="12416" spans="3:3" x14ac:dyDescent="0.25">
      <c r="C12416" s="26">
        <v>12414</v>
      </c>
    </row>
    <row r="12417" spans="3:3" x14ac:dyDescent="0.25">
      <c r="C12417" s="26">
        <v>12415</v>
      </c>
    </row>
    <row r="12418" spans="3:3" x14ac:dyDescent="0.25">
      <c r="C12418" s="26">
        <v>12416</v>
      </c>
    </row>
    <row r="12419" spans="3:3" x14ac:dyDescent="0.25">
      <c r="C12419" s="26">
        <v>12417</v>
      </c>
    </row>
    <row r="12420" spans="3:3" x14ac:dyDescent="0.25">
      <c r="C12420" s="26">
        <v>12418</v>
      </c>
    </row>
    <row r="12421" spans="3:3" x14ac:dyDescent="0.25">
      <c r="C12421" s="26">
        <v>12419</v>
      </c>
    </row>
    <row r="12422" spans="3:3" x14ac:dyDescent="0.25">
      <c r="C12422" s="26">
        <v>12420</v>
      </c>
    </row>
    <row r="12423" spans="3:3" x14ac:dyDescent="0.25">
      <c r="C12423" s="26">
        <v>12421</v>
      </c>
    </row>
    <row r="12424" spans="3:3" x14ac:dyDescent="0.25">
      <c r="C12424" s="26">
        <v>12422</v>
      </c>
    </row>
    <row r="12425" spans="3:3" x14ac:dyDescent="0.25">
      <c r="C12425" s="26">
        <v>12423</v>
      </c>
    </row>
    <row r="12426" spans="3:3" x14ac:dyDescent="0.25">
      <c r="C12426" s="26">
        <v>12424</v>
      </c>
    </row>
    <row r="12427" spans="3:3" x14ac:dyDescent="0.25">
      <c r="C12427" s="26">
        <v>12425</v>
      </c>
    </row>
    <row r="12428" spans="3:3" x14ac:dyDescent="0.25">
      <c r="C12428" s="26">
        <v>12426</v>
      </c>
    </row>
    <row r="12429" spans="3:3" x14ac:dyDescent="0.25">
      <c r="C12429" s="26">
        <v>12427</v>
      </c>
    </row>
    <row r="12430" spans="3:3" x14ac:dyDescent="0.25">
      <c r="C12430" s="26">
        <v>12428</v>
      </c>
    </row>
    <row r="12431" spans="3:3" x14ac:dyDescent="0.25">
      <c r="C12431" s="26">
        <v>12429</v>
      </c>
    </row>
    <row r="12432" spans="3:3" x14ac:dyDescent="0.25">
      <c r="C12432" s="26">
        <v>12430</v>
      </c>
    </row>
    <row r="12433" spans="3:3" x14ac:dyDescent="0.25">
      <c r="C12433" s="26">
        <v>12431</v>
      </c>
    </row>
    <row r="12434" spans="3:3" x14ac:dyDescent="0.25">
      <c r="C12434" s="26">
        <v>12432</v>
      </c>
    </row>
    <row r="12435" spans="3:3" x14ac:dyDescent="0.25">
      <c r="C12435" s="26">
        <v>12433</v>
      </c>
    </row>
    <row r="12436" spans="3:3" x14ac:dyDescent="0.25">
      <c r="C12436" s="26">
        <v>12434</v>
      </c>
    </row>
    <row r="12437" spans="3:3" x14ac:dyDescent="0.25">
      <c r="C12437" s="26">
        <v>12435</v>
      </c>
    </row>
    <row r="12438" spans="3:3" x14ac:dyDescent="0.25">
      <c r="C12438" s="26">
        <v>12436</v>
      </c>
    </row>
    <row r="12439" spans="3:3" x14ac:dyDescent="0.25">
      <c r="C12439" s="26">
        <v>12437</v>
      </c>
    </row>
    <row r="12440" spans="3:3" x14ac:dyDescent="0.25">
      <c r="C12440" s="26">
        <v>12438</v>
      </c>
    </row>
    <row r="12441" spans="3:3" x14ac:dyDescent="0.25">
      <c r="C12441" s="26">
        <v>12439</v>
      </c>
    </row>
    <row r="12442" spans="3:3" x14ac:dyDescent="0.25">
      <c r="C12442" s="26">
        <v>12440</v>
      </c>
    </row>
    <row r="12443" spans="3:3" x14ac:dyDescent="0.25">
      <c r="C12443" s="26">
        <v>12441</v>
      </c>
    </row>
    <row r="12444" spans="3:3" x14ac:dyDescent="0.25">
      <c r="C12444" s="26">
        <v>12442</v>
      </c>
    </row>
    <row r="12445" spans="3:3" x14ac:dyDescent="0.25">
      <c r="C12445" s="26">
        <v>12443</v>
      </c>
    </row>
    <row r="12446" spans="3:3" x14ac:dyDescent="0.25">
      <c r="C12446" s="26">
        <v>12444</v>
      </c>
    </row>
    <row r="12447" spans="3:3" x14ac:dyDescent="0.25">
      <c r="C12447" s="26">
        <v>12445</v>
      </c>
    </row>
    <row r="12448" spans="3:3" x14ac:dyDescent="0.25">
      <c r="C12448" s="26">
        <v>12446</v>
      </c>
    </row>
    <row r="12449" spans="3:3" x14ac:dyDescent="0.25">
      <c r="C12449" s="26">
        <v>12447</v>
      </c>
    </row>
    <row r="12450" spans="3:3" x14ac:dyDescent="0.25">
      <c r="C12450" s="26">
        <v>12448</v>
      </c>
    </row>
    <row r="12451" spans="3:3" x14ac:dyDescent="0.25">
      <c r="C12451" s="26">
        <v>12449</v>
      </c>
    </row>
    <row r="12452" spans="3:3" x14ac:dyDescent="0.25">
      <c r="C12452" s="26">
        <v>12450</v>
      </c>
    </row>
    <row r="12453" spans="3:3" x14ac:dyDescent="0.25">
      <c r="C12453" s="26">
        <v>12451</v>
      </c>
    </row>
    <row r="12454" spans="3:3" x14ac:dyDescent="0.25">
      <c r="C12454" s="26">
        <v>12452</v>
      </c>
    </row>
    <row r="12455" spans="3:3" x14ac:dyDescent="0.25">
      <c r="C12455" s="26">
        <v>12453</v>
      </c>
    </row>
    <row r="12456" spans="3:3" x14ac:dyDescent="0.25">
      <c r="C12456" s="26">
        <v>12454</v>
      </c>
    </row>
    <row r="12457" spans="3:3" x14ac:dyDescent="0.25">
      <c r="C12457" s="26">
        <v>12455</v>
      </c>
    </row>
    <row r="12458" spans="3:3" x14ac:dyDescent="0.25">
      <c r="C12458" s="26">
        <v>12456</v>
      </c>
    </row>
    <row r="12459" spans="3:3" x14ac:dyDescent="0.25">
      <c r="C12459" s="26">
        <v>12457</v>
      </c>
    </row>
    <row r="12460" spans="3:3" x14ac:dyDescent="0.25">
      <c r="C12460" s="26">
        <v>12458</v>
      </c>
    </row>
    <row r="12461" spans="3:3" x14ac:dyDescent="0.25">
      <c r="C12461" s="26">
        <v>12459</v>
      </c>
    </row>
    <row r="12462" spans="3:3" x14ac:dyDescent="0.25">
      <c r="C12462" s="26">
        <v>12460</v>
      </c>
    </row>
    <row r="12463" spans="3:3" x14ac:dyDescent="0.25">
      <c r="C12463" s="26">
        <v>12461</v>
      </c>
    </row>
    <row r="12464" spans="3:3" x14ac:dyDescent="0.25">
      <c r="C12464" s="26">
        <v>12462</v>
      </c>
    </row>
    <row r="12465" spans="3:3" x14ac:dyDescent="0.25">
      <c r="C12465" s="26">
        <v>12463</v>
      </c>
    </row>
    <row r="12466" spans="3:3" x14ac:dyDescent="0.25">
      <c r="C12466" s="26">
        <v>12464</v>
      </c>
    </row>
    <row r="12467" spans="3:3" x14ac:dyDescent="0.25">
      <c r="C12467" s="26">
        <v>12465</v>
      </c>
    </row>
    <row r="12468" spans="3:3" x14ac:dyDescent="0.25">
      <c r="C12468" s="26">
        <v>12466</v>
      </c>
    </row>
    <row r="12469" spans="3:3" x14ac:dyDescent="0.25">
      <c r="C12469" s="26">
        <v>12467</v>
      </c>
    </row>
    <row r="12470" spans="3:3" x14ac:dyDescent="0.25">
      <c r="C12470" s="26">
        <v>12468</v>
      </c>
    </row>
    <row r="12471" spans="3:3" x14ac:dyDescent="0.25">
      <c r="C12471" s="26">
        <v>12469</v>
      </c>
    </row>
    <row r="12472" spans="3:3" x14ac:dyDescent="0.25">
      <c r="C12472" s="26">
        <v>12470</v>
      </c>
    </row>
    <row r="12473" spans="3:3" x14ac:dyDescent="0.25">
      <c r="C12473" s="26">
        <v>12471</v>
      </c>
    </row>
    <row r="12474" spans="3:3" x14ac:dyDescent="0.25">
      <c r="C12474" s="26">
        <v>12472</v>
      </c>
    </row>
    <row r="12475" spans="3:3" x14ac:dyDescent="0.25">
      <c r="C12475" s="26">
        <v>12473</v>
      </c>
    </row>
    <row r="12476" spans="3:3" x14ac:dyDescent="0.25">
      <c r="C12476" s="26">
        <v>12474</v>
      </c>
    </row>
    <row r="12477" spans="3:3" x14ac:dyDescent="0.25">
      <c r="C12477" s="26">
        <v>12475</v>
      </c>
    </row>
    <row r="12478" spans="3:3" x14ac:dyDescent="0.25">
      <c r="C12478" s="26">
        <v>12476</v>
      </c>
    </row>
    <row r="12479" spans="3:3" x14ac:dyDescent="0.25">
      <c r="C12479" s="26">
        <v>12477</v>
      </c>
    </row>
    <row r="12480" spans="3:3" x14ac:dyDescent="0.25">
      <c r="C12480" s="26">
        <v>12478</v>
      </c>
    </row>
    <row r="12481" spans="3:3" x14ac:dyDescent="0.25">
      <c r="C12481" s="26">
        <v>12479</v>
      </c>
    </row>
    <row r="12482" spans="3:3" x14ac:dyDescent="0.25">
      <c r="C12482" s="26">
        <v>12480</v>
      </c>
    </row>
    <row r="12483" spans="3:3" x14ac:dyDescent="0.25">
      <c r="C12483" s="26">
        <v>12481</v>
      </c>
    </row>
    <row r="12484" spans="3:3" x14ac:dyDescent="0.25">
      <c r="C12484" s="26">
        <v>12482</v>
      </c>
    </row>
    <row r="12485" spans="3:3" x14ac:dyDescent="0.25">
      <c r="C12485" s="26">
        <v>12483</v>
      </c>
    </row>
    <row r="12486" spans="3:3" x14ac:dyDescent="0.25">
      <c r="C12486" s="26">
        <v>12484</v>
      </c>
    </row>
    <row r="12487" spans="3:3" x14ac:dyDescent="0.25">
      <c r="C12487" s="26">
        <v>12485</v>
      </c>
    </row>
    <row r="12488" spans="3:3" x14ac:dyDescent="0.25">
      <c r="C12488" s="26">
        <v>12486</v>
      </c>
    </row>
    <row r="12489" spans="3:3" x14ac:dyDescent="0.25">
      <c r="C12489" s="26">
        <v>12487</v>
      </c>
    </row>
    <row r="12490" spans="3:3" x14ac:dyDescent="0.25">
      <c r="C12490" s="26">
        <v>12488</v>
      </c>
    </row>
    <row r="12491" spans="3:3" x14ac:dyDescent="0.25">
      <c r="C12491" s="26">
        <v>12489</v>
      </c>
    </row>
    <row r="12492" spans="3:3" x14ac:dyDescent="0.25">
      <c r="C12492" s="26">
        <v>12490</v>
      </c>
    </row>
    <row r="12493" spans="3:3" x14ac:dyDescent="0.25">
      <c r="C12493" s="26">
        <v>12491</v>
      </c>
    </row>
    <row r="12494" spans="3:3" x14ac:dyDescent="0.25">
      <c r="C12494" s="26">
        <v>12492</v>
      </c>
    </row>
    <row r="12495" spans="3:3" x14ac:dyDescent="0.25">
      <c r="C12495" s="26">
        <v>12493</v>
      </c>
    </row>
    <row r="12496" spans="3:3" x14ac:dyDescent="0.25">
      <c r="C12496" s="26">
        <v>12494</v>
      </c>
    </row>
    <row r="12497" spans="3:3" x14ac:dyDescent="0.25">
      <c r="C12497" s="26">
        <v>12495</v>
      </c>
    </row>
    <row r="12498" spans="3:3" x14ac:dyDescent="0.25">
      <c r="C12498" s="26">
        <v>12496</v>
      </c>
    </row>
    <row r="12499" spans="3:3" x14ac:dyDescent="0.25">
      <c r="C12499" s="26">
        <v>12497</v>
      </c>
    </row>
    <row r="12500" spans="3:3" x14ac:dyDescent="0.25">
      <c r="C12500" s="26">
        <v>12498</v>
      </c>
    </row>
    <row r="12501" spans="3:3" x14ac:dyDescent="0.25">
      <c r="C12501" s="26">
        <v>12499</v>
      </c>
    </row>
    <row r="12502" spans="3:3" x14ac:dyDescent="0.25">
      <c r="C12502" s="26">
        <v>12500</v>
      </c>
    </row>
    <row r="12503" spans="3:3" x14ac:dyDescent="0.25">
      <c r="C12503" s="26">
        <v>12501</v>
      </c>
    </row>
    <row r="12504" spans="3:3" x14ac:dyDescent="0.25">
      <c r="C12504" s="26">
        <v>12502</v>
      </c>
    </row>
    <row r="12505" spans="3:3" x14ac:dyDescent="0.25">
      <c r="C12505" s="26">
        <v>12503</v>
      </c>
    </row>
    <row r="12506" spans="3:3" x14ac:dyDescent="0.25">
      <c r="C12506" s="26">
        <v>12504</v>
      </c>
    </row>
    <row r="12507" spans="3:3" x14ac:dyDescent="0.25">
      <c r="C12507" s="26">
        <v>12505</v>
      </c>
    </row>
    <row r="12508" spans="3:3" x14ac:dyDescent="0.25">
      <c r="C12508" s="26">
        <v>12506</v>
      </c>
    </row>
    <row r="12509" spans="3:3" x14ac:dyDescent="0.25">
      <c r="C12509" s="26">
        <v>12507</v>
      </c>
    </row>
    <row r="12510" spans="3:3" x14ac:dyDescent="0.25">
      <c r="C12510" s="26">
        <v>12508</v>
      </c>
    </row>
    <row r="12511" spans="3:3" x14ac:dyDescent="0.25">
      <c r="C12511" s="26">
        <v>12509</v>
      </c>
    </row>
    <row r="12512" spans="3:3" x14ac:dyDescent="0.25">
      <c r="C12512" s="26">
        <v>12510</v>
      </c>
    </row>
    <row r="12513" spans="3:3" x14ac:dyDescent="0.25">
      <c r="C12513" s="26">
        <v>12511</v>
      </c>
    </row>
    <row r="12514" spans="3:3" x14ac:dyDescent="0.25">
      <c r="C12514" s="26">
        <v>12512</v>
      </c>
    </row>
    <row r="12515" spans="3:3" x14ac:dyDescent="0.25">
      <c r="C12515" s="26">
        <v>12513</v>
      </c>
    </row>
    <row r="12516" spans="3:3" x14ac:dyDescent="0.25">
      <c r="C12516" s="26">
        <v>12514</v>
      </c>
    </row>
    <row r="12517" spans="3:3" x14ac:dyDescent="0.25">
      <c r="C12517" s="26">
        <v>12515</v>
      </c>
    </row>
    <row r="12518" spans="3:3" x14ac:dyDescent="0.25">
      <c r="C12518" s="26">
        <v>12516</v>
      </c>
    </row>
    <row r="12519" spans="3:3" x14ac:dyDescent="0.25">
      <c r="C12519" s="26">
        <v>12517</v>
      </c>
    </row>
    <row r="12520" spans="3:3" x14ac:dyDescent="0.25">
      <c r="C12520" s="26">
        <v>12518</v>
      </c>
    </row>
    <row r="12521" spans="3:3" x14ac:dyDescent="0.25">
      <c r="C12521" s="26">
        <v>12519</v>
      </c>
    </row>
    <row r="12522" spans="3:3" x14ac:dyDescent="0.25">
      <c r="C12522" s="26">
        <v>12520</v>
      </c>
    </row>
    <row r="12523" spans="3:3" x14ac:dyDescent="0.25">
      <c r="C12523" s="26">
        <v>12521</v>
      </c>
    </row>
    <row r="12524" spans="3:3" x14ac:dyDescent="0.25">
      <c r="C12524" s="26">
        <v>12522</v>
      </c>
    </row>
    <row r="12525" spans="3:3" x14ac:dyDescent="0.25">
      <c r="C12525" s="26">
        <v>12523</v>
      </c>
    </row>
    <row r="12526" spans="3:3" x14ac:dyDescent="0.25">
      <c r="C12526" s="26">
        <v>12524</v>
      </c>
    </row>
    <row r="12527" spans="3:3" x14ac:dyDescent="0.25">
      <c r="C12527" s="26">
        <v>12525</v>
      </c>
    </row>
    <row r="12528" spans="3:3" x14ac:dyDescent="0.25">
      <c r="C12528" s="26">
        <v>12526</v>
      </c>
    </row>
    <row r="12529" spans="3:3" x14ac:dyDescent="0.25">
      <c r="C12529" s="26">
        <v>12527</v>
      </c>
    </row>
    <row r="12530" spans="3:3" x14ac:dyDescent="0.25">
      <c r="C12530" s="26">
        <v>12528</v>
      </c>
    </row>
    <row r="12531" spans="3:3" x14ac:dyDescent="0.25">
      <c r="C12531" s="26">
        <v>12529</v>
      </c>
    </row>
    <row r="12532" spans="3:3" x14ac:dyDescent="0.25">
      <c r="C12532" s="26">
        <v>12530</v>
      </c>
    </row>
    <row r="12533" spans="3:3" x14ac:dyDescent="0.25">
      <c r="C12533" s="26">
        <v>12531</v>
      </c>
    </row>
    <row r="12534" spans="3:3" x14ac:dyDescent="0.25">
      <c r="C12534" s="26">
        <v>12532</v>
      </c>
    </row>
    <row r="12535" spans="3:3" x14ac:dyDescent="0.25">
      <c r="C12535" s="26">
        <v>12533</v>
      </c>
    </row>
    <row r="12536" spans="3:3" x14ac:dyDescent="0.25">
      <c r="C12536" s="26">
        <v>12534</v>
      </c>
    </row>
    <row r="12537" spans="3:3" x14ac:dyDescent="0.25">
      <c r="C12537" s="26">
        <v>12535</v>
      </c>
    </row>
    <row r="12538" spans="3:3" x14ac:dyDescent="0.25">
      <c r="C12538" s="26">
        <v>12536</v>
      </c>
    </row>
    <row r="12539" spans="3:3" x14ac:dyDescent="0.25">
      <c r="C12539" s="26">
        <v>12537</v>
      </c>
    </row>
    <row r="12540" spans="3:3" x14ac:dyDescent="0.25">
      <c r="C12540" s="26">
        <v>12538</v>
      </c>
    </row>
    <row r="12541" spans="3:3" x14ac:dyDescent="0.25">
      <c r="C12541" s="26">
        <v>12539</v>
      </c>
    </row>
    <row r="12542" spans="3:3" x14ac:dyDescent="0.25">
      <c r="C12542" s="26">
        <v>12540</v>
      </c>
    </row>
    <row r="12543" spans="3:3" x14ac:dyDescent="0.25">
      <c r="C12543" s="26">
        <v>12541</v>
      </c>
    </row>
    <row r="12544" spans="3:3" x14ac:dyDescent="0.25">
      <c r="C12544" s="26">
        <v>12542</v>
      </c>
    </row>
    <row r="12545" spans="3:3" x14ac:dyDescent="0.25">
      <c r="C12545" s="26">
        <v>12543</v>
      </c>
    </row>
    <row r="12546" spans="3:3" x14ac:dyDescent="0.25">
      <c r="C12546" s="26">
        <v>12544</v>
      </c>
    </row>
    <row r="12547" spans="3:3" x14ac:dyDescent="0.25">
      <c r="C12547" s="26">
        <v>12545</v>
      </c>
    </row>
    <row r="12548" spans="3:3" x14ac:dyDescent="0.25">
      <c r="C12548" s="26">
        <v>12546</v>
      </c>
    </row>
    <row r="12549" spans="3:3" x14ac:dyDescent="0.25">
      <c r="C12549" s="26">
        <v>12547</v>
      </c>
    </row>
    <row r="12550" spans="3:3" x14ac:dyDescent="0.25">
      <c r="C12550" s="26">
        <v>12548</v>
      </c>
    </row>
    <row r="12551" spans="3:3" x14ac:dyDescent="0.25">
      <c r="C12551" s="26">
        <v>12549</v>
      </c>
    </row>
    <row r="12552" spans="3:3" x14ac:dyDescent="0.25">
      <c r="C12552" s="26">
        <v>12550</v>
      </c>
    </row>
    <row r="12553" spans="3:3" x14ac:dyDescent="0.25">
      <c r="C12553" s="26">
        <v>12551</v>
      </c>
    </row>
    <row r="12554" spans="3:3" x14ac:dyDescent="0.25">
      <c r="C12554" s="26">
        <v>12552</v>
      </c>
    </row>
    <row r="12555" spans="3:3" x14ac:dyDescent="0.25">
      <c r="C12555" s="26">
        <v>12553</v>
      </c>
    </row>
    <row r="12556" spans="3:3" x14ac:dyDescent="0.25">
      <c r="C12556" s="26">
        <v>12554</v>
      </c>
    </row>
    <row r="12557" spans="3:3" x14ac:dyDescent="0.25">
      <c r="C12557" s="26">
        <v>12555</v>
      </c>
    </row>
    <row r="12558" spans="3:3" x14ac:dyDescent="0.25">
      <c r="C12558" s="26">
        <v>12556</v>
      </c>
    </row>
    <row r="12559" spans="3:3" x14ac:dyDescent="0.25">
      <c r="C12559" s="26">
        <v>12557</v>
      </c>
    </row>
    <row r="12560" spans="3:3" x14ac:dyDescent="0.25">
      <c r="C12560" s="26">
        <v>12558</v>
      </c>
    </row>
    <row r="12561" spans="3:3" x14ac:dyDescent="0.25">
      <c r="C12561" s="26">
        <v>12559</v>
      </c>
    </row>
    <row r="12562" spans="3:3" x14ac:dyDescent="0.25">
      <c r="C12562" s="26">
        <v>12560</v>
      </c>
    </row>
    <row r="12563" spans="3:3" x14ac:dyDescent="0.25">
      <c r="C12563" s="26">
        <v>12561</v>
      </c>
    </row>
    <row r="12564" spans="3:3" x14ac:dyDescent="0.25">
      <c r="C12564" s="26">
        <v>12562</v>
      </c>
    </row>
    <row r="12565" spans="3:3" x14ac:dyDescent="0.25">
      <c r="C12565" s="26">
        <v>12563</v>
      </c>
    </row>
    <row r="12566" spans="3:3" x14ac:dyDescent="0.25">
      <c r="C12566" s="26">
        <v>12564</v>
      </c>
    </row>
    <row r="12567" spans="3:3" x14ac:dyDescent="0.25">
      <c r="C12567" s="26">
        <v>12565</v>
      </c>
    </row>
    <row r="12568" spans="3:3" x14ac:dyDescent="0.25">
      <c r="C12568" s="26">
        <v>12566</v>
      </c>
    </row>
    <row r="12569" spans="3:3" x14ac:dyDescent="0.25">
      <c r="C12569" s="26">
        <v>12567</v>
      </c>
    </row>
    <row r="12570" spans="3:3" x14ac:dyDescent="0.25">
      <c r="C12570" s="26">
        <v>12568</v>
      </c>
    </row>
    <row r="12571" spans="3:3" x14ac:dyDescent="0.25">
      <c r="C12571" s="26">
        <v>12569</v>
      </c>
    </row>
    <row r="12572" spans="3:3" x14ac:dyDescent="0.25">
      <c r="C12572" s="26">
        <v>12570</v>
      </c>
    </row>
    <row r="12573" spans="3:3" x14ac:dyDescent="0.25">
      <c r="C12573" s="26">
        <v>12571</v>
      </c>
    </row>
    <row r="12574" spans="3:3" x14ac:dyDescent="0.25">
      <c r="C12574" s="26">
        <v>12572</v>
      </c>
    </row>
    <row r="12575" spans="3:3" x14ac:dyDescent="0.25">
      <c r="C12575" s="26">
        <v>12573</v>
      </c>
    </row>
    <row r="12576" spans="3:3" x14ac:dyDescent="0.25">
      <c r="C12576" s="26">
        <v>12574</v>
      </c>
    </row>
    <row r="12577" spans="3:3" x14ac:dyDescent="0.25">
      <c r="C12577" s="26">
        <v>12575</v>
      </c>
    </row>
    <row r="12578" spans="3:3" x14ac:dyDescent="0.25">
      <c r="C12578" s="26">
        <v>12576</v>
      </c>
    </row>
    <row r="12579" spans="3:3" x14ac:dyDescent="0.25">
      <c r="C12579" s="26">
        <v>12577</v>
      </c>
    </row>
    <row r="12580" spans="3:3" x14ac:dyDescent="0.25">
      <c r="C12580" s="26">
        <v>12578</v>
      </c>
    </row>
    <row r="12581" spans="3:3" x14ac:dyDescent="0.25">
      <c r="C12581" s="26">
        <v>12579</v>
      </c>
    </row>
    <row r="12582" spans="3:3" x14ac:dyDescent="0.25">
      <c r="C12582" s="26">
        <v>12580</v>
      </c>
    </row>
    <row r="12583" spans="3:3" x14ac:dyDescent="0.25">
      <c r="C12583" s="26">
        <v>12581</v>
      </c>
    </row>
    <row r="12584" spans="3:3" x14ac:dyDescent="0.25">
      <c r="C12584" s="26">
        <v>12582</v>
      </c>
    </row>
    <row r="12585" spans="3:3" x14ac:dyDescent="0.25">
      <c r="C12585" s="26">
        <v>12583</v>
      </c>
    </row>
    <row r="12586" spans="3:3" x14ac:dyDescent="0.25">
      <c r="C12586" s="26">
        <v>12584</v>
      </c>
    </row>
    <row r="12587" spans="3:3" x14ac:dyDescent="0.25">
      <c r="C12587" s="26">
        <v>12585</v>
      </c>
    </row>
    <row r="12588" spans="3:3" x14ac:dyDescent="0.25">
      <c r="C12588" s="26">
        <v>12586</v>
      </c>
    </row>
    <row r="12589" spans="3:3" x14ac:dyDescent="0.25">
      <c r="C12589" s="26">
        <v>12587</v>
      </c>
    </row>
    <row r="12590" spans="3:3" x14ac:dyDescent="0.25">
      <c r="C12590" s="26">
        <v>12588</v>
      </c>
    </row>
    <row r="12591" spans="3:3" x14ac:dyDescent="0.25">
      <c r="C12591" s="26">
        <v>12589</v>
      </c>
    </row>
    <row r="12592" spans="3:3" x14ac:dyDescent="0.25">
      <c r="C12592" s="26">
        <v>12590</v>
      </c>
    </row>
    <row r="12593" spans="3:3" x14ac:dyDescent="0.25">
      <c r="C12593" s="26">
        <v>12591</v>
      </c>
    </row>
    <row r="12594" spans="3:3" x14ac:dyDescent="0.25">
      <c r="C12594" s="26">
        <v>12592</v>
      </c>
    </row>
    <row r="12595" spans="3:3" x14ac:dyDescent="0.25">
      <c r="C12595" s="26">
        <v>12593</v>
      </c>
    </row>
    <row r="12596" spans="3:3" x14ac:dyDescent="0.25">
      <c r="C12596" s="26">
        <v>12594</v>
      </c>
    </row>
    <row r="12597" spans="3:3" x14ac:dyDescent="0.25">
      <c r="C12597" s="26">
        <v>12595</v>
      </c>
    </row>
    <row r="12598" spans="3:3" x14ac:dyDescent="0.25">
      <c r="C12598" s="26">
        <v>12596</v>
      </c>
    </row>
    <row r="12599" spans="3:3" x14ac:dyDescent="0.25">
      <c r="C12599" s="26">
        <v>12597</v>
      </c>
    </row>
    <row r="12600" spans="3:3" x14ac:dyDescent="0.25">
      <c r="C12600" s="26">
        <v>12598</v>
      </c>
    </row>
    <row r="12601" spans="3:3" x14ac:dyDescent="0.25">
      <c r="C12601" s="26">
        <v>12599</v>
      </c>
    </row>
    <row r="12602" spans="3:3" x14ac:dyDescent="0.25">
      <c r="C12602" s="26">
        <v>12600</v>
      </c>
    </row>
    <row r="12603" spans="3:3" x14ac:dyDescent="0.25">
      <c r="C12603" s="26">
        <v>12601</v>
      </c>
    </row>
    <row r="12604" spans="3:3" x14ac:dyDescent="0.25">
      <c r="C12604" s="26">
        <v>12602</v>
      </c>
    </row>
    <row r="12605" spans="3:3" x14ac:dyDescent="0.25">
      <c r="C12605" s="26">
        <v>12603</v>
      </c>
    </row>
    <row r="12606" spans="3:3" x14ac:dyDescent="0.25">
      <c r="C12606" s="26">
        <v>12604</v>
      </c>
    </row>
    <row r="12607" spans="3:3" x14ac:dyDescent="0.25">
      <c r="C12607" s="26">
        <v>12605</v>
      </c>
    </row>
    <row r="12608" spans="3:3" x14ac:dyDescent="0.25">
      <c r="C12608" s="26">
        <v>12606</v>
      </c>
    </row>
    <row r="12609" spans="3:3" x14ac:dyDescent="0.25">
      <c r="C12609" s="26">
        <v>12607</v>
      </c>
    </row>
    <row r="12610" spans="3:3" x14ac:dyDescent="0.25">
      <c r="C12610" s="26">
        <v>12608</v>
      </c>
    </row>
    <row r="12611" spans="3:3" x14ac:dyDescent="0.25">
      <c r="C12611" s="26">
        <v>12609</v>
      </c>
    </row>
    <row r="12612" spans="3:3" x14ac:dyDescent="0.25">
      <c r="C12612" s="26">
        <v>12610</v>
      </c>
    </row>
    <row r="12613" spans="3:3" x14ac:dyDescent="0.25">
      <c r="C12613" s="26">
        <v>12611</v>
      </c>
    </row>
    <row r="12614" spans="3:3" x14ac:dyDescent="0.25">
      <c r="C12614" s="26">
        <v>12612</v>
      </c>
    </row>
    <row r="12615" spans="3:3" x14ac:dyDescent="0.25">
      <c r="C12615" s="26">
        <v>12613</v>
      </c>
    </row>
    <row r="12616" spans="3:3" x14ac:dyDescent="0.25">
      <c r="C12616" s="26">
        <v>12614</v>
      </c>
    </row>
    <row r="12617" spans="3:3" x14ac:dyDescent="0.25">
      <c r="C12617" s="26">
        <v>12615</v>
      </c>
    </row>
    <row r="12618" spans="3:3" x14ac:dyDescent="0.25">
      <c r="C12618" s="26">
        <v>12616</v>
      </c>
    </row>
    <row r="12619" spans="3:3" x14ac:dyDescent="0.25">
      <c r="C12619" s="26">
        <v>12617</v>
      </c>
    </row>
    <row r="12620" spans="3:3" x14ac:dyDescent="0.25">
      <c r="C12620" s="26">
        <v>12618</v>
      </c>
    </row>
    <row r="12621" spans="3:3" x14ac:dyDescent="0.25">
      <c r="C12621" s="26">
        <v>12619</v>
      </c>
    </row>
    <row r="12622" spans="3:3" x14ac:dyDescent="0.25">
      <c r="C12622" s="26">
        <v>12620</v>
      </c>
    </row>
    <row r="12623" spans="3:3" x14ac:dyDescent="0.25">
      <c r="C12623" s="26">
        <v>12621</v>
      </c>
    </row>
    <row r="12624" spans="3:3" x14ac:dyDescent="0.25">
      <c r="C12624" s="26">
        <v>12622</v>
      </c>
    </row>
    <row r="12625" spans="3:3" x14ac:dyDescent="0.25">
      <c r="C12625" s="26">
        <v>12623</v>
      </c>
    </row>
    <row r="12626" spans="3:3" x14ac:dyDescent="0.25">
      <c r="C12626" s="26">
        <v>12624</v>
      </c>
    </row>
    <row r="12627" spans="3:3" x14ac:dyDescent="0.25">
      <c r="C12627" s="26">
        <v>12625</v>
      </c>
    </row>
    <row r="12628" spans="3:3" x14ac:dyDescent="0.25">
      <c r="C12628" s="26">
        <v>12626</v>
      </c>
    </row>
    <row r="12629" spans="3:3" x14ac:dyDescent="0.25">
      <c r="C12629" s="26">
        <v>12627</v>
      </c>
    </row>
    <row r="12630" spans="3:3" x14ac:dyDescent="0.25">
      <c r="C12630" s="26">
        <v>12628</v>
      </c>
    </row>
    <row r="12631" spans="3:3" x14ac:dyDescent="0.25">
      <c r="C12631" s="26">
        <v>12629</v>
      </c>
    </row>
    <row r="12632" spans="3:3" x14ac:dyDescent="0.25">
      <c r="C12632" s="26">
        <v>12630</v>
      </c>
    </row>
    <row r="12633" spans="3:3" x14ac:dyDescent="0.25">
      <c r="C12633" s="26">
        <v>12631</v>
      </c>
    </row>
    <row r="12634" spans="3:3" x14ac:dyDescent="0.25">
      <c r="C12634" s="26">
        <v>12632</v>
      </c>
    </row>
    <row r="12635" spans="3:3" x14ac:dyDescent="0.25">
      <c r="C12635" s="26">
        <v>12633</v>
      </c>
    </row>
    <row r="12636" spans="3:3" x14ac:dyDescent="0.25">
      <c r="C12636" s="26">
        <v>12634</v>
      </c>
    </row>
    <row r="12637" spans="3:3" x14ac:dyDescent="0.25">
      <c r="C12637" s="26">
        <v>12635</v>
      </c>
    </row>
    <row r="12638" spans="3:3" x14ac:dyDescent="0.25">
      <c r="C12638" s="26">
        <v>12636</v>
      </c>
    </row>
    <row r="12639" spans="3:3" x14ac:dyDescent="0.25">
      <c r="C12639" s="26">
        <v>12637</v>
      </c>
    </row>
    <row r="12640" spans="3:3" x14ac:dyDescent="0.25">
      <c r="C12640" s="26">
        <v>12638</v>
      </c>
    </row>
    <row r="12641" spans="3:3" x14ac:dyDescent="0.25">
      <c r="C12641" s="26">
        <v>12639</v>
      </c>
    </row>
    <row r="12642" spans="3:3" x14ac:dyDescent="0.25">
      <c r="C12642" s="26">
        <v>12640</v>
      </c>
    </row>
    <row r="12643" spans="3:3" x14ac:dyDescent="0.25">
      <c r="C12643" s="26">
        <v>12641</v>
      </c>
    </row>
    <row r="12644" spans="3:3" x14ac:dyDescent="0.25">
      <c r="C12644" s="26">
        <v>12642</v>
      </c>
    </row>
    <row r="12645" spans="3:3" x14ac:dyDescent="0.25">
      <c r="C12645" s="26">
        <v>12643</v>
      </c>
    </row>
    <row r="12646" spans="3:3" x14ac:dyDescent="0.25">
      <c r="C12646" s="26">
        <v>12644</v>
      </c>
    </row>
    <row r="12647" spans="3:3" x14ac:dyDescent="0.25">
      <c r="C12647" s="26">
        <v>12645</v>
      </c>
    </row>
    <row r="12648" spans="3:3" x14ac:dyDescent="0.25">
      <c r="C12648" s="26">
        <v>12646</v>
      </c>
    </row>
    <row r="12649" spans="3:3" x14ac:dyDescent="0.25">
      <c r="C12649" s="26">
        <v>12647</v>
      </c>
    </row>
    <row r="12650" spans="3:3" x14ac:dyDescent="0.25">
      <c r="C12650" s="26">
        <v>12648</v>
      </c>
    </row>
    <row r="12651" spans="3:3" x14ac:dyDescent="0.25">
      <c r="C12651" s="26">
        <v>12649</v>
      </c>
    </row>
    <row r="12652" spans="3:3" x14ac:dyDescent="0.25">
      <c r="C12652" s="26">
        <v>12650</v>
      </c>
    </row>
    <row r="12653" spans="3:3" x14ac:dyDescent="0.25">
      <c r="C12653" s="26">
        <v>12651</v>
      </c>
    </row>
    <row r="12654" spans="3:3" x14ac:dyDescent="0.25">
      <c r="C12654" s="26">
        <v>12652</v>
      </c>
    </row>
    <row r="12655" spans="3:3" x14ac:dyDescent="0.25">
      <c r="C12655" s="26">
        <v>12653</v>
      </c>
    </row>
    <row r="12656" spans="3:3" x14ac:dyDescent="0.25">
      <c r="C12656" s="26">
        <v>12654</v>
      </c>
    </row>
    <row r="12657" spans="3:3" x14ac:dyDescent="0.25">
      <c r="C12657" s="26">
        <v>12655</v>
      </c>
    </row>
    <row r="12658" spans="3:3" x14ac:dyDescent="0.25">
      <c r="C12658" s="26">
        <v>12656</v>
      </c>
    </row>
    <row r="12659" spans="3:3" x14ac:dyDescent="0.25">
      <c r="C12659" s="26">
        <v>12657</v>
      </c>
    </row>
    <row r="12660" spans="3:3" x14ac:dyDescent="0.25">
      <c r="C12660" s="26">
        <v>12658</v>
      </c>
    </row>
    <row r="12661" spans="3:3" x14ac:dyDescent="0.25">
      <c r="C12661" s="26">
        <v>12659</v>
      </c>
    </row>
    <row r="12662" spans="3:3" x14ac:dyDescent="0.25">
      <c r="C12662" s="26">
        <v>12660</v>
      </c>
    </row>
    <row r="12663" spans="3:3" x14ac:dyDescent="0.25">
      <c r="C12663" s="26">
        <v>12661</v>
      </c>
    </row>
    <row r="12664" spans="3:3" x14ac:dyDescent="0.25">
      <c r="C12664" s="26">
        <v>12662</v>
      </c>
    </row>
    <row r="12665" spans="3:3" x14ac:dyDescent="0.25">
      <c r="C12665" s="26">
        <v>12663</v>
      </c>
    </row>
    <row r="12666" spans="3:3" x14ac:dyDescent="0.25">
      <c r="C12666" s="26">
        <v>12664</v>
      </c>
    </row>
    <row r="12667" spans="3:3" x14ac:dyDescent="0.25">
      <c r="C12667" s="26">
        <v>12665</v>
      </c>
    </row>
    <row r="12668" spans="3:3" x14ac:dyDescent="0.25">
      <c r="C12668" s="26">
        <v>12666</v>
      </c>
    </row>
    <row r="12669" spans="3:3" x14ac:dyDescent="0.25">
      <c r="C12669" s="26">
        <v>12667</v>
      </c>
    </row>
    <row r="12670" spans="3:3" x14ac:dyDescent="0.25">
      <c r="C12670" s="26">
        <v>12668</v>
      </c>
    </row>
    <row r="12671" spans="3:3" x14ac:dyDescent="0.25">
      <c r="C12671" s="26">
        <v>12669</v>
      </c>
    </row>
    <row r="12672" spans="3:3" x14ac:dyDescent="0.25">
      <c r="C12672" s="26">
        <v>12670</v>
      </c>
    </row>
    <row r="12673" spans="3:3" x14ac:dyDescent="0.25">
      <c r="C12673" s="26">
        <v>12671</v>
      </c>
    </row>
    <row r="12674" spans="3:3" x14ac:dyDescent="0.25">
      <c r="C12674" s="26">
        <v>12672</v>
      </c>
    </row>
    <row r="12675" spans="3:3" x14ac:dyDescent="0.25">
      <c r="C12675" s="26">
        <v>12673</v>
      </c>
    </row>
    <row r="12676" spans="3:3" x14ac:dyDescent="0.25">
      <c r="C12676" s="26">
        <v>12674</v>
      </c>
    </row>
    <row r="12677" spans="3:3" x14ac:dyDescent="0.25">
      <c r="C12677" s="26">
        <v>12675</v>
      </c>
    </row>
    <row r="12678" spans="3:3" x14ac:dyDescent="0.25">
      <c r="C12678" s="26">
        <v>12676</v>
      </c>
    </row>
    <row r="12679" spans="3:3" x14ac:dyDescent="0.25">
      <c r="C12679" s="26">
        <v>12677</v>
      </c>
    </row>
    <row r="12680" spans="3:3" x14ac:dyDescent="0.25">
      <c r="C12680" s="26">
        <v>12678</v>
      </c>
    </row>
    <row r="12681" spans="3:3" x14ac:dyDescent="0.25">
      <c r="C12681" s="26">
        <v>12679</v>
      </c>
    </row>
    <row r="12682" spans="3:3" x14ac:dyDescent="0.25">
      <c r="C12682" s="26">
        <v>12680</v>
      </c>
    </row>
    <row r="12683" spans="3:3" x14ac:dyDescent="0.25">
      <c r="C12683" s="26">
        <v>12681</v>
      </c>
    </row>
    <row r="12684" spans="3:3" x14ac:dyDescent="0.25">
      <c r="C12684" s="26">
        <v>12682</v>
      </c>
    </row>
    <row r="12685" spans="3:3" x14ac:dyDescent="0.25">
      <c r="C12685" s="26">
        <v>12683</v>
      </c>
    </row>
    <row r="12686" spans="3:3" x14ac:dyDescent="0.25">
      <c r="C12686" s="26">
        <v>12684</v>
      </c>
    </row>
    <row r="12687" spans="3:3" x14ac:dyDescent="0.25">
      <c r="C12687" s="26">
        <v>12685</v>
      </c>
    </row>
    <row r="12688" spans="3:3" x14ac:dyDescent="0.25">
      <c r="C12688" s="26">
        <v>12686</v>
      </c>
    </row>
    <row r="12689" spans="3:3" x14ac:dyDescent="0.25">
      <c r="C12689" s="26">
        <v>12687</v>
      </c>
    </row>
    <row r="12690" spans="3:3" x14ac:dyDescent="0.25">
      <c r="C12690" s="26">
        <v>12688</v>
      </c>
    </row>
    <row r="12691" spans="3:3" x14ac:dyDescent="0.25">
      <c r="C12691" s="26">
        <v>12689</v>
      </c>
    </row>
    <row r="12692" spans="3:3" x14ac:dyDescent="0.25">
      <c r="C12692" s="26">
        <v>12690</v>
      </c>
    </row>
    <row r="12693" spans="3:3" x14ac:dyDescent="0.25">
      <c r="C12693" s="26">
        <v>12691</v>
      </c>
    </row>
    <row r="12694" spans="3:3" x14ac:dyDescent="0.25">
      <c r="C12694" s="26">
        <v>12692</v>
      </c>
    </row>
    <row r="12695" spans="3:3" x14ac:dyDescent="0.25">
      <c r="C12695" s="26">
        <v>12693</v>
      </c>
    </row>
    <row r="12696" spans="3:3" x14ac:dyDescent="0.25">
      <c r="C12696" s="26">
        <v>12694</v>
      </c>
    </row>
    <row r="12697" spans="3:3" x14ac:dyDescent="0.25">
      <c r="C12697" s="26">
        <v>12695</v>
      </c>
    </row>
    <row r="12698" spans="3:3" x14ac:dyDescent="0.25">
      <c r="C12698" s="26">
        <v>12696</v>
      </c>
    </row>
    <row r="12699" spans="3:3" x14ac:dyDescent="0.25">
      <c r="C12699" s="26">
        <v>12697</v>
      </c>
    </row>
    <row r="12700" spans="3:3" x14ac:dyDescent="0.25">
      <c r="C12700" s="26">
        <v>12698</v>
      </c>
    </row>
    <row r="12701" spans="3:3" x14ac:dyDescent="0.25">
      <c r="C12701" s="26">
        <v>12699</v>
      </c>
    </row>
    <row r="12702" spans="3:3" x14ac:dyDescent="0.25">
      <c r="C12702" s="26">
        <v>12700</v>
      </c>
    </row>
    <row r="12703" spans="3:3" x14ac:dyDescent="0.25">
      <c r="C12703" s="26">
        <v>12701</v>
      </c>
    </row>
    <row r="12704" spans="3:3" x14ac:dyDescent="0.25">
      <c r="C12704" s="26">
        <v>12702</v>
      </c>
    </row>
    <row r="12705" spans="3:3" x14ac:dyDescent="0.25">
      <c r="C12705" s="26">
        <v>12703</v>
      </c>
    </row>
    <row r="12706" spans="3:3" x14ac:dyDescent="0.25">
      <c r="C12706" s="26">
        <v>12704</v>
      </c>
    </row>
    <row r="12707" spans="3:3" x14ac:dyDescent="0.25">
      <c r="C12707" s="26">
        <v>12705</v>
      </c>
    </row>
    <row r="12708" spans="3:3" x14ac:dyDescent="0.25">
      <c r="C12708" s="26">
        <v>12706</v>
      </c>
    </row>
    <row r="12709" spans="3:3" x14ac:dyDescent="0.25">
      <c r="C12709" s="26">
        <v>12707</v>
      </c>
    </row>
    <row r="12710" spans="3:3" x14ac:dyDescent="0.25">
      <c r="C12710" s="26">
        <v>12708</v>
      </c>
    </row>
    <row r="12711" spans="3:3" x14ac:dyDescent="0.25">
      <c r="C12711" s="26">
        <v>12709</v>
      </c>
    </row>
    <row r="12712" spans="3:3" x14ac:dyDescent="0.25">
      <c r="C12712" s="26">
        <v>12710</v>
      </c>
    </row>
    <row r="12713" spans="3:3" x14ac:dyDescent="0.25">
      <c r="C12713" s="26">
        <v>12711</v>
      </c>
    </row>
    <row r="12714" spans="3:3" x14ac:dyDescent="0.25">
      <c r="C12714" s="26">
        <v>12712</v>
      </c>
    </row>
    <row r="12715" spans="3:3" x14ac:dyDescent="0.25">
      <c r="C12715" s="26">
        <v>12713</v>
      </c>
    </row>
    <row r="12716" spans="3:3" x14ac:dyDescent="0.25">
      <c r="C12716" s="26">
        <v>12714</v>
      </c>
    </row>
    <row r="12717" spans="3:3" x14ac:dyDescent="0.25">
      <c r="C12717" s="26">
        <v>12715</v>
      </c>
    </row>
    <row r="12718" spans="3:3" x14ac:dyDescent="0.25">
      <c r="C12718" s="26">
        <v>12716</v>
      </c>
    </row>
    <row r="12719" spans="3:3" x14ac:dyDescent="0.25">
      <c r="C12719" s="26">
        <v>12717</v>
      </c>
    </row>
    <row r="12720" spans="3:3" x14ac:dyDescent="0.25">
      <c r="C12720" s="26">
        <v>12718</v>
      </c>
    </row>
    <row r="12721" spans="3:3" x14ac:dyDescent="0.25">
      <c r="C12721" s="26">
        <v>12719</v>
      </c>
    </row>
    <row r="12722" spans="3:3" x14ac:dyDescent="0.25">
      <c r="C12722" s="26">
        <v>12720</v>
      </c>
    </row>
    <row r="12723" spans="3:3" x14ac:dyDescent="0.25">
      <c r="C12723" s="26">
        <v>12721</v>
      </c>
    </row>
    <row r="12724" spans="3:3" x14ac:dyDescent="0.25">
      <c r="C12724" s="26">
        <v>12722</v>
      </c>
    </row>
    <row r="12725" spans="3:3" x14ac:dyDescent="0.25">
      <c r="C12725" s="26">
        <v>12723</v>
      </c>
    </row>
    <row r="12726" spans="3:3" x14ac:dyDescent="0.25">
      <c r="C12726" s="26">
        <v>12724</v>
      </c>
    </row>
    <row r="12727" spans="3:3" x14ac:dyDescent="0.25">
      <c r="C12727" s="26">
        <v>12725</v>
      </c>
    </row>
    <row r="12728" spans="3:3" x14ac:dyDescent="0.25">
      <c r="C12728" s="26">
        <v>12726</v>
      </c>
    </row>
    <row r="12729" spans="3:3" x14ac:dyDescent="0.25">
      <c r="C12729" s="26">
        <v>12727</v>
      </c>
    </row>
    <row r="12730" spans="3:3" x14ac:dyDescent="0.25">
      <c r="C12730" s="26">
        <v>12728</v>
      </c>
    </row>
    <row r="12731" spans="3:3" x14ac:dyDescent="0.25">
      <c r="C12731" s="26">
        <v>12729</v>
      </c>
    </row>
    <row r="12732" spans="3:3" x14ac:dyDescent="0.25">
      <c r="C12732" s="26">
        <v>12730</v>
      </c>
    </row>
    <row r="12733" spans="3:3" x14ac:dyDescent="0.25">
      <c r="C12733" s="26">
        <v>12731</v>
      </c>
    </row>
    <row r="12734" spans="3:3" x14ac:dyDescent="0.25">
      <c r="C12734" s="26">
        <v>12732</v>
      </c>
    </row>
    <row r="12735" spans="3:3" x14ac:dyDescent="0.25">
      <c r="C12735" s="26">
        <v>12733</v>
      </c>
    </row>
    <row r="12736" spans="3:3" x14ac:dyDescent="0.25">
      <c r="C12736" s="26">
        <v>12734</v>
      </c>
    </row>
    <row r="12737" spans="3:3" x14ac:dyDescent="0.25">
      <c r="C12737" s="26">
        <v>12735</v>
      </c>
    </row>
    <row r="12738" spans="3:3" x14ac:dyDescent="0.25">
      <c r="C12738" s="26">
        <v>12736</v>
      </c>
    </row>
    <row r="12739" spans="3:3" x14ac:dyDescent="0.25">
      <c r="C12739" s="26">
        <v>12737</v>
      </c>
    </row>
    <row r="12740" spans="3:3" x14ac:dyDescent="0.25">
      <c r="C12740" s="26">
        <v>12738</v>
      </c>
    </row>
    <row r="12741" spans="3:3" x14ac:dyDescent="0.25">
      <c r="C12741" s="26">
        <v>12739</v>
      </c>
    </row>
    <row r="12742" spans="3:3" x14ac:dyDescent="0.25">
      <c r="C12742" s="26">
        <v>12740</v>
      </c>
    </row>
    <row r="12743" spans="3:3" x14ac:dyDescent="0.25">
      <c r="C12743" s="26">
        <v>12741</v>
      </c>
    </row>
    <row r="12744" spans="3:3" x14ac:dyDescent="0.25">
      <c r="C12744" s="26">
        <v>12742</v>
      </c>
    </row>
    <row r="12745" spans="3:3" x14ac:dyDescent="0.25">
      <c r="C12745" s="26">
        <v>12743</v>
      </c>
    </row>
    <row r="12746" spans="3:3" x14ac:dyDescent="0.25">
      <c r="C12746" s="26">
        <v>12744</v>
      </c>
    </row>
    <row r="12747" spans="3:3" x14ac:dyDescent="0.25">
      <c r="C12747" s="26">
        <v>12745</v>
      </c>
    </row>
    <row r="12748" spans="3:3" x14ac:dyDescent="0.25">
      <c r="C12748" s="26">
        <v>12746</v>
      </c>
    </row>
    <row r="12749" spans="3:3" x14ac:dyDescent="0.25">
      <c r="C12749" s="26">
        <v>12747</v>
      </c>
    </row>
    <row r="12750" spans="3:3" x14ac:dyDescent="0.25">
      <c r="C12750" s="26">
        <v>12748</v>
      </c>
    </row>
    <row r="12751" spans="3:3" x14ac:dyDescent="0.25">
      <c r="C12751" s="26">
        <v>12749</v>
      </c>
    </row>
    <row r="12752" spans="3:3" x14ac:dyDescent="0.25">
      <c r="C12752" s="26">
        <v>12750</v>
      </c>
    </row>
    <row r="12753" spans="3:3" x14ac:dyDescent="0.25">
      <c r="C12753" s="26">
        <v>12751</v>
      </c>
    </row>
    <row r="12754" spans="3:3" x14ac:dyDescent="0.25">
      <c r="C12754" s="26">
        <v>12752</v>
      </c>
    </row>
    <row r="12755" spans="3:3" x14ac:dyDescent="0.25">
      <c r="C12755" s="26">
        <v>12753</v>
      </c>
    </row>
    <row r="12756" spans="3:3" x14ac:dyDescent="0.25">
      <c r="C12756" s="26">
        <v>12754</v>
      </c>
    </row>
    <row r="12757" spans="3:3" x14ac:dyDescent="0.25">
      <c r="C12757" s="26">
        <v>12755</v>
      </c>
    </row>
    <row r="12758" spans="3:3" x14ac:dyDescent="0.25">
      <c r="C12758" s="26">
        <v>12756</v>
      </c>
    </row>
    <row r="12759" spans="3:3" x14ac:dyDescent="0.25">
      <c r="C12759" s="26">
        <v>12757</v>
      </c>
    </row>
    <row r="12760" spans="3:3" x14ac:dyDescent="0.25">
      <c r="C12760" s="26">
        <v>12758</v>
      </c>
    </row>
    <row r="12761" spans="3:3" x14ac:dyDescent="0.25">
      <c r="C12761" s="26">
        <v>12759</v>
      </c>
    </row>
    <row r="12762" spans="3:3" x14ac:dyDescent="0.25">
      <c r="C12762" s="26">
        <v>12760</v>
      </c>
    </row>
    <row r="12763" spans="3:3" x14ac:dyDescent="0.25">
      <c r="C12763" s="26">
        <v>12761</v>
      </c>
    </row>
    <row r="12764" spans="3:3" x14ac:dyDescent="0.25">
      <c r="C12764" s="26">
        <v>12762</v>
      </c>
    </row>
    <row r="12765" spans="3:3" x14ac:dyDescent="0.25">
      <c r="C12765" s="26">
        <v>12763</v>
      </c>
    </row>
    <row r="12766" spans="3:3" x14ac:dyDescent="0.25">
      <c r="C12766" s="26">
        <v>12764</v>
      </c>
    </row>
    <row r="12767" spans="3:3" x14ac:dyDescent="0.25">
      <c r="C12767" s="26">
        <v>12765</v>
      </c>
    </row>
    <row r="12768" spans="3:3" x14ac:dyDescent="0.25">
      <c r="C12768" s="26">
        <v>12766</v>
      </c>
    </row>
    <row r="12769" spans="3:3" x14ac:dyDescent="0.25">
      <c r="C12769" s="26">
        <v>12767</v>
      </c>
    </row>
    <row r="12770" spans="3:3" x14ac:dyDescent="0.25">
      <c r="C12770" s="26">
        <v>12768</v>
      </c>
    </row>
    <row r="12771" spans="3:3" x14ac:dyDescent="0.25">
      <c r="C12771" s="26">
        <v>12769</v>
      </c>
    </row>
    <row r="12772" spans="3:3" x14ac:dyDescent="0.25">
      <c r="C12772" s="26">
        <v>12770</v>
      </c>
    </row>
    <row r="12773" spans="3:3" x14ac:dyDescent="0.25">
      <c r="C12773" s="26">
        <v>12771</v>
      </c>
    </row>
    <row r="12774" spans="3:3" x14ac:dyDescent="0.25">
      <c r="C12774" s="26">
        <v>12772</v>
      </c>
    </row>
    <row r="12775" spans="3:3" x14ac:dyDescent="0.25">
      <c r="C12775" s="26">
        <v>12773</v>
      </c>
    </row>
    <row r="12776" spans="3:3" x14ac:dyDescent="0.25">
      <c r="C12776" s="26">
        <v>12774</v>
      </c>
    </row>
    <row r="12777" spans="3:3" x14ac:dyDescent="0.25">
      <c r="C12777" s="26">
        <v>12775</v>
      </c>
    </row>
    <row r="12778" spans="3:3" x14ac:dyDescent="0.25">
      <c r="C12778" s="26">
        <v>12776</v>
      </c>
    </row>
    <row r="12779" spans="3:3" x14ac:dyDescent="0.25">
      <c r="C12779" s="26">
        <v>12777</v>
      </c>
    </row>
    <row r="12780" spans="3:3" x14ac:dyDescent="0.25">
      <c r="C12780" s="26">
        <v>12778</v>
      </c>
    </row>
    <row r="12781" spans="3:3" x14ac:dyDescent="0.25">
      <c r="C12781" s="26">
        <v>12779</v>
      </c>
    </row>
    <row r="12782" spans="3:3" x14ac:dyDescent="0.25">
      <c r="C12782" s="26">
        <v>12780</v>
      </c>
    </row>
    <row r="12783" spans="3:3" x14ac:dyDescent="0.25">
      <c r="C12783" s="26">
        <v>12781</v>
      </c>
    </row>
    <row r="12784" spans="3:3" x14ac:dyDescent="0.25">
      <c r="C12784" s="26">
        <v>12782</v>
      </c>
    </row>
    <row r="12785" spans="3:3" x14ac:dyDescent="0.25">
      <c r="C12785" s="26">
        <v>12783</v>
      </c>
    </row>
    <row r="12786" spans="3:3" x14ac:dyDescent="0.25">
      <c r="C12786" s="26">
        <v>12784</v>
      </c>
    </row>
    <row r="12787" spans="3:3" x14ac:dyDescent="0.25">
      <c r="C12787" s="26">
        <v>12785</v>
      </c>
    </row>
    <row r="12788" spans="3:3" x14ac:dyDescent="0.25">
      <c r="C12788" s="26">
        <v>12786</v>
      </c>
    </row>
    <row r="12789" spans="3:3" x14ac:dyDescent="0.25">
      <c r="C12789" s="26">
        <v>12787</v>
      </c>
    </row>
    <row r="12790" spans="3:3" x14ac:dyDescent="0.25">
      <c r="C12790" s="26">
        <v>12788</v>
      </c>
    </row>
    <row r="12791" spans="3:3" x14ac:dyDescent="0.25">
      <c r="C12791" s="26">
        <v>12789</v>
      </c>
    </row>
    <row r="12792" spans="3:3" x14ac:dyDescent="0.25">
      <c r="C12792" s="26">
        <v>12790</v>
      </c>
    </row>
    <row r="12793" spans="3:3" x14ac:dyDescent="0.25">
      <c r="C12793" s="26">
        <v>12791</v>
      </c>
    </row>
    <row r="12794" spans="3:3" x14ac:dyDescent="0.25">
      <c r="C12794" s="26">
        <v>12792</v>
      </c>
    </row>
    <row r="12795" spans="3:3" x14ac:dyDescent="0.25">
      <c r="C12795" s="26">
        <v>12793</v>
      </c>
    </row>
    <row r="12796" spans="3:3" x14ac:dyDescent="0.25">
      <c r="C12796" s="26">
        <v>12794</v>
      </c>
    </row>
    <row r="12797" spans="3:3" x14ac:dyDescent="0.25">
      <c r="C12797" s="26">
        <v>12795</v>
      </c>
    </row>
    <row r="12798" spans="3:3" x14ac:dyDescent="0.25">
      <c r="C12798" s="26">
        <v>12796</v>
      </c>
    </row>
    <row r="12799" spans="3:3" x14ac:dyDescent="0.25">
      <c r="C12799" s="26">
        <v>12797</v>
      </c>
    </row>
    <row r="12800" spans="3:3" x14ac:dyDescent="0.25">
      <c r="C12800" s="26">
        <v>12798</v>
      </c>
    </row>
    <row r="12801" spans="3:3" x14ac:dyDescent="0.25">
      <c r="C12801" s="26">
        <v>12799</v>
      </c>
    </row>
    <row r="12802" spans="3:3" x14ac:dyDescent="0.25">
      <c r="C12802" s="26">
        <v>12800</v>
      </c>
    </row>
    <row r="12803" spans="3:3" x14ac:dyDescent="0.25">
      <c r="C12803" s="26">
        <v>12801</v>
      </c>
    </row>
    <row r="12804" spans="3:3" x14ac:dyDescent="0.25">
      <c r="C12804" s="26">
        <v>12802</v>
      </c>
    </row>
    <row r="12805" spans="3:3" x14ac:dyDescent="0.25">
      <c r="C12805" s="26">
        <v>12803</v>
      </c>
    </row>
    <row r="12806" spans="3:3" x14ac:dyDescent="0.25">
      <c r="C12806" s="26">
        <v>12804</v>
      </c>
    </row>
    <row r="12807" spans="3:3" x14ac:dyDescent="0.25">
      <c r="C12807" s="26">
        <v>12805</v>
      </c>
    </row>
    <row r="12808" spans="3:3" x14ac:dyDescent="0.25">
      <c r="C12808" s="26">
        <v>12806</v>
      </c>
    </row>
    <row r="12809" spans="3:3" x14ac:dyDescent="0.25">
      <c r="C12809" s="26">
        <v>12807</v>
      </c>
    </row>
    <row r="12810" spans="3:3" x14ac:dyDescent="0.25">
      <c r="C12810" s="26">
        <v>12808</v>
      </c>
    </row>
    <row r="12811" spans="3:3" x14ac:dyDescent="0.25">
      <c r="C12811" s="26">
        <v>12809</v>
      </c>
    </row>
    <row r="12812" spans="3:3" x14ac:dyDescent="0.25">
      <c r="C12812" s="26">
        <v>12810</v>
      </c>
    </row>
    <row r="12813" spans="3:3" x14ac:dyDescent="0.25">
      <c r="C12813" s="26">
        <v>12811</v>
      </c>
    </row>
    <row r="12814" spans="3:3" x14ac:dyDescent="0.25">
      <c r="C12814" s="26">
        <v>12812</v>
      </c>
    </row>
    <row r="12815" spans="3:3" x14ac:dyDescent="0.25">
      <c r="C12815" s="26">
        <v>12813</v>
      </c>
    </row>
    <row r="12816" spans="3:3" x14ac:dyDescent="0.25">
      <c r="C12816" s="26">
        <v>12814</v>
      </c>
    </row>
    <row r="12817" spans="3:3" x14ac:dyDescent="0.25">
      <c r="C12817" s="26">
        <v>12815</v>
      </c>
    </row>
    <row r="12818" spans="3:3" x14ac:dyDescent="0.25">
      <c r="C12818" s="26">
        <v>12816</v>
      </c>
    </row>
    <row r="12819" spans="3:3" x14ac:dyDescent="0.25">
      <c r="C12819" s="26">
        <v>12817</v>
      </c>
    </row>
    <row r="12820" spans="3:3" x14ac:dyDescent="0.25">
      <c r="C12820" s="26">
        <v>12818</v>
      </c>
    </row>
    <row r="12821" spans="3:3" x14ac:dyDescent="0.25">
      <c r="C12821" s="26">
        <v>12819</v>
      </c>
    </row>
    <row r="12822" spans="3:3" x14ac:dyDescent="0.25">
      <c r="C12822" s="26">
        <v>12820</v>
      </c>
    </row>
    <row r="12823" spans="3:3" x14ac:dyDescent="0.25">
      <c r="C12823" s="26">
        <v>12821</v>
      </c>
    </row>
    <row r="12824" spans="3:3" x14ac:dyDescent="0.25">
      <c r="C12824" s="26">
        <v>12822</v>
      </c>
    </row>
    <row r="12825" spans="3:3" x14ac:dyDescent="0.25">
      <c r="C12825" s="26">
        <v>12823</v>
      </c>
    </row>
    <row r="12826" spans="3:3" x14ac:dyDescent="0.25">
      <c r="C12826" s="26">
        <v>12824</v>
      </c>
    </row>
    <row r="12827" spans="3:3" x14ac:dyDescent="0.25">
      <c r="C12827" s="26">
        <v>12825</v>
      </c>
    </row>
    <row r="12828" spans="3:3" x14ac:dyDescent="0.25">
      <c r="C12828" s="26">
        <v>12826</v>
      </c>
    </row>
    <row r="12829" spans="3:3" x14ac:dyDescent="0.25">
      <c r="C12829" s="26">
        <v>12827</v>
      </c>
    </row>
    <row r="12830" spans="3:3" x14ac:dyDescent="0.25">
      <c r="C12830" s="26">
        <v>12828</v>
      </c>
    </row>
    <row r="12831" spans="3:3" x14ac:dyDescent="0.25">
      <c r="C12831" s="26">
        <v>12829</v>
      </c>
    </row>
    <row r="12832" spans="3:3" x14ac:dyDescent="0.25">
      <c r="C12832" s="26">
        <v>12830</v>
      </c>
    </row>
    <row r="12833" spans="3:3" x14ac:dyDescent="0.25">
      <c r="C12833" s="26">
        <v>12831</v>
      </c>
    </row>
    <row r="12834" spans="3:3" x14ac:dyDescent="0.25">
      <c r="C12834" s="26">
        <v>12832</v>
      </c>
    </row>
    <row r="12835" spans="3:3" x14ac:dyDescent="0.25">
      <c r="C12835" s="26">
        <v>12833</v>
      </c>
    </row>
    <row r="12836" spans="3:3" x14ac:dyDescent="0.25">
      <c r="C12836" s="26">
        <v>12834</v>
      </c>
    </row>
    <row r="12837" spans="3:3" x14ac:dyDescent="0.25">
      <c r="C12837" s="26">
        <v>12835</v>
      </c>
    </row>
    <row r="12838" spans="3:3" x14ac:dyDescent="0.25">
      <c r="C12838" s="26">
        <v>12836</v>
      </c>
    </row>
    <row r="12839" spans="3:3" x14ac:dyDescent="0.25">
      <c r="C12839" s="26">
        <v>12837</v>
      </c>
    </row>
    <row r="12840" spans="3:3" x14ac:dyDescent="0.25">
      <c r="C12840" s="26">
        <v>12838</v>
      </c>
    </row>
    <row r="12841" spans="3:3" x14ac:dyDescent="0.25">
      <c r="C12841" s="26">
        <v>12839</v>
      </c>
    </row>
    <row r="12842" spans="3:3" x14ac:dyDescent="0.25">
      <c r="C12842" s="26">
        <v>12840</v>
      </c>
    </row>
    <row r="12843" spans="3:3" x14ac:dyDescent="0.25">
      <c r="C12843" s="26">
        <v>12841</v>
      </c>
    </row>
    <row r="12844" spans="3:3" x14ac:dyDescent="0.25">
      <c r="C12844" s="26">
        <v>12842</v>
      </c>
    </row>
    <row r="12845" spans="3:3" x14ac:dyDescent="0.25">
      <c r="C12845" s="26">
        <v>12843</v>
      </c>
    </row>
    <row r="12846" spans="3:3" x14ac:dyDescent="0.25">
      <c r="C12846" s="26">
        <v>12844</v>
      </c>
    </row>
    <row r="12847" spans="3:3" x14ac:dyDescent="0.25">
      <c r="C12847" s="26">
        <v>12845</v>
      </c>
    </row>
    <row r="12848" spans="3:3" x14ac:dyDescent="0.25">
      <c r="C12848" s="26">
        <v>12846</v>
      </c>
    </row>
    <row r="12849" spans="3:3" x14ac:dyDescent="0.25">
      <c r="C12849" s="26">
        <v>12847</v>
      </c>
    </row>
    <row r="12850" spans="3:3" x14ac:dyDescent="0.25">
      <c r="C12850" s="26">
        <v>12848</v>
      </c>
    </row>
    <row r="12851" spans="3:3" x14ac:dyDescent="0.25">
      <c r="C12851" s="26">
        <v>12849</v>
      </c>
    </row>
    <row r="12852" spans="3:3" x14ac:dyDescent="0.25">
      <c r="C12852" s="26">
        <v>12850</v>
      </c>
    </row>
    <row r="12853" spans="3:3" x14ac:dyDescent="0.25">
      <c r="C12853" s="26">
        <v>12851</v>
      </c>
    </row>
    <row r="12854" spans="3:3" x14ac:dyDescent="0.25">
      <c r="C12854" s="26">
        <v>12852</v>
      </c>
    </row>
    <row r="12855" spans="3:3" x14ac:dyDescent="0.25">
      <c r="C12855" s="26">
        <v>12853</v>
      </c>
    </row>
    <row r="12856" spans="3:3" x14ac:dyDescent="0.25">
      <c r="C12856" s="26">
        <v>12854</v>
      </c>
    </row>
    <row r="12857" spans="3:3" x14ac:dyDescent="0.25">
      <c r="C12857" s="26">
        <v>12855</v>
      </c>
    </row>
    <row r="12858" spans="3:3" x14ac:dyDescent="0.25">
      <c r="C12858" s="26">
        <v>12856</v>
      </c>
    </row>
    <row r="12859" spans="3:3" x14ac:dyDescent="0.25">
      <c r="C12859" s="26">
        <v>12857</v>
      </c>
    </row>
    <row r="12860" spans="3:3" x14ac:dyDescent="0.25">
      <c r="C12860" s="26">
        <v>12858</v>
      </c>
    </row>
    <row r="12861" spans="3:3" x14ac:dyDescent="0.25">
      <c r="C12861" s="26">
        <v>12859</v>
      </c>
    </row>
    <row r="12862" spans="3:3" x14ac:dyDescent="0.25">
      <c r="C12862" s="26">
        <v>12860</v>
      </c>
    </row>
    <row r="12863" spans="3:3" x14ac:dyDescent="0.25">
      <c r="C12863" s="26">
        <v>12861</v>
      </c>
    </row>
    <row r="12864" spans="3:3" x14ac:dyDescent="0.25">
      <c r="C12864" s="26">
        <v>12862</v>
      </c>
    </row>
    <row r="12865" spans="3:3" x14ac:dyDescent="0.25">
      <c r="C12865" s="26">
        <v>12863</v>
      </c>
    </row>
    <row r="12866" spans="3:3" x14ac:dyDescent="0.25">
      <c r="C12866" s="26">
        <v>12864</v>
      </c>
    </row>
    <row r="12867" spans="3:3" x14ac:dyDescent="0.25">
      <c r="C12867" s="26">
        <v>12865</v>
      </c>
    </row>
    <row r="12868" spans="3:3" x14ac:dyDescent="0.25">
      <c r="C12868" s="26">
        <v>12866</v>
      </c>
    </row>
    <row r="12869" spans="3:3" x14ac:dyDescent="0.25">
      <c r="C12869" s="26">
        <v>12867</v>
      </c>
    </row>
    <row r="12870" spans="3:3" x14ac:dyDescent="0.25">
      <c r="C12870" s="26">
        <v>12868</v>
      </c>
    </row>
    <row r="12871" spans="3:3" x14ac:dyDescent="0.25">
      <c r="C12871" s="26">
        <v>12869</v>
      </c>
    </row>
    <row r="12872" spans="3:3" x14ac:dyDescent="0.25">
      <c r="C12872" s="26">
        <v>12870</v>
      </c>
    </row>
    <row r="12873" spans="3:3" x14ac:dyDescent="0.25">
      <c r="C12873" s="26">
        <v>12871</v>
      </c>
    </row>
    <row r="12874" spans="3:3" x14ac:dyDescent="0.25">
      <c r="C12874" s="26">
        <v>12872</v>
      </c>
    </row>
    <row r="12875" spans="3:3" x14ac:dyDescent="0.25">
      <c r="C12875" s="26">
        <v>12873</v>
      </c>
    </row>
    <row r="12876" spans="3:3" x14ac:dyDescent="0.25">
      <c r="C12876" s="26">
        <v>12874</v>
      </c>
    </row>
    <row r="12877" spans="3:3" x14ac:dyDescent="0.25">
      <c r="C12877" s="26">
        <v>12875</v>
      </c>
    </row>
    <row r="12878" spans="3:3" x14ac:dyDescent="0.25">
      <c r="C12878" s="26">
        <v>12876</v>
      </c>
    </row>
    <row r="12879" spans="3:3" x14ac:dyDescent="0.25">
      <c r="C12879" s="26">
        <v>12877</v>
      </c>
    </row>
    <row r="12880" spans="3:3" x14ac:dyDescent="0.25">
      <c r="C12880" s="26">
        <v>12878</v>
      </c>
    </row>
    <row r="12881" spans="3:3" x14ac:dyDescent="0.25">
      <c r="C12881" s="26">
        <v>12879</v>
      </c>
    </row>
    <row r="12882" spans="3:3" x14ac:dyDescent="0.25">
      <c r="C12882" s="26">
        <v>12880</v>
      </c>
    </row>
    <row r="12883" spans="3:3" x14ac:dyDescent="0.25">
      <c r="C12883" s="26">
        <v>12881</v>
      </c>
    </row>
    <row r="12884" spans="3:3" x14ac:dyDescent="0.25">
      <c r="C12884" s="26">
        <v>12882</v>
      </c>
    </row>
    <row r="12885" spans="3:3" x14ac:dyDescent="0.25">
      <c r="C12885" s="26">
        <v>12883</v>
      </c>
    </row>
    <row r="12886" spans="3:3" x14ac:dyDescent="0.25">
      <c r="C12886" s="26">
        <v>12884</v>
      </c>
    </row>
    <row r="12887" spans="3:3" x14ac:dyDescent="0.25">
      <c r="C12887" s="26">
        <v>12885</v>
      </c>
    </row>
    <row r="12888" spans="3:3" x14ac:dyDescent="0.25">
      <c r="C12888" s="26">
        <v>12886</v>
      </c>
    </row>
    <row r="12889" spans="3:3" x14ac:dyDescent="0.25">
      <c r="C12889" s="26">
        <v>12887</v>
      </c>
    </row>
    <row r="12890" spans="3:3" x14ac:dyDescent="0.25">
      <c r="C12890" s="26">
        <v>12888</v>
      </c>
    </row>
    <row r="12891" spans="3:3" x14ac:dyDescent="0.25">
      <c r="C12891" s="26">
        <v>12889</v>
      </c>
    </row>
    <row r="12892" spans="3:3" x14ac:dyDescent="0.25">
      <c r="C12892" s="26">
        <v>12890</v>
      </c>
    </row>
    <row r="12893" spans="3:3" x14ac:dyDescent="0.25">
      <c r="C12893" s="26">
        <v>12891</v>
      </c>
    </row>
    <row r="12894" spans="3:3" x14ac:dyDescent="0.25">
      <c r="C12894" s="26">
        <v>12892</v>
      </c>
    </row>
    <row r="12895" spans="3:3" x14ac:dyDescent="0.25">
      <c r="C12895" s="26">
        <v>12893</v>
      </c>
    </row>
    <row r="12896" spans="3:3" x14ac:dyDescent="0.25">
      <c r="C12896" s="26">
        <v>12894</v>
      </c>
    </row>
    <row r="12897" spans="3:3" x14ac:dyDescent="0.25">
      <c r="C12897" s="26">
        <v>12895</v>
      </c>
    </row>
    <row r="12898" spans="3:3" x14ac:dyDescent="0.25">
      <c r="C12898" s="26">
        <v>12896</v>
      </c>
    </row>
    <row r="12899" spans="3:3" x14ac:dyDescent="0.25">
      <c r="C12899" s="26">
        <v>12897</v>
      </c>
    </row>
    <row r="12900" spans="3:3" x14ac:dyDescent="0.25">
      <c r="C12900" s="26">
        <v>12898</v>
      </c>
    </row>
    <row r="12901" spans="3:3" x14ac:dyDescent="0.25">
      <c r="C12901" s="26">
        <v>12899</v>
      </c>
    </row>
    <row r="12902" spans="3:3" x14ac:dyDescent="0.25">
      <c r="C12902" s="26">
        <v>12900</v>
      </c>
    </row>
    <row r="12903" spans="3:3" x14ac:dyDescent="0.25">
      <c r="C12903" s="26">
        <v>12901</v>
      </c>
    </row>
    <row r="12904" spans="3:3" x14ac:dyDescent="0.25">
      <c r="C12904" s="26">
        <v>12902</v>
      </c>
    </row>
    <row r="12905" spans="3:3" x14ac:dyDescent="0.25">
      <c r="C12905" s="26">
        <v>12903</v>
      </c>
    </row>
    <row r="12906" spans="3:3" x14ac:dyDescent="0.25">
      <c r="C12906" s="26">
        <v>12904</v>
      </c>
    </row>
    <row r="12907" spans="3:3" x14ac:dyDescent="0.25">
      <c r="C12907" s="26">
        <v>12905</v>
      </c>
    </row>
    <row r="12908" spans="3:3" x14ac:dyDescent="0.25">
      <c r="C12908" s="26">
        <v>12906</v>
      </c>
    </row>
    <row r="12909" spans="3:3" x14ac:dyDescent="0.25">
      <c r="C12909" s="26">
        <v>12907</v>
      </c>
    </row>
    <row r="12910" spans="3:3" x14ac:dyDescent="0.25">
      <c r="C12910" s="26">
        <v>12908</v>
      </c>
    </row>
    <row r="12911" spans="3:3" x14ac:dyDescent="0.25">
      <c r="C12911" s="26">
        <v>12909</v>
      </c>
    </row>
    <row r="12912" spans="3:3" x14ac:dyDescent="0.25">
      <c r="C12912" s="26">
        <v>12910</v>
      </c>
    </row>
    <row r="12913" spans="3:3" x14ac:dyDescent="0.25">
      <c r="C12913" s="26">
        <v>12911</v>
      </c>
    </row>
    <row r="12914" spans="3:3" x14ac:dyDescent="0.25">
      <c r="C12914" s="26">
        <v>12912</v>
      </c>
    </row>
    <row r="12915" spans="3:3" x14ac:dyDescent="0.25">
      <c r="C12915" s="26">
        <v>12913</v>
      </c>
    </row>
    <row r="12916" spans="3:3" x14ac:dyDescent="0.25">
      <c r="C12916" s="26">
        <v>12914</v>
      </c>
    </row>
    <row r="12917" spans="3:3" x14ac:dyDescent="0.25">
      <c r="C12917" s="26">
        <v>12915</v>
      </c>
    </row>
    <row r="12918" spans="3:3" x14ac:dyDescent="0.25">
      <c r="C12918" s="26">
        <v>12916</v>
      </c>
    </row>
    <row r="12919" spans="3:3" x14ac:dyDescent="0.25">
      <c r="C12919" s="26">
        <v>12917</v>
      </c>
    </row>
    <row r="12920" spans="3:3" x14ac:dyDescent="0.25">
      <c r="C12920" s="26">
        <v>12918</v>
      </c>
    </row>
    <row r="12921" spans="3:3" x14ac:dyDescent="0.25">
      <c r="C12921" s="26">
        <v>12919</v>
      </c>
    </row>
    <row r="12922" spans="3:3" x14ac:dyDescent="0.25">
      <c r="C12922" s="26">
        <v>12920</v>
      </c>
    </row>
    <row r="12923" spans="3:3" x14ac:dyDescent="0.25">
      <c r="C12923" s="26">
        <v>12921</v>
      </c>
    </row>
    <row r="12924" spans="3:3" x14ac:dyDescent="0.25">
      <c r="C12924" s="26">
        <v>12922</v>
      </c>
    </row>
    <row r="12925" spans="3:3" x14ac:dyDescent="0.25">
      <c r="C12925" s="26">
        <v>12923</v>
      </c>
    </row>
    <row r="12926" spans="3:3" x14ac:dyDescent="0.25">
      <c r="C12926" s="26">
        <v>12924</v>
      </c>
    </row>
    <row r="12927" spans="3:3" x14ac:dyDescent="0.25">
      <c r="C12927" s="26">
        <v>12925</v>
      </c>
    </row>
    <row r="12928" spans="3:3" x14ac:dyDescent="0.25">
      <c r="C12928" s="26">
        <v>12926</v>
      </c>
    </row>
    <row r="12929" spans="3:3" x14ac:dyDescent="0.25">
      <c r="C12929" s="26">
        <v>12927</v>
      </c>
    </row>
    <row r="12930" spans="3:3" x14ac:dyDescent="0.25">
      <c r="C12930" s="26">
        <v>12928</v>
      </c>
    </row>
    <row r="12931" spans="3:3" x14ac:dyDescent="0.25">
      <c r="C12931" s="26">
        <v>12929</v>
      </c>
    </row>
    <row r="12932" spans="3:3" x14ac:dyDescent="0.25">
      <c r="C12932" s="26">
        <v>12930</v>
      </c>
    </row>
    <row r="12933" spans="3:3" x14ac:dyDescent="0.25">
      <c r="C12933" s="26">
        <v>12931</v>
      </c>
    </row>
    <row r="12934" spans="3:3" x14ac:dyDescent="0.25">
      <c r="C12934" s="26">
        <v>12932</v>
      </c>
    </row>
    <row r="12935" spans="3:3" x14ac:dyDescent="0.25">
      <c r="C12935" s="26">
        <v>12933</v>
      </c>
    </row>
    <row r="12936" spans="3:3" x14ac:dyDescent="0.25">
      <c r="C12936" s="26">
        <v>12934</v>
      </c>
    </row>
    <row r="12937" spans="3:3" x14ac:dyDescent="0.25">
      <c r="C12937" s="26">
        <v>12935</v>
      </c>
    </row>
    <row r="12938" spans="3:3" x14ac:dyDescent="0.25">
      <c r="C12938" s="26">
        <v>12936</v>
      </c>
    </row>
    <row r="12939" spans="3:3" x14ac:dyDescent="0.25">
      <c r="C12939" s="26">
        <v>12937</v>
      </c>
    </row>
    <row r="12940" spans="3:3" x14ac:dyDescent="0.25">
      <c r="C12940" s="26">
        <v>12938</v>
      </c>
    </row>
    <row r="12941" spans="3:3" x14ac:dyDescent="0.25">
      <c r="C12941" s="26">
        <v>12939</v>
      </c>
    </row>
    <row r="12942" spans="3:3" x14ac:dyDescent="0.25">
      <c r="C12942" s="26">
        <v>12940</v>
      </c>
    </row>
    <row r="12943" spans="3:3" x14ac:dyDescent="0.25">
      <c r="C12943" s="26">
        <v>12941</v>
      </c>
    </row>
    <row r="12944" spans="3:3" x14ac:dyDescent="0.25">
      <c r="C12944" s="26">
        <v>12942</v>
      </c>
    </row>
    <row r="12945" spans="3:3" x14ac:dyDescent="0.25">
      <c r="C12945" s="26">
        <v>12943</v>
      </c>
    </row>
    <row r="12946" spans="3:3" x14ac:dyDescent="0.25">
      <c r="C12946" s="26">
        <v>12944</v>
      </c>
    </row>
    <row r="12947" spans="3:3" x14ac:dyDescent="0.25">
      <c r="C12947" s="26">
        <v>12945</v>
      </c>
    </row>
    <row r="12948" spans="3:3" x14ac:dyDescent="0.25">
      <c r="C12948" s="26">
        <v>12946</v>
      </c>
    </row>
    <row r="12949" spans="3:3" x14ac:dyDescent="0.25">
      <c r="C12949" s="26">
        <v>12947</v>
      </c>
    </row>
    <row r="12950" spans="3:3" x14ac:dyDescent="0.25">
      <c r="C12950" s="26">
        <v>12948</v>
      </c>
    </row>
    <row r="12951" spans="3:3" x14ac:dyDescent="0.25">
      <c r="C12951" s="26">
        <v>12949</v>
      </c>
    </row>
    <row r="12952" spans="3:3" x14ac:dyDescent="0.25">
      <c r="C12952" s="26">
        <v>12950</v>
      </c>
    </row>
    <row r="12953" spans="3:3" x14ac:dyDescent="0.25">
      <c r="C12953" s="26">
        <v>12951</v>
      </c>
    </row>
    <row r="12954" spans="3:3" x14ac:dyDescent="0.25">
      <c r="C12954" s="26">
        <v>12952</v>
      </c>
    </row>
    <row r="12955" spans="3:3" x14ac:dyDescent="0.25">
      <c r="C12955" s="26">
        <v>12953</v>
      </c>
    </row>
    <row r="12956" spans="3:3" x14ac:dyDescent="0.25">
      <c r="C12956" s="26">
        <v>12954</v>
      </c>
    </row>
    <row r="12957" spans="3:3" x14ac:dyDescent="0.25">
      <c r="C12957" s="26">
        <v>12955</v>
      </c>
    </row>
    <row r="12958" spans="3:3" x14ac:dyDescent="0.25">
      <c r="C12958" s="26">
        <v>12956</v>
      </c>
    </row>
    <row r="12959" spans="3:3" x14ac:dyDescent="0.25">
      <c r="C12959" s="26">
        <v>12957</v>
      </c>
    </row>
    <row r="12960" spans="3:3" x14ac:dyDescent="0.25">
      <c r="C12960" s="26">
        <v>12958</v>
      </c>
    </row>
    <row r="12961" spans="3:3" x14ac:dyDescent="0.25">
      <c r="C12961" s="26">
        <v>12959</v>
      </c>
    </row>
    <row r="12962" spans="3:3" x14ac:dyDescent="0.25">
      <c r="C12962" s="26">
        <v>12960</v>
      </c>
    </row>
    <row r="12963" spans="3:3" x14ac:dyDescent="0.25">
      <c r="C12963" s="26">
        <v>12961</v>
      </c>
    </row>
    <row r="12964" spans="3:3" x14ac:dyDescent="0.25">
      <c r="C12964" s="26">
        <v>12962</v>
      </c>
    </row>
    <row r="12965" spans="3:3" x14ac:dyDescent="0.25">
      <c r="C12965" s="26">
        <v>12963</v>
      </c>
    </row>
    <row r="12966" spans="3:3" x14ac:dyDescent="0.25">
      <c r="C12966" s="26">
        <v>12964</v>
      </c>
    </row>
    <row r="12967" spans="3:3" x14ac:dyDescent="0.25">
      <c r="C12967" s="26">
        <v>12965</v>
      </c>
    </row>
    <row r="12968" spans="3:3" x14ac:dyDescent="0.25">
      <c r="C12968" s="26">
        <v>12966</v>
      </c>
    </row>
    <row r="12969" spans="3:3" x14ac:dyDescent="0.25">
      <c r="C12969" s="26">
        <v>12967</v>
      </c>
    </row>
    <row r="12970" spans="3:3" x14ac:dyDescent="0.25">
      <c r="C12970" s="26">
        <v>12968</v>
      </c>
    </row>
    <row r="12971" spans="3:3" x14ac:dyDescent="0.25">
      <c r="C12971" s="26">
        <v>12969</v>
      </c>
    </row>
    <row r="12972" spans="3:3" x14ac:dyDescent="0.25">
      <c r="C12972" s="26">
        <v>12970</v>
      </c>
    </row>
    <row r="12973" spans="3:3" x14ac:dyDescent="0.25">
      <c r="C12973" s="26">
        <v>12971</v>
      </c>
    </row>
    <row r="12974" spans="3:3" x14ac:dyDescent="0.25">
      <c r="C12974" s="26">
        <v>12972</v>
      </c>
    </row>
    <row r="12975" spans="3:3" x14ac:dyDescent="0.25">
      <c r="C12975" s="26">
        <v>12973</v>
      </c>
    </row>
    <row r="12976" spans="3:3" x14ac:dyDescent="0.25">
      <c r="C12976" s="26">
        <v>12974</v>
      </c>
    </row>
    <row r="12977" spans="3:3" x14ac:dyDescent="0.25">
      <c r="C12977" s="26">
        <v>12975</v>
      </c>
    </row>
    <row r="12978" spans="3:3" x14ac:dyDescent="0.25">
      <c r="C12978" s="26">
        <v>12976</v>
      </c>
    </row>
    <row r="12979" spans="3:3" x14ac:dyDescent="0.25">
      <c r="C12979" s="26">
        <v>12977</v>
      </c>
    </row>
    <row r="12980" spans="3:3" x14ac:dyDescent="0.25">
      <c r="C12980" s="26">
        <v>12978</v>
      </c>
    </row>
    <row r="12981" spans="3:3" x14ac:dyDescent="0.25">
      <c r="C12981" s="26">
        <v>12979</v>
      </c>
    </row>
    <row r="12982" spans="3:3" x14ac:dyDescent="0.25">
      <c r="C12982" s="26">
        <v>12980</v>
      </c>
    </row>
    <row r="12983" spans="3:3" x14ac:dyDescent="0.25">
      <c r="C12983" s="26">
        <v>12981</v>
      </c>
    </row>
    <row r="12984" spans="3:3" x14ac:dyDescent="0.25">
      <c r="C12984" s="26">
        <v>12982</v>
      </c>
    </row>
    <row r="12985" spans="3:3" x14ac:dyDescent="0.25">
      <c r="C12985" s="26">
        <v>12983</v>
      </c>
    </row>
    <row r="12986" spans="3:3" x14ac:dyDescent="0.25">
      <c r="C12986" s="26">
        <v>12984</v>
      </c>
    </row>
    <row r="12987" spans="3:3" x14ac:dyDescent="0.25">
      <c r="C12987" s="26">
        <v>12985</v>
      </c>
    </row>
    <row r="12988" spans="3:3" x14ac:dyDescent="0.25">
      <c r="C12988" s="26">
        <v>12986</v>
      </c>
    </row>
    <row r="12989" spans="3:3" x14ac:dyDescent="0.25">
      <c r="C12989" s="26">
        <v>12987</v>
      </c>
    </row>
    <row r="12990" spans="3:3" x14ac:dyDescent="0.25">
      <c r="C12990" s="26">
        <v>12988</v>
      </c>
    </row>
    <row r="12991" spans="3:3" x14ac:dyDescent="0.25">
      <c r="C12991" s="26">
        <v>12989</v>
      </c>
    </row>
    <row r="12992" spans="3:3" x14ac:dyDescent="0.25">
      <c r="C12992" s="26">
        <v>12990</v>
      </c>
    </row>
    <row r="12993" spans="3:3" x14ac:dyDescent="0.25">
      <c r="C12993" s="26">
        <v>12991</v>
      </c>
    </row>
    <row r="12994" spans="3:3" x14ac:dyDescent="0.25">
      <c r="C12994" s="26">
        <v>12992</v>
      </c>
    </row>
    <row r="12995" spans="3:3" x14ac:dyDescent="0.25">
      <c r="C12995" s="26">
        <v>12993</v>
      </c>
    </row>
    <row r="12996" spans="3:3" x14ac:dyDescent="0.25">
      <c r="C12996" s="26">
        <v>12994</v>
      </c>
    </row>
    <row r="12997" spans="3:3" x14ac:dyDescent="0.25">
      <c r="C12997" s="26">
        <v>12995</v>
      </c>
    </row>
    <row r="12998" spans="3:3" x14ac:dyDescent="0.25">
      <c r="C12998" s="26">
        <v>12996</v>
      </c>
    </row>
    <row r="12999" spans="3:3" x14ac:dyDescent="0.25">
      <c r="C12999" s="26">
        <v>12997</v>
      </c>
    </row>
    <row r="13000" spans="3:3" x14ac:dyDescent="0.25">
      <c r="C13000" s="26">
        <v>12998</v>
      </c>
    </row>
    <row r="13001" spans="3:3" x14ac:dyDescent="0.25">
      <c r="C13001" s="26">
        <v>12999</v>
      </c>
    </row>
    <row r="13002" spans="3:3" x14ac:dyDescent="0.25">
      <c r="C13002" s="26">
        <v>13000</v>
      </c>
    </row>
    <row r="13003" spans="3:3" x14ac:dyDescent="0.25">
      <c r="C13003" s="26">
        <v>13001</v>
      </c>
    </row>
    <row r="13004" spans="3:3" x14ac:dyDescent="0.25">
      <c r="C13004" s="26">
        <v>13002</v>
      </c>
    </row>
    <row r="13005" spans="3:3" x14ac:dyDescent="0.25">
      <c r="C13005" s="26">
        <v>13003</v>
      </c>
    </row>
    <row r="13006" spans="3:3" x14ac:dyDescent="0.25">
      <c r="C13006" s="26">
        <v>13004</v>
      </c>
    </row>
    <row r="13007" spans="3:3" x14ac:dyDescent="0.25">
      <c r="C13007" s="26">
        <v>13005</v>
      </c>
    </row>
    <row r="13008" spans="3:3" x14ac:dyDescent="0.25">
      <c r="C13008" s="26">
        <v>13006</v>
      </c>
    </row>
    <row r="13009" spans="3:3" x14ac:dyDescent="0.25">
      <c r="C13009" s="26">
        <v>13007</v>
      </c>
    </row>
    <row r="13010" spans="3:3" x14ac:dyDescent="0.25">
      <c r="C13010" s="26">
        <v>13008</v>
      </c>
    </row>
    <row r="13011" spans="3:3" x14ac:dyDescent="0.25">
      <c r="C13011" s="26">
        <v>13009</v>
      </c>
    </row>
    <row r="13012" spans="3:3" x14ac:dyDescent="0.25">
      <c r="C13012" s="26">
        <v>13010</v>
      </c>
    </row>
    <row r="13013" spans="3:3" x14ac:dyDescent="0.25">
      <c r="C13013" s="26">
        <v>13011</v>
      </c>
    </row>
    <row r="13014" spans="3:3" x14ac:dyDescent="0.25">
      <c r="C13014" s="26">
        <v>13012</v>
      </c>
    </row>
    <row r="13015" spans="3:3" x14ac:dyDescent="0.25">
      <c r="C13015" s="26">
        <v>13013</v>
      </c>
    </row>
    <row r="13016" spans="3:3" x14ac:dyDescent="0.25">
      <c r="C13016" s="26">
        <v>13014</v>
      </c>
    </row>
    <row r="13017" spans="3:3" x14ac:dyDescent="0.25">
      <c r="C13017" s="26">
        <v>13015</v>
      </c>
    </row>
    <row r="13018" spans="3:3" x14ac:dyDescent="0.25">
      <c r="C13018" s="26">
        <v>13016</v>
      </c>
    </row>
    <row r="13019" spans="3:3" x14ac:dyDescent="0.25">
      <c r="C13019" s="26">
        <v>13017</v>
      </c>
    </row>
    <row r="13020" spans="3:3" x14ac:dyDescent="0.25">
      <c r="C13020" s="26">
        <v>13018</v>
      </c>
    </row>
    <row r="13021" spans="3:3" x14ac:dyDescent="0.25">
      <c r="C13021" s="26">
        <v>13019</v>
      </c>
    </row>
    <row r="13022" spans="3:3" x14ac:dyDescent="0.25">
      <c r="C13022" s="26">
        <v>13020</v>
      </c>
    </row>
    <row r="13023" spans="3:3" x14ac:dyDescent="0.25">
      <c r="C13023" s="26">
        <v>13021</v>
      </c>
    </row>
    <row r="13024" spans="3:3" x14ac:dyDescent="0.25">
      <c r="C13024" s="26">
        <v>13022</v>
      </c>
    </row>
    <row r="13025" spans="3:3" x14ac:dyDescent="0.25">
      <c r="C13025" s="26">
        <v>13023</v>
      </c>
    </row>
    <row r="13026" spans="3:3" x14ac:dyDescent="0.25">
      <c r="C13026" s="26">
        <v>13024</v>
      </c>
    </row>
    <row r="13027" spans="3:3" x14ac:dyDescent="0.25">
      <c r="C13027" s="26">
        <v>13025</v>
      </c>
    </row>
    <row r="13028" spans="3:3" x14ac:dyDescent="0.25">
      <c r="C13028" s="26">
        <v>13026</v>
      </c>
    </row>
    <row r="13029" spans="3:3" x14ac:dyDescent="0.25">
      <c r="C13029" s="26">
        <v>13027</v>
      </c>
    </row>
    <row r="13030" spans="3:3" x14ac:dyDescent="0.25">
      <c r="C13030" s="26">
        <v>13028</v>
      </c>
    </row>
    <row r="13031" spans="3:3" x14ac:dyDescent="0.25">
      <c r="C13031" s="26">
        <v>13029</v>
      </c>
    </row>
    <row r="13032" spans="3:3" x14ac:dyDescent="0.25">
      <c r="C13032" s="26">
        <v>13030</v>
      </c>
    </row>
    <row r="13033" spans="3:3" x14ac:dyDescent="0.25">
      <c r="C13033" s="26">
        <v>13031</v>
      </c>
    </row>
    <row r="13034" spans="3:3" x14ac:dyDescent="0.25">
      <c r="C13034" s="26">
        <v>13032</v>
      </c>
    </row>
    <row r="13035" spans="3:3" x14ac:dyDescent="0.25">
      <c r="C13035" s="26">
        <v>13033</v>
      </c>
    </row>
    <row r="13036" spans="3:3" x14ac:dyDescent="0.25">
      <c r="C13036" s="26">
        <v>13034</v>
      </c>
    </row>
    <row r="13037" spans="3:3" x14ac:dyDescent="0.25">
      <c r="C13037" s="26">
        <v>13035</v>
      </c>
    </row>
    <row r="13038" spans="3:3" x14ac:dyDescent="0.25">
      <c r="C13038" s="26">
        <v>13036</v>
      </c>
    </row>
    <row r="13039" spans="3:3" x14ac:dyDescent="0.25">
      <c r="C13039" s="26">
        <v>13037</v>
      </c>
    </row>
    <row r="13040" spans="3:3" x14ac:dyDescent="0.25">
      <c r="C13040" s="26">
        <v>13038</v>
      </c>
    </row>
    <row r="13041" spans="3:3" x14ac:dyDescent="0.25">
      <c r="C13041" s="26">
        <v>13039</v>
      </c>
    </row>
    <row r="13042" spans="3:3" x14ac:dyDescent="0.25">
      <c r="C13042" s="26">
        <v>13040</v>
      </c>
    </row>
    <row r="13043" spans="3:3" x14ac:dyDescent="0.25">
      <c r="C13043" s="26">
        <v>13041</v>
      </c>
    </row>
    <row r="13044" spans="3:3" x14ac:dyDescent="0.25">
      <c r="C13044" s="26">
        <v>13042</v>
      </c>
    </row>
    <row r="13045" spans="3:3" x14ac:dyDescent="0.25">
      <c r="C13045" s="26">
        <v>13043</v>
      </c>
    </row>
    <row r="13046" spans="3:3" x14ac:dyDescent="0.25">
      <c r="C13046" s="26">
        <v>13044</v>
      </c>
    </row>
    <row r="13047" spans="3:3" x14ac:dyDescent="0.25">
      <c r="C13047" s="26">
        <v>13045</v>
      </c>
    </row>
    <row r="13048" spans="3:3" x14ac:dyDescent="0.25">
      <c r="C13048" s="26">
        <v>13046</v>
      </c>
    </row>
    <row r="13049" spans="3:3" x14ac:dyDescent="0.25">
      <c r="C13049" s="26">
        <v>13047</v>
      </c>
    </row>
    <row r="13050" spans="3:3" x14ac:dyDescent="0.25">
      <c r="C13050" s="26">
        <v>13048</v>
      </c>
    </row>
    <row r="13051" spans="3:3" x14ac:dyDescent="0.25">
      <c r="C13051" s="26">
        <v>13049</v>
      </c>
    </row>
    <row r="13052" spans="3:3" x14ac:dyDescent="0.25">
      <c r="C13052" s="26">
        <v>13050</v>
      </c>
    </row>
    <row r="13053" spans="3:3" x14ac:dyDescent="0.25">
      <c r="C13053" s="26">
        <v>13051</v>
      </c>
    </row>
    <row r="13054" spans="3:3" x14ac:dyDescent="0.25">
      <c r="C13054" s="26">
        <v>13052</v>
      </c>
    </row>
    <row r="13055" spans="3:3" x14ac:dyDescent="0.25">
      <c r="C13055" s="26">
        <v>13053</v>
      </c>
    </row>
    <row r="13056" spans="3:3" x14ac:dyDescent="0.25">
      <c r="C13056" s="26">
        <v>13054</v>
      </c>
    </row>
    <row r="13057" spans="3:3" x14ac:dyDescent="0.25">
      <c r="C13057" s="26">
        <v>13055</v>
      </c>
    </row>
    <row r="13058" spans="3:3" x14ac:dyDescent="0.25">
      <c r="C13058" s="26">
        <v>13056</v>
      </c>
    </row>
    <row r="13059" spans="3:3" x14ac:dyDescent="0.25">
      <c r="C13059" s="26">
        <v>13057</v>
      </c>
    </row>
    <row r="13060" spans="3:3" x14ac:dyDescent="0.25">
      <c r="C13060" s="26">
        <v>13058</v>
      </c>
    </row>
    <row r="13061" spans="3:3" x14ac:dyDescent="0.25">
      <c r="C13061" s="26">
        <v>13059</v>
      </c>
    </row>
    <row r="13062" spans="3:3" x14ac:dyDescent="0.25">
      <c r="C13062" s="26">
        <v>13060</v>
      </c>
    </row>
    <row r="13063" spans="3:3" x14ac:dyDescent="0.25">
      <c r="C13063" s="26">
        <v>13061</v>
      </c>
    </row>
    <row r="13064" spans="3:3" x14ac:dyDescent="0.25">
      <c r="C13064" s="26">
        <v>13062</v>
      </c>
    </row>
    <row r="13065" spans="3:3" x14ac:dyDescent="0.25">
      <c r="C13065" s="26">
        <v>13063</v>
      </c>
    </row>
    <row r="13066" spans="3:3" x14ac:dyDescent="0.25">
      <c r="C13066" s="26">
        <v>13064</v>
      </c>
    </row>
    <row r="13067" spans="3:3" x14ac:dyDescent="0.25">
      <c r="C13067" s="26">
        <v>13065</v>
      </c>
    </row>
    <row r="13068" spans="3:3" x14ac:dyDescent="0.25">
      <c r="C13068" s="26">
        <v>13066</v>
      </c>
    </row>
    <row r="13069" spans="3:3" x14ac:dyDescent="0.25">
      <c r="C13069" s="26">
        <v>13067</v>
      </c>
    </row>
    <row r="13070" spans="3:3" x14ac:dyDescent="0.25">
      <c r="C13070" s="26">
        <v>13068</v>
      </c>
    </row>
    <row r="13071" spans="3:3" x14ac:dyDescent="0.25">
      <c r="C13071" s="26">
        <v>13069</v>
      </c>
    </row>
    <row r="13072" spans="3:3" x14ac:dyDescent="0.25">
      <c r="C13072" s="26">
        <v>13070</v>
      </c>
    </row>
    <row r="13073" spans="3:3" x14ac:dyDescent="0.25">
      <c r="C13073" s="26">
        <v>13071</v>
      </c>
    </row>
    <row r="13074" spans="3:3" x14ac:dyDescent="0.25">
      <c r="C13074" s="26">
        <v>13072</v>
      </c>
    </row>
    <row r="13075" spans="3:3" x14ac:dyDescent="0.25">
      <c r="C13075" s="26">
        <v>13073</v>
      </c>
    </row>
    <row r="13076" spans="3:3" x14ac:dyDescent="0.25">
      <c r="C13076" s="26">
        <v>13074</v>
      </c>
    </row>
    <row r="13077" spans="3:3" x14ac:dyDescent="0.25">
      <c r="C13077" s="26">
        <v>13075</v>
      </c>
    </row>
    <row r="13078" spans="3:3" x14ac:dyDescent="0.25">
      <c r="C13078" s="26">
        <v>13076</v>
      </c>
    </row>
    <row r="13079" spans="3:3" x14ac:dyDescent="0.25">
      <c r="C13079" s="26">
        <v>13077</v>
      </c>
    </row>
    <row r="13080" spans="3:3" x14ac:dyDescent="0.25">
      <c r="C13080" s="26">
        <v>13078</v>
      </c>
    </row>
    <row r="13081" spans="3:3" x14ac:dyDescent="0.25">
      <c r="C13081" s="26">
        <v>13079</v>
      </c>
    </row>
    <row r="13082" spans="3:3" x14ac:dyDescent="0.25">
      <c r="C13082" s="26">
        <v>13080</v>
      </c>
    </row>
    <row r="13083" spans="3:3" x14ac:dyDescent="0.25">
      <c r="C13083" s="26">
        <v>13081</v>
      </c>
    </row>
    <row r="13084" spans="3:3" x14ac:dyDescent="0.25">
      <c r="C13084" s="26">
        <v>13082</v>
      </c>
    </row>
    <row r="13085" spans="3:3" x14ac:dyDescent="0.25">
      <c r="C13085" s="26">
        <v>13083</v>
      </c>
    </row>
    <row r="13086" spans="3:3" x14ac:dyDescent="0.25">
      <c r="C13086" s="26">
        <v>13084</v>
      </c>
    </row>
    <row r="13087" spans="3:3" x14ac:dyDescent="0.25">
      <c r="C13087" s="26">
        <v>13085</v>
      </c>
    </row>
    <row r="13088" spans="3:3" x14ac:dyDescent="0.25">
      <c r="C13088" s="26">
        <v>13086</v>
      </c>
    </row>
    <row r="13089" spans="3:3" x14ac:dyDescent="0.25">
      <c r="C13089" s="26">
        <v>13087</v>
      </c>
    </row>
    <row r="13090" spans="3:3" x14ac:dyDescent="0.25">
      <c r="C13090" s="26">
        <v>13088</v>
      </c>
    </row>
    <row r="13091" spans="3:3" x14ac:dyDescent="0.25">
      <c r="C13091" s="26">
        <v>13089</v>
      </c>
    </row>
    <row r="13092" spans="3:3" x14ac:dyDescent="0.25">
      <c r="C13092" s="26">
        <v>13090</v>
      </c>
    </row>
    <row r="13093" spans="3:3" x14ac:dyDescent="0.25">
      <c r="C13093" s="26">
        <v>13091</v>
      </c>
    </row>
    <row r="13094" spans="3:3" x14ac:dyDescent="0.25">
      <c r="C13094" s="26">
        <v>13092</v>
      </c>
    </row>
    <row r="13095" spans="3:3" x14ac:dyDescent="0.25">
      <c r="C13095" s="26">
        <v>13093</v>
      </c>
    </row>
    <row r="13096" spans="3:3" x14ac:dyDescent="0.25">
      <c r="C13096" s="26">
        <v>13094</v>
      </c>
    </row>
    <row r="13097" spans="3:3" x14ac:dyDescent="0.25">
      <c r="C13097" s="26">
        <v>13095</v>
      </c>
    </row>
    <row r="13098" spans="3:3" x14ac:dyDescent="0.25">
      <c r="C13098" s="26">
        <v>13096</v>
      </c>
    </row>
    <row r="13099" spans="3:3" x14ac:dyDescent="0.25">
      <c r="C13099" s="26">
        <v>13097</v>
      </c>
    </row>
    <row r="13100" spans="3:3" x14ac:dyDescent="0.25">
      <c r="C13100" s="26">
        <v>13098</v>
      </c>
    </row>
    <row r="13101" spans="3:3" x14ac:dyDescent="0.25">
      <c r="C13101" s="26">
        <v>13099</v>
      </c>
    </row>
    <row r="13102" spans="3:3" x14ac:dyDescent="0.25">
      <c r="C13102" s="26">
        <v>13100</v>
      </c>
    </row>
    <row r="13103" spans="3:3" x14ac:dyDescent="0.25">
      <c r="C13103" s="26">
        <v>13101</v>
      </c>
    </row>
    <row r="13104" spans="3:3" x14ac:dyDescent="0.25">
      <c r="C13104" s="26">
        <v>13102</v>
      </c>
    </row>
    <row r="13105" spans="3:3" x14ac:dyDescent="0.25">
      <c r="C13105" s="26">
        <v>13103</v>
      </c>
    </row>
    <row r="13106" spans="3:3" x14ac:dyDescent="0.25">
      <c r="C13106" s="26">
        <v>13104</v>
      </c>
    </row>
    <row r="13107" spans="3:3" x14ac:dyDescent="0.25">
      <c r="C13107" s="26">
        <v>13105</v>
      </c>
    </row>
    <row r="13108" spans="3:3" x14ac:dyDescent="0.25">
      <c r="C13108" s="26">
        <v>13106</v>
      </c>
    </row>
    <row r="13109" spans="3:3" x14ac:dyDescent="0.25">
      <c r="C13109" s="26">
        <v>13107</v>
      </c>
    </row>
    <row r="13110" spans="3:3" x14ac:dyDescent="0.25">
      <c r="C13110" s="26">
        <v>13108</v>
      </c>
    </row>
    <row r="13111" spans="3:3" x14ac:dyDescent="0.25">
      <c r="C13111" s="26">
        <v>13109</v>
      </c>
    </row>
    <row r="13112" spans="3:3" x14ac:dyDescent="0.25">
      <c r="C13112" s="26">
        <v>13110</v>
      </c>
    </row>
    <row r="13113" spans="3:3" x14ac:dyDescent="0.25">
      <c r="C13113" s="26">
        <v>13111</v>
      </c>
    </row>
    <row r="13114" spans="3:3" x14ac:dyDescent="0.25">
      <c r="C13114" s="26">
        <v>13112</v>
      </c>
    </row>
    <row r="13115" spans="3:3" x14ac:dyDescent="0.25">
      <c r="C13115" s="26">
        <v>13113</v>
      </c>
    </row>
    <row r="13116" spans="3:3" x14ac:dyDescent="0.25">
      <c r="C13116" s="26">
        <v>13114</v>
      </c>
    </row>
    <row r="13117" spans="3:3" x14ac:dyDescent="0.25">
      <c r="C13117" s="26">
        <v>13115</v>
      </c>
    </row>
    <row r="13118" spans="3:3" x14ac:dyDescent="0.25">
      <c r="C13118" s="26">
        <v>13116</v>
      </c>
    </row>
    <row r="13119" spans="3:3" x14ac:dyDescent="0.25">
      <c r="C13119" s="26">
        <v>13117</v>
      </c>
    </row>
    <row r="13120" spans="3:3" x14ac:dyDescent="0.25">
      <c r="C13120" s="26">
        <v>13118</v>
      </c>
    </row>
    <row r="13121" spans="3:3" x14ac:dyDescent="0.25">
      <c r="C13121" s="26">
        <v>13119</v>
      </c>
    </row>
    <row r="13122" spans="3:3" x14ac:dyDescent="0.25">
      <c r="C13122" s="26">
        <v>13120</v>
      </c>
    </row>
    <row r="13123" spans="3:3" x14ac:dyDescent="0.25">
      <c r="C13123" s="26">
        <v>13121</v>
      </c>
    </row>
    <row r="13124" spans="3:3" x14ac:dyDescent="0.25">
      <c r="C13124" s="26">
        <v>13122</v>
      </c>
    </row>
    <row r="13125" spans="3:3" x14ac:dyDescent="0.25">
      <c r="C13125" s="26">
        <v>13123</v>
      </c>
    </row>
    <row r="13126" spans="3:3" x14ac:dyDescent="0.25">
      <c r="C13126" s="26">
        <v>13124</v>
      </c>
    </row>
    <row r="13127" spans="3:3" x14ac:dyDescent="0.25">
      <c r="C13127" s="26">
        <v>13125</v>
      </c>
    </row>
    <row r="13128" spans="3:3" x14ac:dyDescent="0.25">
      <c r="C13128" s="26">
        <v>13126</v>
      </c>
    </row>
    <row r="13129" spans="3:3" x14ac:dyDescent="0.25">
      <c r="C13129" s="26">
        <v>13127</v>
      </c>
    </row>
    <row r="13130" spans="3:3" x14ac:dyDescent="0.25">
      <c r="C13130" s="26">
        <v>13128</v>
      </c>
    </row>
    <row r="13131" spans="3:3" x14ac:dyDescent="0.25">
      <c r="C13131" s="26">
        <v>13129</v>
      </c>
    </row>
    <row r="13132" spans="3:3" x14ac:dyDescent="0.25">
      <c r="C13132" s="26">
        <v>13130</v>
      </c>
    </row>
    <row r="13133" spans="3:3" x14ac:dyDescent="0.25">
      <c r="C13133" s="26">
        <v>13131</v>
      </c>
    </row>
    <row r="13134" spans="3:3" x14ac:dyDescent="0.25">
      <c r="C13134" s="26">
        <v>13132</v>
      </c>
    </row>
    <row r="13135" spans="3:3" x14ac:dyDescent="0.25">
      <c r="C13135" s="26">
        <v>13133</v>
      </c>
    </row>
    <row r="13136" spans="3:3" x14ac:dyDescent="0.25">
      <c r="C13136" s="26">
        <v>13134</v>
      </c>
    </row>
    <row r="13137" spans="3:3" x14ac:dyDescent="0.25">
      <c r="C13137" s="26">
        <v>13135</v>
      </c>
    </row>
    <row r="13138" spans="3:3" x14ac:dyDescent="0.25">
      <c r="C13138" s="26">
        <v>13136</v>
      </c>
    </row>
    <row r="13139" spans="3:3" x14ac:dyDescent="0.25">
      <c r="C13139" s="26">
        <v>13137</v>
      </c>
    </row>
    <row r="13140" spans="3:3" x14ac:dyDescent="0.25">
      <c r="C13140" s="26">
        <v>13138</v>
      </c>
    </row>
    <row r="13141" spans="3:3" x14ac:dyDescent="0.25">
      <c r="C13141" s="26">
        <v>13139</v>
      </c>
    </row>
    <row r="13142" spans="3:3" x14ac:dyDescent="0.25">
      <c r="C13142" s="26">
        <v>13140</v>
      </c>
    </row>
    <row r="13143" spans="3:3" x14ac:dyDescent="0.25">
      <c r="C13143" s="26">
        <v>13141</v>
      </c>
    </row>
    <row r="13144" spans="3:3" x14ac:dyDescent="0.25">
      <c r="C13144" s="26">
        <v>13142</v>
      </c>
    </row>
    <row r="13145" spans="3:3" x14ac:dyDescent="0.25">
      <c r="C13145" s="26">
        <v>13143</v>
      </c>
    </row>
    <row r="13146" spans="3:3" x14ac:dyDescent="0.25">
      <c r="C13146" s="26">
        <v>13144</v>
      </c>
    </row>
    <row r="13147" spans="3:3" x14ac:dyDescent="0.25">
      <c r="C13147" s="26">
        <v>13145</v>
      </c>
    </row>
    <row r="13148" spans="3:3" x14ac:dyDescent="0.25">
      <c r="C13148" s="26">
        <v>13146</v>
      </c>
    </row>
    <row r="13149" spans="3:3" x14ac:dyDescent="0.25">
      <c r="C13149" s="26">
        <v>13147</v>
      </c>
    </row>
    <row r="13150" spans="3:3" x14ac:dyDescent="0.25">
      <c r="C13150" s="26">
        <v>13148</v>
      </c>
    </row>
    <row r="13151" spans="3:3" x14ac:dyDescent="0.25">
      <c r="C13151" s="26">
        <v>13149</v>
      </c>
    </row>
    <row r="13152" spans="3:3" x14ac:dyDescent="0.25">
      <c r="C13152" s="26">
        <v>13150</v>
      </c>
    </row>
    <row r="13153" spans="3:3" x14ac:dyDescent="0.25">
      <c r="C13153" s="26">
        <v>13151</v>
      </c>
    </row>
    <row r="13154" spans="3:3" x14ac:dyDescent="0.25">
      <c r="C13154" s="26">
        <v>13152</v>
      </c>
    </row>
    <row r="13155" spans="3:3" x14ac:dyDescent="0.25">
      <c r="C13155" s="26">
        <v>13153</v>
      </c>
    </row>
    <row r="13156" spans="3:3" x14ac:dyDescent="0.25">
      <c r="C13156" s="26">
        <v>13154</v>
      </c>
    </row>
    <row r="13157" spans="3:3" x14ac:dyDescent="0.25">
      <c r="C13157" s="26">
        <v>13155</v>
      </c>
    </row>
    <row r="13158" spans="3:3" x14ac:dyDescent="0.25">
      <c r="C13158" s="26">
        <v>13156</v>
      </c>
    </row>
    <row r="13159" spans="3:3" x14ac:dyDescent="0.25">
      <c r="C13159" s="26">
        <v>13157</v>
      </c>
    </row>
    <row r="13160" spans="3:3" x14ac:dyDescent="0.25">
      <c r="C13160" s="26">
        <v>13158</v>
      </c>
    </row>
    <row r="13161" spans="3:3" x14ac:dyDescent="0.25">
      <c r="C13161" s="26">
        <v>13159</v>
      </c>
    </row>
    <row r="13162" spans="3:3" x14ac:dyDescent="0.25">
      <c r="C13162" s="26">
        <v>13160</v>
      </c>
    </row>
    <row r="13163" spans="3:3" x14ac:dyDescent="0.25">
      <c r="C13163" s="26">
        <v>13161</v>
      </c>
    </row>
    <row r="13164" spans="3:3" x14ac:dyDescent="0.25">
      <c r="C13164" s="26">
        <v>13162</v>
      </c>
    </row>
    <row r="13165" spans="3:3" x14ac:dyDescent="0.25">
      <c r="C13165" s="26">
        <v>13163</v>
      </c>
    </row>
    <row r="13166" spans="3:3" x14ac:dyDescent="0.25">
      <c r="C13166" s="26">
        <v>13164</v>
      </c>
    </row>
    <row r="13167" spans="3:3" x14ac:dyDescent="0.25">
      <c r="C13167" s="26">
        <v>13165</v>
      </c>
    </row>
    <row r="13168" spans="3:3" x14ac:dyDescent="0.25">
      <c r="C13168" s="26">
        <v>13166</v>
      </c>
    </row>
    <row r="13169" spans="3:3" x14ac:dyDescent="0.25">
      <c r="C13169" s="26">
        <v>13167</v>
      </c>
    </row>
    <row r="13170" spans="3:3" x14ac:dyDescent="0.25">
      <c r="C13170" s="26">
        <v>13168</v>
      </c>
    </row>
    <row r="13171" spans="3:3" x14ac:dyDescent="0.25">
      <c r="C13171" s="26">
        <v>13169</v>
      </c>
    </row>
    <row r="13172" spans="3:3" x14ac:dyDescent="0.25">
      <c r="C13172" s="26">
        <v>13170</v>
      </c>
    </row>
    <row r="13173" spans="3:3" x14ac:dyDescent="0.25">
      <c r="C13173" s="26">
        <v>13171</v>
      </c>
    </row>
    <row r="13174" spans="3:3" x14ac:dyDescent="0.25">
      <c r="C13174" s="26">
        <v>13172</v>
      </c>
    </row>
    <row r="13175" spans="3:3" x14ac:dyDescent="0.25">
      <c r="C13175" s="26">
        <v>13173</v>
      </c>
    </row>
    <row r="13176" spans="3:3" x14ac:dyDescent="0.25">
      <c r="C13176" s="26">
        <v>13174</v>
      </c>
    </row>
    <row r="13177" spans="3:3" x14ac:dyDescent="0.25">
      <c r="C13177" s="26">
        <v>13175</v>
      </c>
    </row>
    <row r="13178" spans="3:3" x14ac:dyDescent="0.25">
      <c r="C13178" s="26">
        <v>13176</v>
      </c>
    </row>
    <row r="13179" spans="3:3" x14ac:dyDescent="0.25">
      <c r="C13179" s="26">
        <v>13177</v>
      </c>
    </row>
    <row r="13180" spans="3:3" x14ac:dyDescent="0.25">
      <c r="C13180" s="26">
        <v>13178</v>
      </c>
    </row>
    <row r="13181" spans="3:3" x14ac:dyDescent="0.25">
      <c r="C13181" s="26">
        <v>13179</v>
      </c>
    </row>
    <row r="13182" spans="3:3" x14ac:dyDescent="0.25">
      <c r="C13182" s="26">
        <v>13180</v>
      </c>
    </row>
    <row r="13183" spans="3:3" x14ac:dyDescent="0.25">
      <c r="C13183" s="26">
        <v>13181</v>
      </c>
    </row>
    <row r="13184" spans="3:3" x14ac:dyDescent="0.25">
      <c r="C13184" s="26">
        <v>13182</v>
      </c>
    </row>
    <row r="13185" spans="3:3" x14ac:dyDescent="0.25">
      <c r="C13185" s="26">
        <v>13183</v>
      </c>
    </row>
    <row r="13186" spans="3:3" x14ac:dyDescent="0.25">
      <c r="C13186" s="26">
        <v>13184</v>
      </c>
    </row>
    <row r="13187" spans="3:3" x14ac:dyDescent="0.25">
      <c r="C13187" s="26">
        <v>13185</v>
      </c>
    </row>
    <row r="13188" spans="3:3" x14ac:dyDescent="0.25">
      <c r="C13188" s="26">
        <v>13186</v>
      </c>
    </row>
    <row r="13189" spans="3:3" x14ac:dyDescent="0.25">
      <c r="C13189" s="26">
        <v>13187</v>
      </c>
    </row>
    <row r="13190" spans="3:3" x14ac:dyDescent="0.25">
      <c r="C13190" s="26">
        <v>13188</v>
      </c>
    </row>
    <row r="13191" spans="3:3" x14ac:dyDescent="0.25">
      <c r="C13191" s="26">
        <v>13189</v>
      </c>
    </row>
    <row r="13192" spans="3:3" x14ac:dyDescent="0.25">
      <c r="C13192" s="26">
        <v>13190</v>
      </c>
    </row>
    <row r="13193" spans="3:3" x14ac:dyDescent="0.25">
      <c r="C13193" s="26">
        <v>13191</v>
      </c>
    </row>
    <row r="13194" spans="3:3" x14ac:dyDescent="0.25">
      <c r="C13194" s="26">
        <v>13192</v>
      </c>
    </row>
    <row r="13195" spans="3:3" x14ac:dyDescent="0.25">
      <c r="C13195" s="26">
        <v>13193</v>
      </c>
    </row>
    <row r="13196" spans="3:3" x14ac:dyDescent="0.25">
      <c r="C13196" s="26">
        <v>13194</v>
      </c>
    </row>
    <row r="13197" spans="3:3" x14ac:dyDescent="0.25">
      <c r="C13197" s="26">
        <v>13195</v>
      </c>
    </row>
    <row r="13198" spans="3:3" x14ac:dyDescent="0.25">
      <c r="C13198" s="26">
        <v>13196</v>
      </c>
    </row>
    <row r="13199" spans="3:3" x14ac:dyDescent="0.25">
      <c r="C13199" s="26">
        <v>13197</v>
      </c>
    </row>
    <row r="13200" spans="3:3" x14ac:dyDescent="0.25">
      <c r="C13200" s="26">
        <v>13198</v>
      </c>
    </row>
    <row r="13201" spans="3:3" x14ac:dyDescent="0.25">
      <c r="C13201" s="26">
        <v>13199</v>
      </c>
    </row>
    <row r="13202" spans="3:3" x14ac:dyDescent="0.25">
      <c r="C13202" s="26">
        <v>13200</v>
      </c>
    </row>
    <row r="13203" spans="3:3" x14ac:dyDescent="0.25">
      <c r="C13203" s="26">
        <v>13201</v>
      </c>
    </row>
    <row r="13204" spans="3:3" x14ac:dyDescent="0.25">
      <c r="C13204" s="26">
        <v>13202</v>
      </c>
    </row>
    <row r="13205" spans="3:3" x14ac:dyDescent="0.25">
      <c r="C13205" s="26">
        <v>13203</v>
      </c>
    </row>
    <row r="13206" spans="3:3" x14ac:dyDescent="0.25">
      <c r="C13206" s="26">
        <v>13204</v>
      </c>
    </row>
    <row r="13207" spans="3:3" x14ac:dyDescent="0.25">
      <c r="C13207" s="26">
        <v>13205</v>
      </c>
    </row>
    <row r="13208" spans="3:3" x14ac:dyDescent="0.25">
      <c r="C13208" s="26">
        <v>13206</v>
      </c>
    </row>
    <row r="13209" spans="3:3" x14ac:dyDescent="0.25">
      <c r="C13209" s="26">
        <v>13207</v>
      </c>
    </row>
    <row r="13210" spans="3:3" x14ac:dyDescent="0.25">
      <c r="C13210" s="26">
        <v>13208</v>
      </c>
    </row>
    <row r="13211" spans="3:3" x14ac:dyDescent="0.25">
      <c r="C13211" s="26">
        <v>13209</v>
      </c>
    </row>
    <row r="13212" spans="3:3" x14ac:dyDescent="0.25">
      <c r="C13212" s="26">
        <v>13210</v>
      </c>
    </row>
    <row r="13213" spans="3:3" x14ac:dyDescent="0.25">
      <c r="C13213" s="26">
        <v>13211</v>
      </c>
    </row>
    <row r="13214" spans="3:3" x14ac:dyDescent="0.25">
      <c r="C13214" s="26">
        <v>13212</v>
      </c>
    </row>
    <row r="13215" spans="3:3" x14ac:dyDescent="0.25">
      <c r="C13215" s="26">
        <v>13213</v>
      </c>
    </row>
    <row r="13216" spans="3:3" x14ac:dyDescent="0.25">
      <c r="C13216" s="26">
        <v>13214</v>
      </c>
    </row>
    <row r="13217" spans="3:3" x14ac:dyDescent="0.25">
      <c r="C13217" s="26">
        <v>13215</v>
      </c>
    </row>
    <row r="13218" spans="3:3" x14ac:dyDescent="0.25">
      <c r="C13218" s="26">
        <v>13216</v>
      </c>
    </row>
    <row r="13219" spans="3:3" x14ac:dyDescent="0.25">
      <c r="C13219" s="26">
        <v>13217</v>
      </c>
    </row>
    <row r="13220" spans="3:3" x14ac:dyDescent="0.25">
      <c r="C13220" s="26">
        <v>13218</v>
      </c>
    </row>
    <row r="13221" spans="3:3" x14ac:dyDescent="0.25">
      <c r="C13221" s="26">
        <v>13219</v>
      </c>
    </row>
    <row r="13222" spans="3:3" x14ac:dyDescent="0.25">
      <c r="C13222" s="26">
        <v>13220</v>
      </c>
    </row>
    <row r="13223" spans="3:3" x14ac:dyDescent="0.25">
      <c r="C13223" s="26">
        <v>13221</v>
      </c>
    </row>
    <row r="13224" spans="3:3" x14ac:dyDescent="0.25">
      <c r="C13224" s="26">
        <v>13222</v>
      </c>
    </row>
    <row r="13225" spans="3:3" x14ac:dyDescent="0.25">
      <c r="C13225" s="26">
        <v>13223</v>
      </c>
    </row>
    <row r="13226" spans="3:3" x14ac:dyDescent="0.25">
      <c r="C13226" s="26">
        <v>13224</v>
      </c>
    </row>
    <row r="13227" spans="3:3" x14ac:dyDescent="0.25">
      <c r="C13227" s="26">
        <v>13225</v>
      </c>
    </row>
    <row r="13228" spans="3:3" x14ac:dyDescent="0.25">
      <c r="C13228" s="26">
        <v>13226</v>
      </c>
    </row>
    <row r="13229" spans="3:3" x14ac:dyDescent="0.25">
      <c r="C13229" s="26">
        <v>13227</v>
      </c>
    </row>
    <row r="13230" spans="3:3" x14ac:dyDescent="0.25">
      <c r="C13230" s="26">
        <v>13228</v>
      </c>
    </row>
    <row r="13231" spans="3:3" x14ac:dyDescent="0.25">
      <c r="C13231" s="26">
        <v>13229</v>
      </c>
    </row>
    <row r="13232" spans="3:3" x14ac:dyDescent="0.25">
      <c r="C13232" s="26">
        <v>13230</v>
      </c>
    </row>
    <row r="13233" spans="3:3" x14ac:dyDescent="0.25">
      <c r="C13233" s="26">
        <v>13231</v>
      </c>
    </row>
    <row r="13234" spans="3:3" x14ac:dyDescent="0.25">
      <c r="C13234" s="26">
        <v>13232</v>
      </c>
    </row>
    <row r="13235" spans="3:3" x14ac:dyDescent="0.25">
      <c r="C13235" s="26">
        <v>13233</v>
      </c>
    </row>
    <row r="13236" spans="3:3" x14ac:dyDescent="0.25">
      <c r="C13236" s="26">
        <v>13234</v>
      </c>
    </row>
    <row r="13237" spans="3:3" x14ac:dyDescent="0.25">
      <c r="C13237" s="26">
        <v>13235</v>
      </c>
    </row>
    <row r="13238" spans="3:3" x14ac:dyDescent="0.25">
      <c r="C13238" s="26">
        <v>13236</v>
      </c>
    </row>
    <row r="13239" spans="3:3" x14ac:dyDescent="0.25">
      <c r="C13239" s="26">
        <v>13237</v>
      </c>
    </row>
    <row r="13240" spans="3:3" x14ac:dyDescent="0.25">
      <c r="C13240" s="26">
        <v>13238</v>
      </c>
    </row>
    <row r="13241" spans="3:3" x14ac:dyDescent="0.25">
      <c r="C13241" s="26">
        <v>13239</v>
      </c>
    </row>
    <row r="13242" spans="3:3" x14ac:dyDescent="0.25">
      <c r="C13242" s="26">
        <v>13240</v>
      </c>
    </row>
    <row r="13243" spans="3:3" x14ac:dyDescent="0.25">
      <c r="C13243" s="26">
        <v>13241</v>
      </c>
    </row>
    <row r="13244" spans="3:3" x14ac:dyDescent="0.25">
      <c r="C13244" s="26">
        <v>13242</v>
      </c>
    </row>
    <row r="13245" spans="3:3" x14ac:dyDescent="0.25">
      <c r="C13245" s="26">
        <v>13243</v>
      </c>
    </row>
    <row r="13246" spans="3:3" x14ac:dyDescent="0.25">
      <c r="C13246" s="26">
        <v>13244</v>
      </c>
    </row>
    <row r="13247" spans="3:3" x14ac:dyDescent="0.25">
      <c r="C13247" s="26">
        <v>13245</v>
      </c>
    </row>
    <row r="13248" spans="3:3" x14ac:dyDescent="0.25">
      <c r="C13248" s="26">
        <v>13246</v>
      </c>
    </row>
    <row r="13249" spans="3:3" x14ac:dyDescent="0.25">
      <c r="C13249" s="26">
        <v>13247</v>
      </c>
    </row>
    <row r="13250" spans="3:3" x14ac:dyDescent="0.25">
      <c r="C13250" s="26">
        <v>13248</v>
      </c>
    </row>
    <row r="13251" spans="3:3" x14ac:dyDescent="0.25">
      <c r="C13251" s="26">
        <v>13249</v>
      </c>
    </row>
    <row r="13252" spans="3:3" x14ac:dyDescent="0.25">
      <c r="C13252" s="26">
        <v>13250</v>
      </c>
    </row>
    <row r="13253" spans="3:3" x14ac:dyDescent="0.25">
      <c r="C13253" s="26">
        <v>13251</v>
      </c>
    </row>
    <row r="13254" spans="3:3" x14ac:dyDescent="0.25">
      <c r="C13254" s="26">
        <v>13252</v>
      </c>
    </row>
    <row r="13255" spans="3:3" x14ac:dyDescent="0.25">
      <c r="C13255" s="26">
        <v>13253</v>
      </c>
    </row>
    <row r="13256" spans="3:3" x14ac:dyDescent="0.25">
      <c r="C13256" s="26">
        <v>13254</v>
      </c>
    </row>
    <row r="13257" spans="3:3" x14ac:dyDescent="0.25">
      <c r="C13257" s="26">
        <v>13255</v>
      </c>
    </row>
    <row r="13258" spans="3:3" x14ac:dyDescent="0.25">
      <c r="C13258" s="26">
        <v>13256</v>
      </c>
    </row>
    <row r="13259" spans="3:3" x14ac:dyDescent="0.25">
      <c r="C13259" s="26">
        <v>13257</v>
      </c>
    </row>
    <row r="13260" spans="3:3" x14ac:dyDescent="0.25">
      <c r="C13260" s="26">
        <v>13258</v>
      </c>
    </row>
    <row r="13261" spans="3:3" x14ac:dyDescent="0.25">
      <c r="C13261" s="26">
        <v>13259</v>
      </c>
    </row>
    <row r="13262" spans="3:3" x14ac:dyDescent="0.25">
      <c r="C13262" s="26">
        <v>13260</v>
      </c>
    </row>
    <row r="13263" spans="3:3" x14ac:dyDescent="0.25">
      <c r="C13263" s="26">
        <v>13261</v>
      </c>
    </row>
    <row r="13264" spans="3:3" x14ac:dyDescent="0.25">
      <c r="C13264" s="26">
        <v>13262</v>
      </c>
    </row>
    <row r="13265" spans="3:3" x14ac:dyDescent="0.25">
      <c r="C13265" s="26">
        <v>13263</v>
      </c>
    </row>
    <row r="13266" spans="3:3" x14ac:dyDescent="0.25">
      <c r="C13266" s="26">
        <v>13264</v>
      </c>
    </row>
    <row r="13267" spans="3:3" x14ac:dyDescent="0.25">
      <c r="C13267" s="26">
        <v>13265</v>
      </c>
    </row>
    <row r="13268" spans="3:3" x14ac:dyDescent="0.25">
      <c r="C13268" s="26">
        <v>13266</v>
      </c>
    </row>
    <row r="13269" spans="3:3" x14ac:dyDescent="0.25">
      <c r="C13269" s="26">
        <v>13267</v>
      </c>
    </row>
    <row r="13270" spans="3:3" x14ac:dyDescent="0.25">
      <c r="C13270" s="26">
        <v>13268</v>
      </c>
    </row>
    <row r="13271" spans="3:3" x14ac:dyDescent="0.25">
      <c r="C13271" s="26">
        <v>13269</v>
      </c>
    </row>
    <row r="13272" spans="3:3" x14ac:dyDescent="0.25">
      <c r="C13272" s="26">
        <v>13270</v>
      </c>
    </row>
    <row r="13273" spans="3:3" x14ac:dyDescent="0.25">
      <c r="C13273" s="26">
        <v>13271</v>
      </c>
    </row>
    <row r="13274" spans="3:3" x14ac:dyDescent="0.25">
      <c r="C13274" s="26">
        <v>13272</v>
      </c>
    </row>
    <row r="13275" spans="3:3" x14ac:dyDescent="0.25">
      <c r="C13275" s="26">
        <v>13273</v>
      </c>
    </row>
    <row r="13276" spans="3:3" x14ac:dyDescent="0.25">
      <c r="C13276" s="26">
        <v>13274</v>
      </c>
    </row>
    <row r="13277" spans="3:3" x14ac:dyDescent="0.25">
      <c r="C13277" s="26">
        <v>13275</v>
      </c>
    </row>
    <row r="13278" spans="3:3" x14ac:dyDescent="0.25">
      <c r="C13278" s="26">
        <v>13276</v>
      </c>
    </row>
    <row r="13279" spans="3:3" x14ac:dyDescent="0.25">
      <c r="C13279" s="26">
        <v>13277</v>
      </c>
    </row>
    <row r="13280" spans="3:3" x14ac:dyDescent="0.25">
      <c r="C13280" s="26">
        <v>13278</v>
      </c>
    </row>
    <row r="13281" spans="3:3" x14ac:dyDescent="0.25">
      <c r="C13281" s="26">
        <v>13279</v>
      </c>
    </row>
    <row r="13282" spans="3:3" x14ac:dyDescent="0.25">
      <c r="C13282" s="26">
        <v>13280</v>
      </c>
    </row>
    <row r="13283" spans="3:3" x14ac:dyDescent="0.25">
      <c r="C13283" s="26">
        <v>13281</v>
      </c>
    </row>
    <row r="13284" spans="3:3" x14ac:dyDescent="0.25">
      <c r="C13284" s="26">
        <v>13282</v>
      </c>
    </row>
    <row r="13285" spans="3:3" x14ac:dyDescent="0.25">
      <c r="C13285" s="26">
        <v>13283</v>
      </c>
    </row>
    <row r="13286" spans="3:3" x14ac:dyDescent="0.25">
      <c r="C13286" s="26">
        <v>13284</v>
      </c>
    </row>
    <row r="13287" spans="3:3" x14ac:dyDescent="0.25">
      <c r="C13287" s="26">
        <v>13285</v>
      </c>
    </row>
    <row r="13288" spans="3:3" x14ac:dyDescent="0.25">
      <c r="C13288" s="26">
        <v>13286</v>
      </c>
    </row>
    <row r="13289" spans="3:3" x14ac:dyDescent="0.25">
      <c r="C13289" s="26">
        <v>13287</v>
      </c>
    </row>
    <row r="13290" spans="3:3" x14ac:dyDescent="0.25">
      <c r="C13290" s="26">
        <v>13288</v>
      </c>
    </row>
    <row r="13291" spans="3:3" x14ac:dyDescent="0.25">
      <c r="C13291" s="26">
        <v>13289</v>
      </c>
    </row>
    <row r="13292" spans="3:3" x14ac:dyDescent="0.25">
      <c r="C13292" s="26">
        <v>13290</v>
      </c>
    </row>
    <row r="13293" spans="3:3" x14ac:dyDescent="0.25">
      <c r="C13293" s="26">
        <v>13291</v>
      </c>
    </row>
    <row r="13294" spans="3:3" x14ac:dyDescent="0.25">
      <c r="C13294" s="26">
        <v>13292</v>
      </c>
    </row>
    <row r="13295" spans="3:3" x14ac:dyDescent="0.25">
      <c r="C13295" s="26">
        <v>13293</v>
      </c>
    </row>
    <row r="13296" spans="3:3" x14ac:dyDescent="0.25">
      <c r="C13296" s="26">
        <v>13294</v>
      </c>
    </row>
    <row r="13297" spans="3:3" x14ac:dyDescent="0.25">
      <c r="C13297" s="26">
        <v>13295</v>
      </c>
    </row>
    <row r="13298" spans="3:3" x14ac:dyDescent="0.25">
      <c r="C13298" s="26">
        <v>13296</v>
      </c>
    </row>
    <row r="13299" spans="3:3" x14ac:dyDescent="0.25">
      <c r="C13299" s="26">
        <v>13297</v>
      </c>
    </row>
    <row r="13300" spans="3:3" x14ac:dyDescent="0.25">
      <c r="C13300" s="26">
        <v>13298</v>
      </c>
    </row>
    <row r="13301" spans="3:3" x14ac:dyDescent="0.25">
      <c r="C13301" s="26">
        <v>13299</v>
      </c>
    </row>
    <row r="13302" spans="3:3" x14ac:dyDescent="0.25">
      <c r="C13302" s="26">
        <v>13300</v>
      </c>
    </row>
    <row r="13303" spans="3:3" x14ac:dyDescent="0.25">
      <c r="C13303" s="26">
        <v>13301</v>
      </c>
    </row>
    <row r="13304" spans="3:3" x14ac:dyDescent="0.25">
      <c r="C13304" s="26">
        <v>13302</v>
      </c>
    </row>
    <row r="13305" spans="3:3" x14ac:dyDescent="0.25">
      <c r="C13305" s="26">
        <v>13303</v>
      </c>
    </row>
    <row r="13306" spans="3:3" x14ac:dyDescent="0.25">
      <c r="C13306" s="26">
        <v>13304</v>
      </c>
    </row>
    <row r="13307" spans="3:3" x14ac:dyDescent="0.25">
      <c r="C13307" s="26">
        <v>13305</v>
      </c>
    </row>
    <row r="13308" spans="3:3" x14ac:dyDescent="0.25">
      <c r="C13308" s="26">
        <v>13306</v>
      </c>
    </row>
    <row r="13309" spans="3:3" x14ac:dyDescent="0.25">
      <c r="C13309" s="26">
        <v>13307</v>
      </c>
    </row>
    <row r="13310" spans="3:3" x14ac:dyDescent="0.25">
      <c r="C13310" s="26">
        <v>13308</v>
      </c>
    </row>
    <row r="13311" spans="3:3" x14ac:dyDescent="0.25">
      <c r="C13311" s="26">
        <v>13309</v>
      </c>
    </row>
    <row r="13312" spans="3:3" x14ac:dyDescent="0.25">
      <c r="C13312" s="26">
        <v>13310</v>
      </c>
    </row>
    <row r="13313" spans="3:3" x14ac:dyDescent="0.25">
      <c r="C13313" s="26">
        <v>13311</v>
      </c>
    </row>
    <row r="13314" spans="3:3" x14ac:dyDescent="0.25">
      <c r="C13314" s="26">
        <v>13312</v>
      </c>
    </row>
    <row r="13315" spans="3:3" x14ac:dyDescent="0.25">
      <c r="C13315" s="26">
        <v>13313</v>
      </c>
    </row>
    <row r="13316" spans="3:3" x14ac:dyDescent="0.25">
      <c r="C13316" s="26">
        <v>13314</v>
      </c>
    </row>
    <row r="13317" spans="3:3" x14ac:dyDescent="0.25">
      <c r="C13317" s="26">
        <v>13315</v>
      </c>
    </row>
    <row r="13318" spans="3:3" x14ac:dyDescent="0.25">
      <c r="C13318" s="26">
        <v>13316</v>
      </c>
    </row>
    <row r="13319" spans="3:3" x14ac:dyDescent="0.25">
      <c r="C13319" s="26">
        <v>13317</v>
      </c>
    </row>
    <row r="13320" spans="3:3" x14ac:dyDescent="0.25">
      <c r="C13320" s="26">
        <v>13318</v>
      </c>
    </row>
    <row r="13321" spans="3:3" x14ac:dyDescent="0.25">
      <c r="C13321" s="26">
        <v>13319</v>
      </c>
    </row>
    <row r="13322" spans="3:3" x14ac:dyDescent="0.25">
      <c r="C13322" s="26">
        <v>13320</v>
      </c>
    </row>
    <row r="13323" spans="3:3" x14ac:dyDescent="0.25">
      <c r="C13323" s="26">
        <v>13321</v>
      </c>
    </row>
    <row r="13324" spans="3:3" x14ac:dyDescent="0.25">
      <c r="C13324" s="26">
        <v>13322</v>
      </c>
    </row>
    <row r="13325" spans="3:3" x14ac:dyDescent="0.25">
      <c r="C13325" s="26">
        <v>13323</v>
      </c>
    </row>
    <row r="13326" spans="3:3" x14ac:dyDescent="0.25">
      <c r="C13326" s="26">
        <v>13324</v>
      </c>
    </row>
    <row r="13327" spans="3:3" x14ac:dyDescent="0.25">
      <c r="C13327" s="26">
        <v>13325</v>
      </c>
    </row>
    <row r="13328" spans="3:3" x14ac:dyDescent="0.25">
      <c r="C13328" s="26">
        <v>13326</v>
      </c>
    </row>
    <row r="13329" spans="3:3" x14ac:dyDescent="0.25">
      <c r="C13329" s="26">
        <v>13327</v>
      </c>
    </row>
    <row r="13330" spans="3:3" x14ac:dyDescent="0.25">
      <c r="C13330" s="26">
        <v>13328</v>
      </c>
    </row>
    <row r="13331" spans="3:3" x14ac:dyDescent="0.25">
      <c r="C13331" s="26">
        <v>13329</v>
      </c>
    </row>
    <row r="13332" spans="3:3" x14ac:dyDescent="0.25">
      <c r="C13332" s="26">
        <v>13330</v>
      </c>
    </row>
    <row r="13333" spans="3:3" x14ac:dyDescent="0.25">
      <c r="C13333" s="26">
        <v>13331</v>
      </c>
    </row>
    <row r="13334" spans="3:3" x14ac:dyDescent="0.25">
      <c r="C13334" s="26">
        <v>13332</v>
      </c>
    </row>
    <row r="13335" spans="3:3" x14ac:dyDescent="0.25">
      <c r="C13335" s="26">
        <v>13333</v>
      </c>
    </row>
    <row r="13336" spans="3:3" x14ac:dyDescent="0.25">
      <c r="C13336" s="26">
        <v>13334</v>
      </c>
    </row>
    <row r="13337" spans="3:3" x14ac:dyDescent="0.25">
      <c r="C13337" s="26">
        <v>13335</v>
      </c>
    </row>
    <row r="13338" spans="3:3" x14ac:dyDescent="0.25">
      <c r="C13338" s="26">
        <v>13336</v>
      </c>
    </row>
    <row r="13339" spans="3:3" x14ac:dyDescent="0.25">
      <c r="C13339" s="26">
        <v>13337</v>
      </c>
    </row>
    <row r="13340" spans="3:3" x14ac:dyDescent="0.25">
      <c r="C13340" s="26">
        <v>13338</v>
      </c>
    </row>
    <row r="13341" spans="3:3" x14ac:dyDescent="0.25">
      <c r="C13341" s="26">
        <v>13339</v>
      </c>
    </row>
    <row r="13342" spans="3:3" x14ac:dyDescent="0.25">
      <c r="C13342" s="26">
        <v>13340</v>
      </c>
    </row>
    <row r="13343" spans="3:3" x14ac:dyDescent="0.25">
      <c r="C13343" s="26">
        <v>13341</v>
      </c>
    </row>
    <row r="13344" spans="3:3" x14ac:dyDescent="0.25">
      <c r="C13344" s="26">
        <v>13342</v>
      </c>
    </row>
    <row r="13345" spans="3:3" x14ac:dyDescent="0.25">
      <c r="C13345" s="26">
        <v>13343</v>
      </c>
    </row>
    <row r="13346" spans="3:3" x14ac:dyDescent="0.25">
      <c r="C13346" s="26">
        <v>13344</v>
      </c>
    </row>
    <row r="13347" spans="3:3" x14ac:dyDescent="0.25">
      <c r="C13347" s="26">
        <v>13345</v>
      </c>
    </row>
    <row r="13348" spans="3:3" x14ac:dyDescent="0.25">
      <c r="C13348" s="26">
        <v>13346</v>
      </c>
    </row>
    <row r="13349" spans="3:3" x14ac:dyDescent="0.25">
      <c r="C13349" s="26">
        <v>13347</v>
      </c>
    </row>
    <row r="13350" spans="3:3" x14ac:dyDescent="0.25">
      <c r="C13350" s="26">
        <v>13348</v>
      </c>
    </row>
    <row r="13351" spans="3:3" x14ac:dyDescent="0.25">
      <c r="C13351" s="26">
        <v>13349</v>
      </c>
    </row>
    <row r="13352" spans="3:3" x14ac:dyDescent="0.25">
      <c r="C13352" s="26">
        <v>13350</v>
      </c>
    </row>
    <row r="13353" spans="3:3" x14ac:dyDescent="0.25">
      <c r="C13353" s="26">
        <v>13351</v>
      </c>
    </row>
    <row r="13354" spans="3:3" x14ac:dyDescent="0.25">
      <c r="C13354" s="26">
        <v>13352</v>
      </c>
    </row>
    <row r="13355" spans="3:3" x14ac:dyDescent="0.25">
      <c r="C13355" s="26">
        <v>13353</v>
      </c>
    </row>
    <row r="13356" spans="3:3" x14ac:dyDescent="0.25">
      <c r="C13356" s="26">
        <v>13354</v>
      </c>
    </row>
    <row r="13357" spans="3:3" x14ac:dyDescent="0.25">
      <c r="C13357" s="26">
        <v>13355</v>
      </c>
    </row>
    <row r="13358" spans="3:3" x14ac:dyDescent="0.25">
      <c r="C13358" s="26">
        <v>13356</v>
      </c>
    </row>
    <row r="13359" spans="3:3" x14ac:dyDescent="0.25">
      <c r="C13359" s="26">
        <v>13357</v>
      </c>
    </row>
    <row r="13360" spans="3:3" x14ac:dyDescent="0.25">
      <c r="C13360" s="26">
        <v>13358</v>
      </c>
    </row>
    <row r="13361" spans="3:3" x14ac:dyDescent="0.25">
      <c r="C13361" s="26">
        <v>13359</v>
      </c>
    </row>
    <row r="13362" spans="3:3" x14ac:dyDescent="0.25">
      <c r="C13362" s="26">
        <v>13360</v>
      </c>
    </row>
    <row r="13363" spans="3:3" x14ac:dyDescent="0.25">
      <c r="C13363" s="26">
        <v>13361</v>
      </c>
    </row>
    <row r="13364" spans="3:3" x14ac:dyDescent="0.25">
      <c r="C13364" s="26">
        <v>13362</v>
      </c>
    </row>
    <row r="13365" spans="3:3" x14ac:dyDescent="0.25">
      <c r="C13365" s="26">
        <v>13363</v>
      </c>
    </row>
    <row r="13366" spans="3:3" x14ac:dyDescent="0.25">
      <c r="C13366" s="26">
        <v>13364</v>
      </c>
    </row>
    <row r="13367" spans="3:3" x14ac:dyDescent="0.25">
      <c r="C13367" s="26">
        <v>13365</v>
      </c>
    </row>
    <row r="13368" spans="3:3" x14ac:dyDescent="0.25">
      <c r="C13368" s="26">
        <v>13366</v>
      </c>
    </row>
    <row r="13369" spans="3:3" x14ac:dyDescent="0.25">
      <c r="C13369" s="26">
        <v>13367</v>
      </c>
    </row>
    <row r="13370" spans="3:3" x14ac:dyDescent="0.25">
      <c r="C13370" s="26">
        <v>13368</v>
      </c>
    </row>
    <row r="13371" spans="3:3" x14ac:dyDescent="0.25">
      <c r="C13371" s="26">
        <v>13369</v>
      </c>
    </row>
    <row r="13372" spans="3:3" x14ac:dyDescent="0.25">
      <c r="C13372" s="26">
        <v>13370</v>
      </c>
    </row>
    <row r="13373" spans="3:3" x14ac:dyDescent="0.25">
      <c r="C13373" s="26">
        <v>13371</v>
      </c>
    </row>
    <row r="13374" spans="3:3" x14ac:dyDescent="0.25">
      <c r="C13374" s="26">
        <v>13372</v>
      </c>
    </row>
    <row r="13375" spans="3:3" x14ac:dyDescent="0.25">
      <c r="C13375" s="26">
        <v>13373</v>
      </c>
    </row>
    <row r="13376" spans="3:3" x14ac:dyDescent="0.25">
      <c r="C13376" s="26">
        <v>13374</v>
      </c>
    </row>
    <row r="13377" spans="3:3" x14ac:dyDescent="0.25">
      <c r="C13377" s="26">
        <v>13375</v>
      </c>
    </row>
    <row r="13378" spans="3:3" x14ac:dyDescent="0.25">
      <c r="C13378" s="26">
        <v>13376</v>
      </c>
    </row>
    <row r="13379" spans="3:3" x14ac:dyDescent="0.25">
      <c r="C13379" s="26">
        <v>13377</v>
      </c>
    </row>
    <row r="13380" spans="3:3" x14ac:dyDescent="0.25">
      <c r="C13380" s="26">
        <v>13378</v>
      </c>
    </row>
    <row r="13381" spans="3:3" x14ac:dyDescent="0.25">
      <c r="C13381" s="26">
        <v>13379</v>
      </c>
    </row>
    <row r="13382" spans="3:3" x14ac:dyDescent="0.25">
      <c r="C13382" s="26">
        <v>13380</v>
      </c>
    </row>
    <row r="13383" spans="3:3" x14ac:dyDescent="0.25">
      <c r="C13383" s="26">
        <v>13381</v>
      </c>
    </row>
    <row r="13384" spans="3:3" x14ac:dyDescent="0.25">
      <c r="C13384" s="26">
        <v>13382</v>
      </c>
    </row>
    <row r="13385" spans="3:3" x14ac:dyDescent="0.25">
      <c r="C13385" s="26">
        <v>13383</v>
      </c>
    </row>
    <row r="13386" spans="3:3" x14ac:dyDescent="0.25">
      <c r="C13386" s="26">
        <v>13384</v>
      </c>
    </row>
    <row r="13387" spans="3:3" x14ac:dyDescent="0.25">
      <c r="C13387" s="26">
        <v>13385</v>
      </c>
    </row>
    <row r="13388" spans="3:3" x14ac:dyDescent="0.25">
      <c r="C13388" s="26">
        <v>13386</v>
      </c>
    </row>
    <row r="13389" spans="3:3" x14ac:dyDescent="0.25">
      <c r="C13389" s="26">
        <v>13387</v>
      </c>
    </row>
    <row r="13390" spans="3:3" x14ac:dyDescent="0.25">
      <c r="C13390" s="26">
        <v>13388</v>
      </c>
    </row>
    <row r="13391" spans="3:3" x14ac:dyDescent="0.25">
      <c r="C13391" s="26">
        <v>13389</v>
      </c>
    </row>
    <row r="13392" spans="3:3" x14ac:dyDescent="0.25">
      <c r="C13392" s="26">
        <v>13390</v>
      </c>
    </row>
    <row r="13393" spans="3:3" x14ac:dyDescent="0.25">
      <c r="C13393" s="26">
        <v>13391</v>
      </c>
    </row>
    <row r="13394" spans="3:3" x14ac:dyDescent="0.25">
      <c r="C13394" s="26">
        <v>13392</v>
      </c>
    </row>
    <row r="13395" spans="3:3" x14ac:dyDescent="0.25">
      <c r="C13395" s="26">
        <v>13393</v>
      </c>
    </row>
    <row r="13396" spans="3:3" x14ac:dyDescent="0.25">
      <c r="C13396" s="26">
        <v>13394</v>
      </c>
    </row>
    <row r="13397" spans="3:3" x14ac:dyDescent="0.25">
      <c r="C13397" s="26">
        <v>13395</v>
      </c>
    </row>
    <row r="13398" spans="3:3" x14ac:dyDescent="0.25">
      <c r="C13398" s="26">
        <v>13396</v>
      </c>
    </row>
    <row r="13399" spans="3:3" x14ac:dyDescent="0.25">
      <c r="C13399" s="26">
        <v>13397</v>
      </c>
    </row>
    <row r="13400" spans="3:3" x14ac:dyDescent="0.25">
      <c r="C13400" s="26">
        <v>13398</v>
      </c>
    </row>
    <row r="13401" spans="3:3" x14ac:dyDescent="0.25">
      <c r="C13401" s="26">
        <v>13399</v>
      </c>
    </row>
    <row r="13402" spans="3:3" x14ac:dyDescent="0.25">
      <c r="C13402" s="26">
        <v>13400</v>
      </c>
    </row>
    <row r="13403" spans="3:3" x14ac:dyDescent="0.25">
      <c r="C13403" s="26">
        <v>13401</v>
      </c>
    </row>
    <row r="13404" spans="3:3" x14ac:dyDescent="0.25">
      <c r="C13404" s="26">
        <v>13402</v>
      </c>
    </row>
    <row r="13405" spans="3:3" x14ac:dyDescent="0.25">
      <c r="C13405" s="26">
        <v>13403</v>
      </c>
    </row>
    <row r="13406" spans="3:3" x14ac:dyDescent="0.25">
      <c r="C13406" s="26">
        <v>13404</v>
      </c>
    </row>
    <row r="13407" spans="3:3" x14ac:dyDescent="0.25">
      <c r="C13407" s="26">
        <v>13405</v>
      </c>
    </row>
    <row r="13408" spans="3:3" x14ac:dyDescent="0.25">
      <c r="C13408" s="26">
        <v>13406</v>
      </c>
    </row>
    <row r="13409" spans="3:3" x14ac:dyDescent="0.25">
      <c r="C13409" s="26">
        <v>13407</v>
      </c>
    </row>
    <row r="13410" spans="3:3" x14ac:dyDescent="0.25">
      <c r="C13410" s="26">
        <v>13408</v>
      </c>
    </row>
    <row r="13411" spans="3:3" x14ac:dyDescent="0.25">
      <c r="C13411" s="26">
        <v>13409</v>
      </c>
    </row>
    <row r="13412" spans="3:3" x14ac:dyDescent="0.25">
      <c r="C13412" s="26">
        <v>13410</v>
      </c>
    </row>
    <row r="13413" spans="3:3" x14ac:dyDescent="0.25">
      <c r="C13413" s="26">
        <v>13411</v>
      </c>
    </row>
    <row r="13414" spans="3:3" x14ac:dyDescent="0.25">
      <c r="C13414" s="26">
        <v>13412</v>
      </c>
    </row>
    <row r="13415" spans="3:3" x14ac:dyDescent="0.25">
      <c r="C13415" s="26">
        <v>13413</v>
      </c>
    </row>
    <row r="13416" spans="3:3" x14ac:dyDescent="0.25">
      <c r="C13416" s="26">
        <v>13414</v>
      </c>
    </row>
    <row r="13417" spans="3:3" x14ac:dyDescent="0.25">
      <c r="C13417" s="26">
        <v>13415</v>
      </c>
    </row>
    <row r="13418" spans="3:3" x14ac:dyDescent="0.25">
      <c r="C13418" s="26">
        <v>13416</v>
      </c>
    </row>
    <row r="13419" spans="3:3" x14ac:dyDescent="0.25">
      <c r="C13419" s="26">
        <v>13417</v>
      </c>
    </row>
    <row r="13420" spans="3:3" x14ac:dyDescent="0.25">
      <c r="C13420" s="26">
        <v>13418</v>
      </c>
    </row>
    <row r="13421" spans="3:3" x14ac:dyDescent="0.25">
      <c r="C13421" s="26">
        <v>13419</v>
      </c>
    </row>
    <row r="13422" spans="3:3" x14ac:dyDescent="0.25">
      <c r="C13422" s="26">
        <v>13420</v>
      </c>
    </row>
    <row r="13423" spans="3:3" x14ac:dyDescent="0.25">
      <c r="C13423" s="26">
        <v>13421</v>
      </c>
    </row>
    <row r="13424" spans="3:3" x14ac:dyDescent="0.25">
      <c r="C13424" s="26">
        <v>13422</v>
      </c>
    </row>
    <row r="13425" spans="3:3" x14ac:dyDescent="0.25">
      <c r="C13425" s="26">
        <v>13423</v>
      </c>
    </row>
    <row r="13426" spans="3:3" x14ac:dyDescent="0.25">
      <c r="C13426" s="26">
        <v>13424</v>
      </c>
    </row>
    <row r="13427" spans="3:3" x14ac:dyDescent="0.25">
      <c r="C13427" s="26">
        <v>13425</v>
      </c>
    </row>
    <row r="13428" spans="3:3" x14ac:dyDescent="0.25">
      <c r="C13428" s="26">
        <v>13426</v>
      </c>
    </row>
    <row r="13429" spans="3:3" x14ac:dyDescent="0.25">
      <c r="C13429" s="26">
        <v>13427</v>
      </c>
    </row>
    <row r="13430" spans="3:3" x14ac:dyDescent="0.25">
      <c r="C13430" s="26">
        <v>13428</v>
      </c>
    </row>
    <row r="13431" spans="3:3" x14ac:dyDescent="0.25">
      <c r="C13431" s="26">
        <v>13429</v>
      </c>
    </row>
    <row r="13432" spans="3:3" x14ac:dyDescent="0.25">
      <c r="C13432" s="26">
        <v>13430</v>
      </c>
    </row>
    <row r="13433" spans="3:3" x14ac:dyDescent="0.25">
      <c r="C13433" s="26">
        <v>13431</v>
      </c>
    </row>
    <row r="13434" spans="3:3" x14ac:dyDescent="0.25">
      <c r="C13434" s="26">
        <v>13432</v>
      </c>
    </row>
    <row r="13435" spans="3:3" x14ac:dyDescent="0.25">
      <c r="C13435" s="26">
        <v>13433</v>
      </c>
    </row>
    <row r="13436" spans="3:3" x14ac:dyDescent="0.25">
      <c r="C13436" s="26">
        <v>13434</v>
      </c>
    </row>
    <row r="13437" spans="3:3" x14ac:dyDescent="0.25">
      <c r="C13437" s="26">
        <v>13435</v>
      </c>
    </row>
    <row r="13438" spans="3:3" x14ac:dyDescent="0.25">
      <c r="C13438" s="26">
        <v>13436</v>
      </c>
    </row>
    <row r="13439" spans="3:3" x14ac:dyDescent="0.25">
      <c r="C13439" s="26">
        <v>13437</v>
      </c>
    </row>
    <row r="13440" spans="3:3" x14ac:dyDescent="0.25">
      <c r="C13440" s="26">
        <v>13438</v>
      </c>
    </row>
    <row r="13441" spans="3:3" x14ac:dyDescent="0.25">
      <c r="C13441" s="26">
        <v>13439</v>
      </c>
    </row>
    <row r="13442" spans="3:3" x14ac:dyDescent="0.25">
      <c r="C13442" s="26">
        <v>13440</v>
      </c>
    </row>
    <row r="13443" spans="3:3" x14ac:dyDescent="0.25">
      <c r="C13443" s="26">
        <v>13441</v>
      </c>
    </row>
    <row r="13444" spans="3:3" x14ac:dyDescent="0.25">
      <c r="C13444" s="26">
        <v>13442</v>
      </c>
    </row>
    <row r="13445" spans="3:3" x14ac:dyDescent="0.25">
      <c r="C13445" s="26">
        <v>13443</v>
      </c>
    </row>
    <row r="13446" spans="3:3" x14ac:dyDescent="0.25">
      <c r="C13446" s="26">
        <v>13444</v>
      </c>
    </row>
    <row r="13447" spans="3:3" x14ac:dyDescent="0.25">
      <c r="C13447" s="26">
        <v>13445</v>
      </c>
    </row>
    <row r="13448" spans="3:3" x14ac:dyDescent="0.25">
      <c r="C13448" s="26">
        <v>13446</v>
      </c>
    </row>
    <row r="13449" spans="3:3" x14ac:dyDescent="0.25">
      <c r="C13449" s="26">
        <v>13447</v>
      </c>
    </row>
    <row r="13450" spans="3:3" x14ac:dyDescent="0.25">
      <c r="C13450" s="26">
        <v>13448</v>
      </c>
    </row>
    <row r="13451" spans="3:3" x14ac:dyDescent="0.25">
      <c r="C13451" s="26">
        <v>13449</v>
      </c>
    </row>
    <row r="13452" spans="3:3" x14ac:dyDescent="0.25">
      <c r="C13452" s="26">
        <v>13450</v>
      </c>
    </row>
    <row r="13453" spans="3:3" x14ac:dyDescent="0.25">
      <c r="C13453" s="26">
        <v>13451</v>
      </c>
    </row>
    <row r="13454" spans="3:3" x14ac:dyDescent="0.25">
      <c r="C13454" s="26">
        <v>13452</v>
      </c>
    </row>
    <row r="13455" spans="3:3" x14ac:dyDescent="0.25">
      <c r="C13455" s="26">
        <v>13453</v>
      </c>
    </row>
    <row r="13456" spans="3:3" x14ac:dyDescent="0.25">
      <c r="C13456" s="26">
        <v>13454</v>
      </c>
    </row>
    <row r="13457" spans="3:3" x14ac:dyDescent="0.25">
      <c r="C13457" s="26">
        <v>13455</v>
      </c>
    </row>
    <row r="13458" spans="3:3" x14ac:dyDescent="0.25">
      <c r="C13458" s="26">
        <v>13456</v>
      </c>
    </row>
    <row r="13459" spans="3:3" x14ac:dyDescent="0.25">
      <c r="C13459" s="26">
        <v>13457</v>
      </c>
    </row>
    <row r="13460" spans="3:3" x14ac:dyDescent="0.25">
      <c r="C13460" s="26">
        <v>13458</v>
      </c>
    </row>
    <row r="13461" spans="3:3" x14ac:dyDescent="0.25">
      <c r="C13461" s="26">
        <v>13459</v>
      </c>
    </row>
    <row r="13462" spans="3:3" x14ac:dyDescent="0.25">
      <c r="C13462" s="26">
        <v>13460</v>
      </c>
    </row>
    <row r="13463" spans="3:3" x14ac:dyDescent="0.25">
      <c r="C13463" s="26">
        <v>13461</v>
      </c>
    </row>
    <row r="13464" spans="3:3" x14ac:dyDescent="0.25">
      <c r="C13464" s="26">
        <v>13462</v>
      </c>
    </row>
    <row r="13465" spans="3:3" x14ac:dyDescent="0.25">
      <c r="C13465" s="26">
        <v>13463</v>
      </c>
    </row>
    <row r="13466" spans="3:3" x14ac:dyDescent="0.25">
      <c r="C13466" s="26">
        <v>13464</v>
      </c>
    </row>
    <row r="13467" spans="3:3" x14ac:dyDescent="0.25">
      <c r="C13467" s="26">
        <v>13465</v>
      </c>
    </row>
    <row r="13468" spans="3:3" x14ac:dyDescent="0.25">
      <c r="C13468" s="26">
        <v>13466</v>
      </c>
    </row>
    <row r="13469" spans="3:3" x14ac:dyDescent="0.25">
      <c r="C13469" s="26">
        <v>13467</v>
      </c>
    </row>
    <row r="13470" spans="3:3" x14ac:dyDescent="0.25">
      <c r="C13470" s="26">
        <v>13468</v>
      </c>
    </row>
    <row r="13471" spans="3:3" x14ac:dyDescent="0.25">
      <c r="C13471" s="26">
        <v>13469</v>
      </c>
    </row>
    <row r="13472" spans="3:3" x14ac:dyDescent="0.25">
      <c r="C13472" s="26">
        <v>13470</v>
      </c>
    </row>
    <row r="13473" spans="3:3" x14ac:dyDescent="0.25">
      <c r="C13473" s="26">
        <v>13471</v>
      </c>
    </row>
    <row r="13474" spans="3:3" x14ac:dyDescent="0.25">
      <c r="C13474" s="26">
        <v>13472</v>
      </c>
    </row>
    <row r="13475" spans="3:3" x14ac:dyDescent="0.25">
      <c r="C13475" s="26">
        <v>13473</v>
      </c>
    </row>
    <row r="13476" spans="3:3" x14ac:dyDescent="0.25">
      <c r="C13476" s="26">
        <v>13474</v>
      </c>
    </row>
    <row r="13477" spans="3:3" x14ac:dyDescent="0.25">
      <c r="C13477" s="26">
        <v>13475</v>
      </c>
    </row>
    <row r="13478" spans="3:3" x14ac:dyDescent="0.25">
      <c r="C13478" s="26">
        <v>13476</v>
      </c>
    </row>
    <row r="13479" spans="3:3" x14ac:dyDescent="0.25">
      <c r="C13479" s="26">
        <v>13477</v>
      </c>
    </row>
    <row r="13480" spans="3:3" x14ac:dyDescent="0.25">
      <c r="C13480" s="26">
        <v>13478</v>
      </c>
    </row>
    <row r="13481" spans="3:3" x14ac:dyDescent="0.25">
      <c r="C13481" s="26">
        <v>13479</v>
      </c>
    </row>
    <row r="13482" spans="3:3" x14ac:dyDescent="0.25">
      <c r="C13482" s="26">
        <v>13480</v>
      </c>
    </row>
    <row r="13483" spans="3:3" x14ac:dyDescent="0.25">
      <c r="C13483" s="26">
        <v>13481</v>
      </c>
    </row>
    <row r="13484" spans="3:3" x14ac:dyDescent="0.25">
      <c r="C13484" s="26">
        <v>13482</v>
      </c>
    </row>
    <row r="13485" spans="3:3" x14ac:dyDescent="0.25">
      <c r="C13485" s="26">
        <v>13483</v>
      </c>
    </row>
    <row r="13486" spans="3:3" x14ac:dyDescent="0.25">
      <c r="C13486" s="26">
        <v>13484</v>
      </c>
    </row>
    <row r="13487" spans="3:3" x14ac:dyDescent="0.25">
      <c r="C13487" s="26">
        <v>13485</v>
      </c>
    </row>
    <row r="13488" spans="3:3" x14ac:dyDescent="0.25">
      <c r="C13488" s="26">
        <v>13486</v>
      </c>
    </row>
    <row r="13489" spans="3:3" x14ac:dyDescent="0.25">
      <c r="C13489" s="26">
        <v>13487</v>
      </c>
    </row>
    <row r="13490" spans="3:3" x14ac:dyDescent="0.25">
      <c r="C13490" s="26">
        <v>13488</v>
      </c>
    </row>
    <row r="13491" spans="3:3" x14ac:dyDescent="0.25">
      <c r="C13491" s="26">
        <v>13489</v>
      </c>
    </row>
    <row r="13492" spans="3:3" x14ac:dyDescent="0.25">
      <c r="C13492" s="26">
        <v>13490</v>
      </c>
    </row>
    <row r="13493" spans="3:3" x14ac:dyDescent="0.25">
      <c r="C13493" s="26">
        <v>13491</v>
      </c>
    </row>
    <row r="13494" spans="3:3" x14ac:dyDescent="0.25">
      <c r="C13494" s="26">
        <v>13492</v>
      </c>
    </row>
    <row r="13495" spans="3:3" x14ac:dyDescent="0.25">
      <c r="C13495" s="26">
        <v>13493</v>
      </c>
    </row>
    <row r="13496" spans="3:3" x14ac:dyDescent="0.25">
      <c r="C13496" s="26">
        <v>13494</v>
      </c>
    </row>
    <row r="13497" spans="3:3" x14ac:dyDescent="0.25">
      <c r="C13497" s="26">
        <v>13495</v>
      </c>
    </row>
    <row r="13498" spans="3:3" x14ac:dyDescent="0.25">
      <c r="C13498" s="26">
        <v>13496</v>
      </c>
    </row>
    <row r="13499" spans="3:3" x14ac:dyDescent="0.25">
      <c r="C13499" s="26">
        <v>13497</v>
      </c>
    </row>
    <row r="13500" spans="3:3" x14ac:dyDescent="0.25">
      <c r="C13500" s="26">
        <v>13498</v>
      </c>
    </row>
    <row r="13501" spans="3:3" x14ac:dyDescent="0.25">
      <c r="C13501" s="26">
        <v>13499</v>
      </c>
    </row>
    <row r="13502" spans="3:3" x14ac:dyDescent="0.25">
      <c r="C13502" s="26">
        <v>13500</v>
      </c>
    </row>
    <row r="13503" spans="3:3" x14ac:dyDescent="0.25">
      <c r="C13503" s="26">
        <v>13501</v>
      </c>
    </row>
    <row r="13504" spans="3:3" x14ac:dyDescent="0.25">
      <c r="C13504" s="26">
        <v>13502</v>
      </c>
    </row>
    <row r="13505" spans="3:3" x14ac:dyDescent="0.25">
      <c r="C13505" s="26">
        <v>13503</v>
      </c>
    </row>
    <row r="13506" spans="3:3" x14ac:dyDescent="0.25">
      <c r="C13506" s="26">
        <v>13504</v>
      </c>
    </row>
    <row r="13507" spans="3:3" x14ac:dyDescent="0.25">
      <c r="C13507" s="26">
        <v>13505</v>
      </c>
    </row>
    <row r="13508" spans="3:3" x14ac:dyDescent="0.25">
      <c r="C13508" s="26">
        <v>13506</v>
      </c>
    </row>
    <row r="13509" spans="3:3" x14ac:dyDescent="0.25">
      <c r="C13509" s="26">
        <v>13507</v>
      </c>
    </row>
    <row r="13510" spans="3:3" x14ac:dyDescent="0.25">
      <c r="C13510" s="26">
        <v>13508</v>
      </c>
    </row>
    <row r="13511" spans="3:3" x14ac:dyDescent="0.25">
      <c r="C13511" s="26">
        <v>13509</v>
      </c>
    </row>
    <row r="13512" spans="3:3" x14ac:dyDescent="0.25">
      <c r="C13512" s="26">
        <v>13510</v>
      </c>
    </row>
    <row r="13513" spans="3:3" x14ac:dyDescent="0.25">
      <c r="C13513" s="26">
        <v>13511</v>
      </c>
    </row>
    <row r="13514" spans="3:3" x14ac:dyDescent="0.25">
      <c r="C13514" s="26">
        <v>13512</v>
      </c>
    </row>
    <row r="13515" spans="3:3" x14ac:dyDescent="0.25">
      <c r="C13515" s="26">
        <v>13513</v>
      </c>
    </row>
    <row r="13516" spans="3:3" x14ac:dyDescent="0.25">
      <c r="C13516" s="26">
        <v>13514</v>
      </c>
    </row>
    <row r="13517" spans="3:3" x14ac:dyDescent="0.25">
      <c r="C13517" s="26">
        <v>13515</v>
      </c>
    </row>
    <row r="13518" spans="3:3" x14ac:dyDescent="0.25">
      <c r="C13518" s="26">
        <v>13516</v>
      </c>
    </row>
    <row r="13519" spans="3:3" x14ac:dyDescent="0.25">
      <c r="C13519" s="26">
        <v>13517</v>
      </c>
    </row>
    <row r="13520" spans="3:3" x14ac:dyDescent="0.25">
      <c r="C13520" s="26">
        <v>13518</v>
      </c>
    </row>
    <row r="13521" spans="3:3" x14ac:dyDescent="0.25">
      <c r="C13521" s="26">
        <v>13519</v>
      </c>
    </row>
    <row r="13522" spans="3:3" x14ac:dyDescent="0.25">
      <c r="C13522" s="26">
        <v>13520</v>
      </c>
    </row>
    <row r="13523" spans="3:3" x14ac:dyDescent="0.25">
      <c r="C13523" s="26">
        <v>13521</v>
      </c>
    </row>
    <row r="13524" spans="3:3" x14ac:dyDescent="0.25">
      <c r="C13524" s="26">
        <v>13522</v>
      </c>
    </row>
    <row r="13525" spans="3:3" x14ac:dyDescent="0.25">
      <c r="C13525" s="26">
        <v>13523</v>
      </c>
    </row>
    <row r="13526" spans="3:3" x14ac:dyDescent="0.25">
      <c r="C13526" s="26">
        <v>13524</v>
      </c>
    </row>
    <row r="13527" spans="3:3" x14ac:dyDescent="0.25">
      <c r="C13527" s="26">
        <v>13525</v>
      </c>
    </row>
    <row r="13528" spans="3:3" x14ac:dyDescent="0.25">
      <c r="C13528" s="26">
        <v>13526</v>
      </c>
    </row>
    <row r="13529" spans="3:3" x14ac:dyDescent="0.25">
      <c r="C13529" s="26">
        <v>13527</v>
      </c>
    </row>
    <row r="13530" spans="3:3" x14ac:dyDescent="0.25">
      <c r="C13530" s="26">
        <v>13528</v>
      </c>
    </row>
    <row r="13531" spans="3:3" x14ac:dyDescent="0.25">
      <c r="C13531" s="26">
        <v>13529</v>
      </c>
    </row>
    <row r="13532" spans="3:3" x14ac:dyDescent="0.25">
      <c r="C13532" s="26">
        <v>13530</v>
      </c>
    </row>
    <row r="13533" spans="3:3" x14ac:dyDescent="0.25">
      <c r="C13533" s="26">
        <v>13531</v>
      </c>
    </row>
    <row r="13534" spans="3:3" x14ac:dyDescent="0.25">
      <c r="C13534" s="26">
        <v>13532</v>
      </c>
    </row>
    <row r="13535" spans="3:3" x14ac:dyDescent="0.25">
      <c r="C13535" s="26">
        <v>13533</v>
      </c>
    </row>
    <row r="13536" spans="3:3" x14ac:dyDescent="0.25">
      <c r="C13536" s="26">
        <v>13534</v>
      </c>
    </row>
    <row r="13537" spans="3:3" x14ac:dyDescent="0.25">
      <c r="C13537" s="26">
        <v>13535</v>
      </c>
    </row>
    <row r="13538" spans="3:3" x14ac:dyDescent="0.25">
      <c r="C13538" s="26">
        <v>13536</v>
      </c>
    </row>
    <row r="13539" spans="3:3" x14ac:dyDescent="0.25">
      <c r="C13539" s="26">
        <v>13537</v>
      </c>
    </row>
    <row r="13540" spans="3:3" x14ac:dyDescent="0.25">
      <c r="C13540" s="26">
        <v>13538</v>
      </c>
    </row>
    <row r="13541" spans="3:3" x14ac:dyDescent="0.25">
      <c r="C13541" s="26">
        <v>13539</v>
      </c>
    </row>
    <row r="13542" spans="3:3" x14ac:dyDescent="0.25">
      <c r="C13542" s="26">
        <v>13540</v>
      </c>
    </row>
    <row r="13543" spans="3:3" x14ac:dyDescent="0.25">
      <c r="C13543" s="26">
        <v>13541</v>
      </c>
    </row>
    <row r="13544" spans="3:3" x14ac:dyDescent="0.25">
      <c r="C13544" s="26">
        <v>13542</v>
      </c>
    </row>
    <row r="13545" spans="3:3" x14ac:dyDescent="0.25">
      <c r="C13545" s="26">
        <v>13543</v>
      </c>
    </row>
    <row r="13546" spans="3:3" x14ac:dyDescent="0.25">
      <c r="C13546" s="26">
        <v>13544</v>
      </c>
    </row>
    <row r="13547" spans="3:3" x14ac:dyDescent="0.25">
      <c r="C13547" s="26">
        <v>13545</v>
      </c>
    </row>
    <row r="13548" spans="3:3" x14ac:dyDescent="0.25">
      <c r="C13548" s="26">
        <v>13546</v>
      </c>
    </row>
    <row r="13549" spans="3:3" x14ac:dyDescent="0.25">
      <c r="C13549" s="26">
        <v>13547</v>
      </c>
    </row>
    <row r="13550" spans="3:3" x14ac:dyDescent="0.25">
      <c r="C13550" s="26">
        <v>13548</v>
      </c>
    </row>
    <row r="13551" spans="3:3" x14ac:dyDescent="0.25">
      <c r="C13551" s="26">
        <v>13549</v>
      </c>
    </row>
    <row r="13552" spans="3:3" x14ac:dyDescent="0.25">
      <c r="C13552" s="26">
        <v>13550</v>
      </c>
    </row>
    <row r="13553" spans="3:3" x14ac:dyDescent="0.25">
      <c r="C13553" s="26">
        <v>13551</v>
      </c>
    </row>
    <row r="13554" spans="3:3" x14ac:dyDescent="0.25">
      <c r="C13554" s="26">
        <v>13552</v>
      </c>
    </row>
    <row r="13555" spans="3:3" x14ac:dyDescent="0.25">
      <c r="C13555" s="26">
        <v>13553</v>
      </c>
    </row>
    <row r="13556" spans="3:3" x14ac:dyDescent="0.25">
      <c r="C13556" s="26">
        <v>13554</v>
      </c>
    </row>
    <row r="13557" spans="3:3" x14ac:dyDescent="0.25">
      <c r="C13557" s="26">
        <v>13555</v>
      </c>
    </row>
    <row r="13558" spans="3:3" x14ac:dyDescent="0.25">
      <c r="C13558" s="26">
        <v>13556</v>
      </c>
    </row>
    <row r="13559" spans="3:3" x14ac:dyDescent="0.25">
      <c r="C13559" s="26">
        <v>13557</v>
      </c>
    </row>
    <row r="13560" spans="3:3" x14ac:dyDescent="0.25">
      <c r="C13560" s="26">
        <v>13558</v>
      </c>
    </row>
    <row r="13561" spans="3:3" x14ac:dyDescent="0.25">
      <c r="C13561" s="26">
        <v>13559</v>
      </c>
    </row>
    <row r="13562" spans="3:3" x14ac:dyDescent="0.25">
      <c r="C13562" s="26">
        <v>13560</v>
      </c>
    </row>
    <row r="13563" spans="3:3" x14ac:dyDescent="0.25">
      <c r="C13563" s="26">
        <v>13561</v>
      </c>
    </row>
    <row r="13564" spans="3:3" x14ac:dyDescent="0.25">
      <c r="C13564" s="26">
        <v>13562</v>
      </c>
    </row>
    <row r="13565" spans="3:3" x14ac:dyDescent="0.25">
      <c r="C13565" s="26">
        <v>13563</v>
      </c>
    </row>
    <row r="13566" spans="3:3" x14ac:dyDescent="0.25">
      <c r="C13566" s="26">
        <v>13564</v>
      </c>
    </row>
    <row r="13567" spans="3:3" x14ac:dyDescent="0.25">
      <c r="C13567" s="26">
        <v>13565</v>
      </c>
    </row>
    <row r="13568" spans="3:3" x14ac:dyDescent="0.25">
      <c r="C13568" s="26">
        <v>13566</v>
      </c>
    </row>
    <row r="13569" spans="3:3" x14ac:dyDescent="0.25">
      <c r="C13569" s="26">
        <v>13567</v>
      </c>
    </row>
    <row r="13570" spans="3:3" x14ac:dyDescent="0.25">
      <c r="C13570" s="26">
        <v>13568</v>
      </c>
    </row>
    <row r="13571" spans="3:3" x14ac:dyDescent="0.25">
      <c r="C13571" s="26">
        <v>13569</v>
      </c>
    </row>
    <row r="13572" spans="3:3" x14ac:dyDescent="0.25">
      <c r="C13572" s="26">
        <v>13570</v>
      </c>
    </row>
    <row r="13573" spans="3:3" x14ac:dyDescent="0.25">
      <c r="C13573" s="26">
        <v>13571</v>
      </c>
    </row>
    <row r="13574" spans="3:3" x14ac:dyDescent="0.25">
      <c r="C13574" s="26">
        <v>13572</v>
      </c>
    </row>
    <row r="13575" spans="3:3" x14ac:dyDescent="0.25">
      <c r="C13575" s="26">
        <v>13573</v>
      </c>
    </row>
    <row r="13576" spans="3:3" x14ac:dyDescent="0.25">
      <c r="C13576" s="26">
        <v>13574</v>
      </c>
    </row>
    <row r="13577" spans="3:3" x14ac:dyDescent="0.25">
      <c r="C13577" s="26">
        <v>13575</v>
      </c>
    </row>
    <row r="13578" spans="3:3" x14ac:dyDescent="0.25">
      <c r="C13578" s="26">
        <v>13576</v>
      </c>
    </row>
    <row r="13579" spans="3:3" x14ac:dyDescent="0.25">
      <c r="C13579" s="26">
        <v>13577</v>
      </c>
    </row>
    <row r="13580" spans="3:3" x14ac:dyDescent="0.25">
      <c r="C13580" s="26">
        <v>13578</v>
      </c>
    </row>
    <row r="13581" spans="3:3" x14ac:dyDescent="0.25">
      <c r="C13581" s="26">
        <v>13579</v>
      </c>
    </row>
    <row r="13582" spans="3:3" x14ac:dyDescent="0.25">
      <c r="C13582" s="26">
        <v>13580</v>
      </c>
    </row>
    <row r="13583" spans="3:3" x14ac:dyDescent="0.25">
      <c r="C13583" s="26">
        <v>13581</v>
      </c>
    </row>
    <row r="13584" spans="3:3" x14ac:dyDescent="0.25">
      <c r="C13584" s="26">
        <v>13582</v>
      </c>
    </row>
    <row r="13585" spans="3:3" x14ac:dyDescent="0.25">
      <c r="C13585" s="26">
        <v>13583</v>
      </c>
    </row>
    <row r="13586" spans="3:3" x14ac:dyDescent="0.25">
      <c r="C13586" s="26">
        <v>13584</v>
      </c>
    </row>
    <row r="13587" spans="3:3" x14ac:dyDescent="0.25">
      <c r="C13587" s="26">
        <v>13585</v>
      </c>
    </row>
    <row r="13588" spans="3:3" x14ac:dyDescent="0.25">
      <c r="C13588" s="26">
        <v>13586</v>
      </c>
    </row>
    <row r="13589" spans="3:3" x14ac:dyDescent="0.25">
      <c r="C13589" s="26">
        <v>13587</v>
      </c>
    </row>
    <row r="13590" spans="3:3" x14ac:dyDescent="0.25">
      <c r="C13590" s="26">
        <v>13588</v>
      </c>
    </row>
    <row r="13591" spans="3:3" x14ac:dyDescent="0.25">
      <c r="C13591" s="26">
        <v>13589</v>
      </c>
    </row>
    <row r="13592" spans="3:3" x14ac:dyDescent="0.25">
      <c r="C13592" s="26">
        <v>13590</v>
      </c>
    </row>
    <row r="13593" spans="3:3" x14ac:dyDescent="0.25">
      <c r="C13593" s="26">
        <v>13591</v>
      </c>
    </row>
    <row r="13594" spans="3:3" x14ac:dyDescent="0.25">
      <c r="C13594" s="26">
        <v>13592</v>
      </c>
    </row>
    <row r="13595" spans="3:3" x14ac:dyDescent="0.25">
      <c r="C13595" s="26">
        <v>13593</v>
      </c>
    </row>
    <row r="13596" spans="3:3" x14ac:dyDescent="0.25">
      <c r="C13596" s="26">
        <v>13594</v>
      </c>
    </row>
    <row r="13597" spans="3:3" x14ac:dyDescent="0.25">
      <c r="C13597" s="26">
        <v>13595</v>
      </c>
    </row>
    <row r="13598" spans="3:3" x14ac:dyDescent="0.25">
      <c r="C13598" s="26">
        <v>13596</v>
      </c>
    </row>
    <row r="13599" spans="3:3" x14ac:dyDescent="0.25">
      <c r="C13599" s="26">
        <v>13597</v>
      </c>
    </row>
    <row r="13600" spans="3:3" x14ac:dyDescent="0.25">
      <c r="C13600" s="26">
        <v>13598</v>
      </c>
    </row>
    <row r="13601" spans="3:3" x14ac:dyDescent="0.25">
      <c r="C13601" s="26">
        <v>13599</v>
      </c>
    </row>
    <row r="13602" spans="3:3" x14ac:dyDescent="0.25">
      <c r="C13602" s="26">
        <v>13600</v>
      </c>
    </row>
    <row r="13603" spans="3:3" x14ac:dyDescent="0.25">
      <c r="C13603" s="26">
        <v>13601</v>
      </c>
    </row>
    <row r="13604" spans="3:3" x14ac:dyDescent="0.25">
      <c r="C13604" s="26">
        <v>13602</v>
      </c>
    </row>
    <row r="13605" spans="3:3" x14ac:dyDescent="0.25">
      <c r="C13605" s="26">
        <v>13603</v>
      </c>
    </row>
    <row r="13606" spans="3:3" x14ac:dyDescent="0.25">
      <c r="C13606" s="26">
        <v>13604</v>
      </c>
    </row>
    <row r="13607" spans="3:3" x14ac:dyDescent="0.25">
      <c r="C13607" s="26">
        <v>13605</v>
      </c>
    </row>
    <row r="13608" spans="3:3" x14ac:dyDescent="0.25">
      <c r="C13608" s="26">
        <v>13606</v>
      </c>
    </row>
    <row r="13609" spans="3:3" x14ac:dyDescent="0.25">
      <c r="C13609" s="26">
        <v>13607</v>
      </c>
    </row>
    <row r="13610" spans="3:3" x14ac:dyDescent="0.25">
      <c r="C13610" s="26">
        <v>13608</v>
      </c>
    </row>
    <row r="13611" spans="3:3" x14ac:dyDescent="0.25">
      <c r="C13611" s="26">
        <v>13609</v>
      </c>
    </row>
    <row r="13612" spans="3:3" x14ac:dyDescent="0.25">
      <c r="C13612" s="26">
        <v>13610</v>
      </c>
    </row>
    <row r="13613" spans="3:3" x14ac:dyDescent="0.25">
      <c r="C13613" s="26">
        <v>13611</v>
      </c>
    </row>
    <row r="13614" spans="3:3" x14ac:dyDescent="0.25">
      <c r="C13614" s="26">
        <v>13612</v>
      </c>
    </row>
    <row r="13615" spans="3:3" x14ac:dyDescent="0.25">
      <c r="C13615" s="26">
        <v>13613</v>
      </c>
    </row>
    <row r="13616" spans="3:3" x14ac:dyDescent="0.25">
      <c r="C13616" s="26">
        <v>13614</v>
      </c>
    </row>
    <row r="13617" spans="3:3" x14ac:dyDescent="0.25">
      <c r="C13617" s="26">
        <v>13615</v>
      </c>
    </row>
    <row r="13618" spans="3:3" x14ac:dyDescent="0.25">
      <c r="C13618" s="26">
        <v>13616</v>
      </c>
    </row>
    <row r="13619" spans="3:3" x14ac:dyDescent="0.25">
      <c r="C13619" s="26">
        <v>13617</v>
      </c>
    </row>
    <row r="13620" spans="3:3" x14ac:dyDescent="0.25">
      <c r="C13620" s="26">
        <v>13618</v>
      </c>
    </row>
    <row r="13621" spans="3:3" x14ac:dyDescent="0.25">
      <c r="C13621" s="26">
        <v>13619</v>
      </c>
    </row>
    <row r="13622" spans="3:3" x14ac:dyDescent="0.25">
      <c r="C13622" s="26">
        <v>13620</v>
      </c>
    </row>
    <row r="13623" spans="3:3" x14ac:dyDescent="0.25">
      <c r="C13623" s="26">
        <v>13621</v>
      </c>
    </row>
    <row r="13624" spans="3:3" x14ac:dyDescent="0.25">
      <c r="C13624" s="26">
        <v>13622</v>
      </c>
    </row>
    <row r="13625" spans="3:3" x14ac:dyDescent="0.25">
      <c r="C13625" s="26">
        <v>13623</v>
      </c>
    </row>
    <row r="13626" spans="3:3" x14ac:dyDescent="0.25">
      <c r="C13626" s="26">
        <v>13624</v>
      </c>
    </row>
    <row r="13627" spans="3:3" x14ac:dyDescent="0.25">
      <c r="C13627" s="26">
        <v>13625</v>
      </c>
    </row>
    <row r="13628" spans="3:3" x14ac:dyDescent="0.25">
      <c r="C13628" s="26">
        <v>13626</v>
      </c>
    </row>
    <row r="13629" spans="3:3" x14ac:dyDescent="0.25">
      <c r="C13629" s="26">
        <v>13627</v>
      </c>
    </row>
    <row r="13630" spans="3:3" x14ac:dyDescent="0.25">
      <c r="C13630" s="26">
        <v>13628</v>
      </c>
    </row>
    <row r="13631" spans="3:3" x14ac:dyDescent="0.25">
      <c r="C13631" s="26">
        <v>13629</v>
      </c>
    </row>
    <row r="13632" spans="3:3" x14ac:dyDescent="0.25">
      <c r="C13632" s="26">
        <v>13630</v>
      </c>
    </row>
    <row r="13633" spans="3:3" x14ac:dyDescent="0.25">
      <c r="C13633" s="26">
        <v>13631</v>
      </c>
    </row>
    <row r="13634" spans="3:3" x14ac:dyDescent="0.25">
      <c r="C13634" s="26">
        <v>13632</v>
      </c>
    </row>
    <row r="13635" spans="3:3" x14ac:dyDescent="0.25">
      <c r="C13635" s="26">
        <v>13633</v>
      </c>
    </row>
    <row r="13636" spans="3:3" x14ac:dyDescent="0.25">
      <c r="C13636" s="26">
        <v>13634</v>
      </c>
    </row>
    <row r="13637" spans="3:3" x14ac:dyDescent="0.25">
      <c r="C13637" s="26">
        <v>13635</v>
      </c>
    </row>
    <row r="13638" spans="3:3" x14ac:dyDescent="0.25">
      <c r="C13638" s="26">
        <v>13636</v>
      </c>
    </row>
    <row r="13639" spans="3:3" x14ac:dyDescent="0.25">
      <c r="C13639" s="26">
        <v>13637</v>
      </c>
    </row>
    <row r="13640" spans="3:3" x14ac:dyDescent="0.25">
      <c r="C13640" s="26">
        <v>13638</v>
      </c>
    </row>
    <row r="13641" spans="3:3" x14ac:dyDescent="0.25">
      <c r="C13641" s="26">
        <v>13639</v>
      </c>
    </row>
    <row r="13642" spans="3:3" x14ac:dyDescent="0.25">
      <c r="C13642" s="26">
        <v>13640</v>
      </c>
    </row>
    <row r="13643" spans="3:3" x14ac:dyDescent="0.25">
      <c r="C13643" s="26">
        <v>13641</v>
      </c>
    </row>
    <row r="13644" spans="3:3" x14ac:dyDescent="0.25">
      <c r="C13644" s="26">
        <v>13642</v>
      </c>
    </row>
    <row r="13645" spans="3:3" x14ac:dyDescent="0.25">
      <c r="C13645" s="26">
        <v>13643</v>
      </c>
    </row>
    <row r="13646" spans="3:3" x14ac:dyDescent="0.25">
      <c r="C13646" s="26">
        <v>13644</v>
      </c>
    </row>
    <row r="13647" spans="3:3" x14ac:dyDescent="0.25">
      <c r="C13647" s="26">
        <v>13645</v>
      </c>
    </row>
    <row r="13648" spans="3:3" x14ac:dyDescent="0.25">
      <c r="C13648" s="26">
        <v>13646</v>
      </c>
    </row>
    <row r="13649" spans="3:3" x14ac:dyDescent="0.25">
      <c r="C13649" s="26">
        <v>13647</v>
      </c>
    </row>
    <row r="13650" spans="3:3" x14ac:dyDescent="0.25">
      <c r="C13650" s="26">
        <v>13648</v>
      </c>
    </row>
    <row r="13651" spans="3:3" x14ac:dyDescent="0.25">
      <c r="C13651" s="26">
        <v>13649</v>
      </c>
    </row>
    <row r="13652" spans="3:3" x14ac:dyDescent="0.25">
      <c r="C13652" s="26">
        <v>13650</v>
      </c>
    </row>
    <row r="13653" spans="3:3" x14ac:dyDescent="0.25">
      <c r="C13653" s="26">
        <v>13651</v>
      </c>
    </row>
    <row r="13654" spans="3:3" x14ac:dyDescent="0.25">
      <c r="C13654" s="26">
        <v>13652</v>
      </c>
    </row>
    <row r="13655" spans="3:3" x14ac:dyDescent="0.25">
      <c r="C13655" s="26">
        <v>13653</v>
      </c>
    </row>
    <row r="13656" spans="3:3" x14ac:dyDescent="0.25">
      <c r="C13656" s="26">
        <v>13654</v>
      </c>
    </row>
    <row r="13657" spans="3:3" x14ac:dyDescent="0.25">
      <c r="C13657" s="26">
        <v>13655</v>
      </c>
    </row>
    <row r="13658" spans="3:3" x14ac:dyDescent="0.25">
      <c r="C13658" s="26">
        <v>13656</v>
      </c>
    </row>
    <row r="13659" spans="3:3" x14ac:dyDescent="0.25">
      <c r="C13659" s="26">
        <v>13657</v>
      </c>
    </row>
    <row r="13660" spans="3:3" x14ac:dyDescent="0.25">
      <c r="C13660" s="26">
        <v>13658</v>
      </c>
    </row>
    <row r="13661" spans="3:3" x14ac:dyDescent="0.25">
      <c r="C13661" s="26">
        <v>13659</v>
      </c>
    </row>
    <row r="13662" spans="3:3" x14ac:dyDescent="0.25">
      <c r="C13662" s="26">
        <v>13660</v>
      </c>
    </row>
    <row r="13663" spans="3:3" x14ac:dyDescent="0.25">
      <c r="C13663" s="26">
        <v>13661</v>
      </c>
    </row>
    <row r="13664" spans="3:3" x14ac:dyDescent="0.25">
      <c r="C13664" s="26">
        <v>13662</v>
      </c>
    </row>
    <row r="13665" spans="3:3" x14ac:dyDescent="0.25">
      <c r="C13665" s="26">
        <v>13663</v>
      </c>
    </row>
    <row r="13666" spans="3:3" x14ac:dyDescent="0.25">
      <c r="C13666" s="26">
        <v>13664</v>
      </c>
    </row>
    <row r="13667" spans="3:3" x14ac:dyDescent="0.25">
      <c r="C13667" s="26">
        <v>13665</v>
      </c>
    </row>
    <row r="13668" spans="3:3" x14ac:dyDescent="0.25">
      <c r="C13668" s="26">
        <v>13666</v>
      </c>
    </row>
    <row r="13669" spans="3:3" x14ac:dyDescent="0.25">
      <c r="C13669" s="26">
        <v>13667</v>
      </c>
    </row>
    <row r="13670" spans="3:3" x14ac:dyDescent="0.25">
      <c r="C13670" s="26">
        <v>13668</v>
      </c>
    </row>
    <row r="13671" spans="3:3" x14ac:dyDescent="0.25">
      <c r="C13671" s="26">
        <v>13669</v>
      </c>
    </row>
    <row r="13672" spans="3:3" x14ac:dyDescent="0.25">
      <c r="C13672" s="26">
        <v>13670</v>
      </c>
    </row>
    <row r="13673" spans="3:3" x14ac:dyDescent="0.25">
      <c r="C13673" s="26">
        <v>13671</v>
      </c>
    </row>
    <row r="13674" spans="3:3" x14ac:dyDescent="0.25">
      <c r="C13674" s="26">
        <v>13672</v>
      </c>
    </row>
    <row r="13675" spans="3:3" x14ac:dyDescent="0.25">
      <c r="C13675" s="26">
        <v>13673</v>
      </c>
    </row>
    <row r="13676" spans="3:3" x14ac:dyDescent="0.25">
      <c r="C13676" s="26">
        <v>13674</v>
      </c>
    </row>
    <row r="13677" spans="3:3" x14ac:dyDescent="0.25">
      <c r="C13677" s="26">
        <v>13675</v>
      </c>
    </row>
    <row r="13678" spans="3:3" x14ac:dyDescent="0.25">
      <c r="C13678" s="26">
        <v>13676</v>
      </c>
    </row>
    <row r="13679" spans="3:3" x14ac:dyDescent="0.25">
      <c r="C13679" s="26">
        <v>13677</v>
      </c>
    </row>
    <row r="13680" spans="3:3" x14ac:dyDescent="0.25">
      <c r="C13680" s="26">
        <v>13678</v>
      </c>
    </row>
    <row r="13681" spans="3:3" x14ac:dyDescent="0.25">
      <c r="C13681" s="26">
        <v>13679</v>
      </c>
    </row>
    <row r="13682" spans="3:3" x14ac:dyDescent="0.25">
      <c r="C13682" s="26">
        <v>13680</v>
      </c>
    </row>
    <row r="13683" spans="3:3" x14ac:dyDescent="0.25">
      <c r="C13683" s="26">
        <v>13681</v>
      </c>
    </row>
    <row r="13684" spans="3:3" x14ac:dyDescent="0.25">
      <c r="C13684" s="26">
        <v>13682</v>
      </c>
    </row>
    <row r="13685" spans="3:3" x14ac:dyDescent="0.25">
      <c r="C13685" s="26">
        <v>13683</v>
      </c>
    </row>
    <row r="13686" spans="3:3" x14ac:dyDescent="0.25">
      <c r="C13686" s="26">
        <v>13684</v>
      </c>
    </row>
    <row r="13687" spans="3:3" x14ac:dyDescent="0.25">
      <c r="C13687" s="26">
        <v>13685</v>
      </c>
    </row>
    <row r="13688" spans="3:3" x14ac:dyDescent="0.25">
      <c r="C13688" s="26">
        <v>13686</v>
      </c>
    </row>
    <row r="13689" spans="3:3" x14ac:dyDescent="0.25">
      <c r="C13689" s="26">
        <v>13687</v>
      </c>
    </row>
    <row r="13690" spans="3:3" x14ac:dyDescent="0.25">
      <c r="C13690" s="26">
        <v>13688</v>
      </c>
    </row>
    <row r="13691" spans="3:3" x14ac:dyDescent="0.25">
      <c r="C13691" s="26">
        <v>13689</v>
      </c>
    </row>
    <row r="13692" spans="3:3" x14ac:dyDescent="0.25">
      <c r="C13692" s="26">
        <v>13690</v>
      </c>
    </row>
    <row r="13693" spans="3:3" x14ac:dyDescent="0.25">
      <c r="C13693" s="26">
        <v>13691</v>
      </c>
    </row>
    <row r="13694" spans="3:3" x14ac:dyDescent="0.25">
      <c r="C13694" s="26">
        <v>13692</v>
      </c>
    </row>
    <row r="13695" spans="3:3" x14ac:dyDescent="0.25">
      <c r="C13695" s="26">
        <v>13693</v>
      </c>
    </row>
    <row r="13696" spans="3:3" x14ac:dyDescent="0.25">
      <c r="C13696" s="26">
        <v>13694</v>
      </c>
    </row>
    <row r="13697" spans="3:3" x14ac:dyDescent="0.25">
      <c r="C13697" s="26">
        <v>13695</v>
      </c>
    </row>
    <row r="13698" spans="3:3" x14ac:dyDescent="0.25">
      <c r="C13698" s="26">
        <v>13696</v>
      </c>
    </row>
    <row r="13699" spans="3:3" x14ac:dyDescent="0.25">
      <c r="C13699" s="26">
        <v>13697</v>
      </c>
    </row>
    <row r="13700" spans="3:3" x14ac:dyDescent="0.25">
      <c r="C13700" s="26">
        <v>13698</v>
      </c>
    </row>
    <row r="13701" spans="3:3" x14ac:dyDescent="0.25">
      <c r="C13701" s="26">
        <v>13699</v>
      </c>
    </row>
    <row r="13702" spans="3:3" x14ac:dyDescent="0.25">
      <c r="C13702" s="26">
        <v>13700</v>
      </c>
    </row>
    <row r="13703" spans="3:3" x14ac:dyDescent="0.25">
      <c r="C13703" s="26">
        <v>13701</v>
      </c>
    </row>
    <row r="13704" spans="3:3" x14ac:dyDescent="0.25">
      <c r="C13704" s="26">
        <v>13702</v>
      </c>
    </row>
    <row r="13705" spans="3:3" x14ac:dyDescent="0.25">
      <c r="C13705" s="26">
        <v>13703</v>
      </c>
    </row>
    <row r="13706" spans="3:3" x14ac:dyDescent="0.25">
      <c r="C13706" s="26">
        <v>13704</v>
      </c>
    </row>
    <row r="13707" spans="3:3" x14ac:dyDescent="0.25">
      <c r="C13707" s="26">
        <v>13705</v>
      </c>
    </row>
    <row r="13708" spans="3:3" x14ac:dyDescent="0.25">
      <c r="C13708" s="26">
        <v>13706</v>
      </c>
    </row>
    <row r="13709" spans="3:3" x14ac:dyDescent="0.25">
      <c r="C13709" s="26">
        <v>13707</v>
      </c>
    </row>
    <row r="13710" spans="3:3" x14ac:dyDescent="0.25">
      <c r="C13710" s="26">
        <v>13708</v>
      </c>
    </row>
    <row r="13711" spans="3:3" x14ac:dyDescent="0.25">
      <c r="C13711" s="26">
        <v>13709</v>
      </c>
    </row>
    <row r="13712" spans="3:3" x14ac:dyDescent="0.25">
      <c r="C13712" s="26">
        <v>13710</v>
      </c>
    </row>
    <row r="13713" spans="3:3" x14ac:dyDescent="0.25">
      <c r="C13713" s="26">
        <v>13711</v>
      </c>
    </row>
    <row r="13714" spans="3:3" x14ac:dyDescent="0.25">
      <c r="C13714" s="26">
        <v>13712</v>
      </c>
    </row>
    <row r="13715" spans="3:3" x14ac:dyDescent="0.25">
      <c r="C13715" s="26">
        <v>13713</v>
      </c>
    </row>
    <row r="13716" spans="3:3" x14ac:dyDescent="0.25">
      <c r="C13716" s="26">
        <v>13714</v>
      </c>
    </row>
    <row r="13717" spans="3:3" x14ac:dyDescent="0.25">
      <c r="C13717" s="26">
        <v>13715</v>
      </c>
    </row>
    <row r="13718" spans="3:3" x14ac:dyDescent="0.25">
      <c r="C13718" s="26">
        <v>13716</v>
      </c>
    </row>
    <row r="13719" spans="3:3" x14ac:dyDescent="0.25">
      <c r="C13719" s="26">
        <v>13717</v>
      </c>
    </row>
    <row r="13720" spans="3:3" x14ac:dyDescent="0.25">
      <c r="C13720" s="26">
        <v>13718</v>
      </c>
    </row>
    <row r="13721" spans="3:3" x14ac:dyDescent="0.25">
      <c r="C13721" s="26">
        <v>13719</v>
      </c>
    </row>
    <row r="13722" spans="3:3" x14ac:dyDescent="0.25">
      <c r="C13722" s="26">
        <v>13720</v>
      </c>
    </row>
    <row r="13723" spans="3:3" x14ac:dyDescent="0.25">
      <c r="C13723" s="26">
        <v>13721</v>
      </c>
    </row>
    <row r="13724" spans="3:3" x14ac:dyDescent="0.25">
      <c r="C13724" s="26">
        <v>13722</v>
      </c>
    </row>
    <row r="13725" spans="3:3" x14ac:dyDescent="0.25">
      <c r="C13725" s="26">
        <v>13723</v>
      </c>
    </row>
    <row r="13726" spans="3:3" x14ac:dyDescent="0.25">
      <c r="C13726" s="26">
        <v>13724</v>
      </c>
    </row>
    <row r="13727" spans="3:3" x14ac:dyDescent="0.25">
      <c r="C13727" s="26">
        <v>13725</v>
      </c>
    </row>
    <row r="13728" spans="3:3" x14ac:dyDescent="0.25">
      <c r="C13728" s="26">
        <v>13726</v>
      </c>
    </row>
    <row r="13729" spans="3:3" x14ac:dyDescent="0.25">
      <c r="C13729" s="26">
        <v>13727</v>
      </c>
    </row>
    <row r="13730" spans="3:3" x14ac:dyDescent="0.25">
      <c r="C13730" s="26">
        <v>13728</v>
      </c>
    </row>
    <row r="13731" spans="3:3" x14ac:dyDescent="0.25">
      <c r="C13731" s="26">
        <v>13729</v>
      </c>
    </row>
    <row r="13732" spans="3:3" x14ac:dyDescent="0.25">
      <c r="C13732" s="26">
        <v>13730</v>
      </c>
    </row>
    <row r="13733" spans="3:3" x14ac:dyDescent="0.25">
      <c r="C13733" s="26">
        <v>13731</v>
      </c>
    </row>
    <row r="13734" spans="3:3" x14ac:dyDescent="0.25">
      <c r="C13734" s="26">
        <v>13732</v>
      </c>
    </row>
    <row r="13735" spans="3:3" x14ac:dyDescent="0.25">
      <c r="C13735" s="26">
        <v>13733</v>
      </c>
    </row>
    <row r="13736" spans="3:3" x14ac:dyDescent="0.25">
      <c r="C13736" s="26">
        <v>13734</v>
      </c>
    </row>
    <row r="13737" spans="3:3" x14ac:dyDescent="0.25">
      <c r="C13737" s="26">
        <v>13735</v>
      </c>
    </row>
    <row r="13738" spans="3:3" x14ac:dyDescent="0.25">
      <c r="C13738" s="26">
        <v>13736</v>
      </c>
    </row>
    <row r="13739" spans="3:3" x14ac:dyDescent="0.25">
      <c r="C13739" s="26">
        <v>13737</v>
      </c>
    </row>
    <row r="13740" spans="3:3" x14ac:dyDescent="0.25">
      <c r="C13740" s="26">
        <v>13738</v>
      </c>
    </row>
    <row r="13741" spans="3:3" x14ac:dyDescent="0.25">
      <c r="C13741" s="26">
        <v>13739</v>
      </c>
    </row>
    <row r="13742" spans="3:3" x14ac:dyDescent="0.25">
      <c r="C13742" s="26">
        <v>13740</v>
      </c>
    </row>
    <row r="13743" spans="3:3" x14ac:dyDescent="0.25">
      <c r="C13743" s="26">
        <v>13741</v>
      </c>
    </row>
    <row r="13744" spans="3:3" x14ac:dyDescent="0.25">
      <c r="C13744" s="26">
        <v>13742</v>
      </c>
    </row>
    <row r="13745" spans="3:3" x14ac:dyDescent="0.25">
      <c r="C13745" s="26">
        <v>13743</v>
      </c>
    </row>
    <row r="13746" spans="3:3" x14ac:dyDescent="0.25">
      <c r="C13746" s="26">
        <v>13744</v>
      </c>
    </row>
    <row r="13747" spans="3:3" x14ac:dyDescent="0.25">
      <c r="C13747" s="26">
        <v>13745</v>
      </c>
    </row>
    <row r="13748" spans="3:3" x14ac:dyDescent="0.25">
      <c r="C13748" s="26">
        <v>13746</v>
      </c>
    </row>
    <row r="13749" spans="3:3" x14ac:dyDescent="0.25">
      <c r="C13749" s="26">
        <v>13747</v>
      </c>
    </row>
    <row r="13750" spans="3:3" x14ac:dyDescent="0.25">
      <c r="C13750" s="26">
        <v>13748</v>
      </c>
    </row>
    <row r="13751" spans="3:3" x14ac:dyDescent="0.25">
      <c r="C13751" s="26">
        <v>13749</v>
      </c>
    </row>
    <row r="13752" spans="3:3" x14ac:dyDescent="0.25">
      <c r="C13752" s="26">
        <v>13750</v>
      </c>
    </row>
    <row r="13753" spans="3:3" x14ac:dyDescent="0.25">
      <c r="C13753" s="26">
        <v>13751</v>
      </c>
    </row>
    <row r="13754" spans="3:3" x14ac:dyDescent="0.25">
      <c r="C13754" s="26">
        <v>13752</v>
      </c>
    </row>
    <row r="13755" spans="3:3" x14ac:dyDescent="0.25">
      <c r="C13755" s="26">
        <v>13753</v>
      </c>
    </row>
    <row r="13756" spans="3:3" x14ac:dyDescent="0.25">
      <c r="C13756" s="26">
        <v>13754</v>
      </c>
    </row>
    <row r="13757" spans="3:3" x14ac:dyDescent="0.25">
      <c r="C13757" s="26">
        <v>13755</v>
      </c>
    </row>
    <row r="13758" spans="3:3" x14ac:dyDescent="0.25">
      <c r="C13758" s="26">
        <v>13756</v>
      </c>
    </row>
    <row r="13759" spans="3:3" x14ac:dyDescent="0.25">
      <c r="C13759" s="26">
        <v>13757</v>
      </c>
    </row>
    <row r="13760" spans="3:3" x14ac:dyDescent="0.25">
      <c r="C13760" s="26">
        <v>13758</v>
      </c>
    </row>
    <row r="13761" spans="3:3" x14ac:dyDescent="0.25">
      <c r="C13761" s="26">
        <v>13759</v>
      </c>
    </row>
    <row r="13762" spans="3:3" x14ac:dyDescent="0.25">
      <c r="C13762" s="26">
        <v>13760</v>
      </c>
    </row>
    <row r="13763" spans="3:3" x14ac:dyDescent="0.25">
      <c r="C13763" s="26">
        <v>13761</v>
      </c>
    </row>
    <row r="13764" spans="3:3" x14ac:dyDescent="0.25">
      <c r="C13764" s="26">
        <v>13762</v>
      </c>
    </row>
    <row r="13765" spans="3:3" x14ac:dyDescent="0.25">
      <c r="C13765" s="26">
        <v>13763</v>
      </c>
    </row>
    <row r="13766" spans="3:3" x14ac:dyDescent="0.25">
      <c r="C13766" s="26">
        <v>13764</v>
      </c>
    </row>
    <row r="13767" spans="3:3" x14ac:dyDescent="0.25">
      <c r="C13767" s="26">
        <v>13765</v>
      </c>
    </row>
    <row r="13768" spans="3:3" x14ac:dyDescent="0.25">
      <c r="C13768" s="26">
        <v>13766</v>
      </c>
    </row>
    <row r="13769" spans="3:3" x14ac:dyDescent="0.25">
      <c r="C13769" s="26">
        <v>13767</v>
      </c>
    </row>
    <row r="13770" spans="3:3" x14ac:dyDescent="0.25">
      <c r="C13770" s="26">
        <v>13768</v>
      </c>
    </row>
    <row r="13771" spans="3:3" x14ac:dyDescent="0.25">
      <c r="C13771" s="26">
        <v>13769</v>
      </c>
    </row>
    <row r="13772" spans="3:3" x14ac:dyDescent="0.25">
      <c r="C13772" s="26">
        <v>13770</v>
      </c>
    </row>
    <row r="13773" spans="3:3" x14ac:dyDescent="0.25">
      <c r="C13773" s="26">
        <v>13771</v>
      </c>
    </row>
    <row r="13774" spans="3:3" x14ac:dyDescent="0.25">
      <c r="C13774" s="26">
        <v>13772</v>
      </c>
    </row>
    <row r="13775" spans="3:3" x14ac:dyDescent="0.25">
      <c r="C13775" s="26">
        <v>13773</v>
      </c>
    </row>
    <row r="13776" spans="3:3" x14ac:dyDescent="0.25">
      <c r="C13776" s="26">
        <v>13774</v>
      </c>
    </row>
    <row r="13777" spans="3:3" x14ac:dyDescent="0.25">
      <c r="C13777" s="26">
        <v>13775</v>
      </c>
    </row>
    <row r="13778" spans="3:3" x14ac:dyDescent="0.25">
      <c r="C13778" s="26">
        <v>13776</v>
      </c>
    </row>
    <row r="13779" spans="3:3" x14ac:dyDescent="0.25">
      <c r="C13779" s="26">
        <v>13777</v>
      </c>
    </row>
    <row r="13780" spans="3:3" x14ac:dyDescent="0.25">
      <c r="C13780" s="26">
        <v>13778</v>
      </c>
    </row>
    <row r="13781" spans="3:3" x14ac:dyDescent="0.25">
      <c r="C13781" s="26">
        <v>13779</v>
      </c>
    </row>
    <row r="13782" spans="3:3" x14ac:dyDescent="0.25">
      <c r="C13782" s="26">
        <v>13780</v>
      </c>
    </row>
    <row r="13783" spans="3:3" x14ac:dyDescent="0.25">
      <c r="C13783" s="26">
        <v>13781</v>
      </c>
    </row>
    <row r="13784" spans="3:3" x14ac:dyDescent="0.25">
      <c r="C13784" s="26">
        <v>13782</v>
      </c>
    </row>
    <row r="13785" spans="3:3" x14ac:dyDescent="0.25">
      <c r="C13785" s="26">
        <v>13783</v>
      </c>
    </row>
    <row r="13786" spans="3:3" x14ac:dyDescent="0.25">
      <c r="C13786" s="26">
        <v>13784</v>
      </c>
    </row>
    <row r="13787" spans="3:3" x14ac:dyDescent="0.25">
      <c r="C13787" s="26">
        <v>13785</v>
      </c>
    </row>
    <row r="13788" spans="3:3" x14ac:dyDescent="0.25">
      <c r="C13788" s="26">
        <v>13786</v>
      </c>
    </row>
    <row r="13789" spans="3:3" x14ac:dyDescent="0.25">
      <c r="C13789" s="26">
        <v>13787</v>
      </c>
    </row>
    <row r="13790" spans="3:3" x14ac:dyDescent="0.25">
      <c r="C13790" s="26">
        <v>13788</v>
      </c>
    </row>
    <row r="13791" spans="3:3" x14ac:dyDescent="0.25">
      <c r="C13791" s="26">
        <v>13789</v>
      </c>
    </row>
    <row r="13792" spans="3:3" x14ac:dyDescent="0.25">
      <c r="C13792" s="26">
        <v>13790</v>
      </c>
    </row>
    <row r="13793" spans="3:3" x14ac:dyDescent="0.25">
      <c r="C13793" s="26">
        <v>13791</v>
      </c>
    </row>
    <row r="13794" spans="3:3" x14ac:dyDescent="0.25">
      <c r="C13794" s="26">
        <v>13792</v>
      </c>
    </row>
    <row r="13795" spans="3:3" x14ac:dyDescent="0.25">
      <c r="C13795" s="26">
        <v>13793</v>
      </c>
    </row>
    <row r="13796" spans="3:3" x14ac:dyDescent="0.25">
      <c r="C13796" s="26">
        <v>13794</v>
      </c>
    </row>
    <row r="13797" spans="3:3" x14ac:dyDescent="0.25">
      <c r="C13797" s="26">
        <v>13795</v>
      </c>
    </row>
    <row r="13798" spans="3:3" x14ac:dyDescent="0.25">
      <c r="C13798" s="26">
        <v>13796</v>
      </c>
    </row>
    <row r="13799" spans="3:3" x14ac:dyDescent="0.25">
      <c r="C13799" s="26">
        <v>13797</v>
      </c>
    </row>
    <row r="13800" spans="3:3" x14ac:dyDescent="0.25">
      <c r="C13800" s="26">
        <v>13798</v>
      </c>
    </row>
    <row r="13801" spans="3:3" x14ac:dyDescent="0.25">
      <c r="C13801" s="26">
        <v>13799</v>
      </c>
    </row>
    <row r="13802" spans="3:3" x14ac:dyDescent="0.25">
      <c r="C13802" s="26">
        <v>13800</v>
      </c>
    </row>
    <row r="13803" spans="3:3" x14ac:dyDescent="0.25">
      <c r="C13803" s="26">
        <v>13801</v>
      </c>
    </row>
    <row r="13804" spans="3:3" x14ac:dyDescent="0.25">
      <c r="C13804" s="26">
        <v>13802</v>
      </c>
    </row>
    <row r="13805" spans="3:3" x14ac:dyDescent="0.25">
      <c r="C13805" s="26">
        <v>13803</v>
      </c>
    </row>
    <row r="13806" spans="3:3" x14ac:dyDescent="0.25">
      <c r="C13806" s="26">
        <v>13804</v>
      </c>
    </row>
    <row r="13807" spans="3:3" x14ac:dyDescent="0.25">
      <c r="C13807" s="26">
        <v>13805</v>
      </c>
    </row>
    <row r="13808" spans="3:3" x14ac:dyDescent="0.25">
      <c r="C13808" s="26">
        <v>13806</v>
      </c>
    </row>
    <row r="13809" spans="3:3" x14ac:dyDescent="0.25">
      <c r="C13809" s="26">
        <v>13807</v>
      </c>
    </row>
    <row r="13810" spans="3:3" x14ac:dyDescent="0.25">
      <c r="C13810" s="26">
        <v>13808</v>
      </c>
    </row>
    <row r="13811" spans="3:3" x14ac:dyDescent="0.25">
      <c r="C13811" s="26">
        <v>13809</v>
      </c>
    </row>
    <row r="13812" spans="3:3" x14ac:dyDescent="0.25">
      <c r="C13812" s="26">
        <v>13810</v>
      </c>
    </row>
    <row r="13813" spans="3:3" x14ac:dyDescent="0.25">
      <c r="C13813" s="26">
        <v>13811</v>
      </c>
    </row>
    <row r="13814" spans="3:3" x14ac:dyDescent="0.25">
      <c r="C13814" s="26">
        <v>13812</v>
      </c>
    </row>
    <row r="13815" spans="3:3" x14ac:dyDescent="0.25">
      <c r="C13815" s="26">
        <v>13813</v>
      </c>
    </row>
    <row r="13816" spans="3:3" x14ac:dyDescent="0.25">
      <c r="C13816" s="26">
        <v>13814</v>
      </c>
    </row>
    <row r="13817" spans="3:3" x14ac:dyDescent="0.25">
      <c r="C13817" s="26">
        <v>13815</v>
      </c>
    </row>
    <row r="13818" spans="3:3" x14ac:dyDescent="0.25">
      <c r="C13818" s="26">
        <v>13816</v>
      </c>
    </row>
    <row r="13819" spans="3:3" x14ac:dyDescent="0.25">
      <c r="C13819" s="26">
        <v>13817</v>
      </c>
    </row>
    <row r="13820" spans="3:3" x14ac:dyDescent="0.25">
      <c r="C13820" s="26">
        <v>13818</v>
      </c>
    </row>
    <row r="13821" spans="3:3" x14ac:dyDescent="0.25">
      <c r="C13821" s="26">
        <v>13819</v>
      </c>
    </row>
    <row r="13822" spans="3:3" x14ac:dyDescent="0.25">
      <c r="C13822" s="26">
        <v>13820</v>
      </c>
    </row>
    <row r="13823" spans="3:3" x14ac:dyDescent="0.25">
      <c r="C13823" s="26">
        <v>13821</v>
      </c>
    </row>
    <row r="13824" spans="3:3" x14ac:dyDescent="0.25">
      <c r="C13824" s="26">
        <v>13822</v>
      </c>
    </row>
    <row r="13825" spans="3:3" x14ac:dyDescent="0.25">
      <c r="C13825" s="26">
        <v>13823</v>
      </c>
    </row>
    <row r="13826" spans="3:3" x14ac:dyDescent="0.25">
      <c r="C13826" s="26">
        <v>13824</v>
      </c>
    </row>
    <row r="13827" spans="3:3" x14ac:dyDescent="0.25">
      <c r="C13827" s="26">
        <v>13825</v>
      </c>
    </row>
    <row r="13828" spans="3:3" x14ac:dyDescent="0.25">
      <c r="C13828" s="26">
        <v>13826</v>
      </c>
    </row>
    <row r="13829" spans="3:3" x14ac:dyDescent="0.25">
      <c r="C13829" s="26">
        <v>13827</v>
      </c>
    </row>
    <row r="13830" spans="3:3" x14ac:dyDescent="0.25">
      <c r="C13830" s="26">
        <v>13828</v>
      </c>
    </row>
    <row r="13831" spans="3:3" x14ac:dyDescent="0.25">
      <c r="C13831" s="26">
        <v>13829</v>
      </c>
    </row>
    <row r="13832" spans="3:3" x14ac:dyDescent="0.25">
      <c r="C13832" s="26">
        <v>13830</v>
      </c>
    </row>
    <row r="13833" spans="3:3" x14ac:dyDescent="0.25">
      <c r="C13833" s="26">
        <v>13831</v>
      </c>
    </row>
    <row r="13834" spans="3:3" x14ac:dyDescent="0.25">
      <c r="C13834" s="26">
        <v>13832</v>
      </c>
    </row>
    <row r="13835" spans="3:3" x14ac:dyDescent="0.25">
      <c r="C13835" s="26">
        <v>13833</v>
      </c>
    </row>
    <row r="13836" spans="3:3" x14ac:dyDescent="0.25">
      <c r="C13836" s="26">
        <v>13834</v>
      </c>
    </row>
    <row r="13837" spans="3:3" x14ac:dyDescent="0.25">
      <c r="C13837" s="26">
        <v>13835</v>
      </c>
    </row>
    <row r="13838" spans="3:3" x14ac:dyDescent="0.25">
      <c r="C13838" s="26">
        <v>13836</v>
      </c>
    </row>
    <row r="13839" spans="3:3" x14ac:dyDescent="0.25">
      <c r="C13839" s="26">
        <v>13837</v>
      </c>
    </row>
    <row r="13840" spans="3:3" x14ac:dyDescent="0.25">
      <c r="C13840" s="26">
        <v>13838</v>
      </c>
    </row>
    <row r="13841" spans="3:3" x14ac:dyDescent="0.25">
      <c r="C13841" s="26">
        <v>13839</v>
      </c>
    </row>
    <row r="13842" spans="3:3" x14ac:dyDescent="0.25">
      <c r="C13842" s="26">
        <v>13840</v>
      </c>
    </row>
    <row r="13843" spans="3:3" x14ac:dyDescent="0.25">
      <c r="C13843" s="26">
        <v>13841</v>
      </c>
    </row>
    <row r="13844" spans="3:3" x14ac:dyDescent="0.25">
      <c r="C13844" s="26">
        <v>13842</v>
      </c>
    </row>
    <row r="13845" spans="3:3" x14ac:dyDescent="0.25">
      <c r="C13845" s="26">
        <v>13843</v>
      </c>
    </row>
    <row r="13846" spans="3:3" x14ac:dyDescent="0.25">
      <c r="C13846" s="26">
        <v>13844</v>
      </c>
    </row>
    <row r="13847" spans="3:3" x14ac:dyDescent="0.25">
      <c r="C13847" s="26">
        <v>13845</v>
      </c>
    </row>
    <row r="13848" spans="3:3" x14ac:dyDescent="0.25">
      <c r="C13848" s="26">
        <v>13846</v>
      </c>
    </row>
    <row r="13849" spans="3:3" x14ac:dyDescent="0.25">
      <c r="C13849" s="26">
        <v>13847</v>
      </c>
    </row>
    <row r="13850" spans="3:3" x14ac:dyDescent="0.25">
      <c r="C13850" s="26">
        <v>13848</v>
      </c>
    </row>
    <row r="13851" spans="3:3" x14ac:dyDescent="0.25">
      <c r="C13851" s="26">
        <v>13849</v>
      </c>
    </row>
    <row r="13852" spans="3:3" x14ac:dyDescent="0.25">
      <c r="C13852" s="26">
        <v>13850</v>
      </c>
    </row>
    <row r="13853" spans="3:3" x14ac:dyDescent="0.25">
      <c r="C13853" s="26">
        <v>13851</v>
      </c>
    </row>
    <row r="13854" spans="3:3" x14ac:dyDescent="0.25">
      <c r="C13854" s="26">
        <v>13852</v>
      </c>
    </row>
    <row r="13855" spans="3:3" x14ac:dyDescent="0.25">
      <c r="C13855" s="26">
        <v>13853</v>
      </c>
    </row>
    <row r="13856" spans="3:3" x14ac:dyDescent="0.25">
      <c r="C13856" s="26">
        <v>13854</v>
      </c>
    </row>
    <row r="13857" spans="3:3" x14ac:dyDescent="0.25">
      <c r="C13857" s="26">
        <v>13855</v>
      </c>
    </row>
    <row r="13858" spans="3:3" x14ac:dyDescent="0.25">
      <c r="C13858" s="26">
        <v>13856</v>
      </c>
    </row>
    <row r="13859" spans="3:3" x14ac:dyDescent="0.25">
      <c r="C13859" s="26">
        <v>13857</v>
      </c>
    </row>
    <row r="13860" spans="3:3" x14ac:dyDescent="0.25">
      <c r="C13860" s="26">
        <v>13858</v>
      </c>
    </row>
    <row r="13861" spans="3:3" x14ac:dyDescent="0.25">
      <c r="C13861" s="26">
        <v>13859</v>
      </c>
    </row>
    <row r="13862" spans="3:3" x14ac:dyDescent="0.25">
      <c r="C13862" s="26">
        <v>13860</v>
      </c>
    </row>
    <row r="13863" spans="3:3" x14ac:dyDescent="0.25">
      <c r="C13863" s="26">
        <v>13861</v>
      </c>
    </row>
    <row r="13864" spans="3:3" x14ac:dyDescent="0.25">
      <c r="C13864" s="26">
        <v>13862</v>
      </c>
    </row>
    <row r="13865" spans="3:3" x14ac:dyDescent="0.25">
      <c r="C13865" s="26">
        <v>13863</v>
      </c>
    </row>
    <row r="13866" spans="3:3" x14ac:dyDescent="0.25">
      <c r="C13866" s="26">
        <v>13864</v>
      </c>
    </row>
    <row r="13867" spans="3:3" x14ac:dyDescent="0.25">
      <c r="C13867" s="26">
        <v>13865</v>
      </c>
    </row>
    <row r="13868" spans="3:3" x14ac:dyDescent="0.25">
      <c r="C13868" s="26">
        <v>13866</v>
      </c>
    </row>
    <row r="13869" spans="3:3" x14ac:dyDescent="0.25">
      <c r="C13869" s="26">
        <v>13867</v>
      </c>
    </row>
    <row r="13870" spans="3:3" x14ac:dyDescent="0.25">
      <c r="C13870" s="26">
        <v>13868</v>
      </c>
    </row>
    <row r="13871" spans="3:3" x14ac:dyDescent="0.25">
      <c r="C13871" s="26">
        <v>13869</v>
      </c>
    </row>
    <row r="13872" spans="3:3" x14ac:dyDescent="0.25">
      <c r="C13872" s="26">
        <v>13870</v>
      </c>
    </row>
    <row r="13873" spans="3:3" x14ac:dyDescent="0.25">
      <c r="C13873" s="26">
        <v>13871</v>
      </c>
    </row>
    <row r="13874" spans="3:3" x14ac:dyDescent="0.25">
      <c r="C13874" s="26">
        <v>13872</v>
      </c>
    </row>
    <row r="13875" spans="3:3" x14ac:dyDescent="0.25">
      <c r="C13875" s="26">
        <v>13873</v>
      </c>
    </row>
    <row r="13876" spans="3:3" x14ac:dyDescent="0.25">
      <c r="C13876" s="26">
        <v>13874</v>
      </c>
    </row>
    <row r="13877" spans="3:3" x14ac:dyDescent="0.25">
      <c r="C13877" s="26">
        <v>13875</v>
      </c>
    </row>
    <row r="13878" spans="3:3" x14ac:dyDescent="0.25">
      <c r="C13878" s="26">
        <v>13876</v>
      </c>
    </row>
    <row r="13879" spans="3:3" x14ac:dyDescent="0.25">
      <c r="C13879" s="26">
        <v>13877</v>
      </c>
    </row>
    <row r="13880" spans="3:3" x14ac:dyDescent="0.25">
      <c r="C13880" s="26">
        <v>13878</v>
      </c>
    </row>
    <row r="13881" spans="3:3" x14ac:dyDescent="0.25">
      <c r="C13881" s="26">
        <v>13879</v>
      </c>
    </row>
    <row r="13882" spans="3:3" x14ac:dyDescent="0.25">
      <c r="C13882" s="26">
        <v>13880</v>
      </c>
    </row>
    <row r="13883" spans="3:3" x14ac:dyDescent="0.25">
      <c r="C13883" s="26">
        <v>13881</v>
      </c>
    </row>
    <row r="13884" spans="3:3" x14ac:dyDescent="0.25">
      <c r="C13884" s="26">
        <v>13882</v>
      </c>
    </row>
    <row r="13885" spans="3:3" x14ac:dyDescent="0.25">
      <c r="C13885" s="26">
        <v>13883</v>
      </c>
    </row>
    <row r="13886" spans="3:3" x14ac:dyDescent="0.25">
      <c r="C13886" s="26">
        <v>13884</v>
      </c>
    </row>
    <row r="13887" spans="3:3" x14ac:dyDescent="0.25">
      <c r="C13887" s="26">
        <v>13885</v>
      </c>
    </row>
    <row r="13888" spans="3:3" x14ac:dyDescent="0.25">
      <c r="C13888" s="26">
        <v>13886</v>
      </c>
    </row>
    <row r="13889" spans="3:3" x14ac:dyDescent="0.25">
      <c r="C13889" s="26">
        <v>13887</v>
      </c>
    </row>
    <row r="13890" spans="3:3" x14ac:dyDescent="0.25">
      <c r="C13890" s="26">
        <v>13888</v>
      </c>
    </row>
    <row r="13891" spans="3:3" x14ac:dyDescent="0.25">
      <c r="C13891" s="26">
        <v>13889</v>
      </c>
    </row>
    <row r="13892" spans="3:3" x14ac:dyDescent="0.25">
      <c r="C13892" s="26">
        <v>13890</v>
      </c>
    </row>
    <row r="13893" spans="3:3" x14ac:dyDescent="0.25">
      <c r="C13893" s="26">
        <v>13891</v>
      </c>
    </row>
    <row r="13894" spans="3:3" x14ac:dyDescent="0.25">
      <c r="C13894" s="26">
        <v>13892</v>
      </c>
    </row>
    <row r="13895" spans="3:3" x14ac:dyDescent="0.25">
      <c r="C13895" s="26">
        <v>13893</v>
      </c>
    </row>
    <row r="13896" spans="3:3" x14ac:dyDescent="0.25">
      <c r="C13896" s="26">
        <v>13894</v>
      </c>
    </row>
    <row r="13897" spans="3:3" x14ac:dyDescent="0.25">
      <c r="C13897" s="26">
        <v>13895</v>
      </c>
    </row>
    <row r="13898" spans="3:3" x14ac:dyDescent="0.25">
      <c r="C13898" s="26">
        <v>13896</v>
      </c>
    </row>
    <row r="13899" spans="3:3" x14ac:dyDescent="0.25">
      <c r="C13899" s="26">
        <v>13897</v>
      </c>
    </row>
    <row r="13900" spans="3:3" x14ac:dyDescent="0.25">
      <c r="C13900" s="26">
        <v>13898</v>
      </c>
    </row>
    <row r="13901" spans="3:3" x14ac:dyDescent="0.25">
      <c r="C13901" s="26">
        <v>13899</v>
      </c>
    </row>
    <row r="13902" spans="3:3" x14ac:dyDescent="0.25">
      <c r="C13902" s="26">
        <v>13900</v>
      </c>
    </row>
    <row r="13903" spans="3:3" x14ac:dyDescent="0.25">
      <c r="C13903" s="26">
        <v>13901</v>
      </c>
    </row>
    <row r="13904" spans="3:3" x14ac:dyDescent="0.25">
      <c r="C13904" s="26">
        <v>13902</v>
      </c>
    </row>
    <row r="13905" spans="3:3" x14ac:dyDescent="0.25">
      <c r="C13905" s="26">
        <v>13903</v>
      </c>
    </row>
    <row r="13906" spans="3:3" x14ac:dyDescent="0.25">
      <c r="C13906" s="26">
        <v>13904</v>
      </c>
    </row>
    <row r="13907" spans="3:3" x14ac:dyDescent="0.25">
      <c r="C13907" s="26">
        <v>13905</v>
      </c>
    </row>
    <row r="13908" spans="3:3" x14ac:dyDescent="0.25">
      <c r="C13908" s="26">
        <v>13906</v>
      </c>
    </row>
    <row r="13909" spans="3:3" x14ac:dyDescent="0.25">
      <c r="C13909" s="26">
        <v>13907</v>
      </c>
    </row>
    <row r="13910" spans="3:3" x14ac:dyDescent="0.25">
      <c r="C13910" s="26">
        <v>13908</v>
      </c>
    </row>
    <row r="13911" spans="3:3" x14ac:dyDescent="0.25">
      <c r="C13911" s="26">
        <v>13909</v>
      </c>
    </row>
    <row r="13912" spans="3:3" x14ac:dyDescent="0.25">
      <c r="C13912" s="26">
        <v>13910</v>
      </c>
    </row>
    <row r="13913" spans="3:3" x14ac:dyDescent="0.25">
      <c r="C13913" s="26">
        <v>13911</v>
      </c>
    </row>
    <row r="13914" spans="3:3" x14ac:dyDescent="0.25">
      <c r="C13914" s="26">
        <v>13912</v>
      </c>
    </row>
    <row r="13915" spans="3:3" x14ac:dyDescent="0.25">
      <c r="C13915" s="26">
        <v>13913</v>
      </c>
    </row>
    <row r="13916" spans="3:3" x14ac:dyDescent="0.25">
      <c r="C13916" s="26">
        <v>13914</v>
      </c>
    </row>
    <row r="13917" spans="3:3" x14ac:dyDescent="0.25">
      <c r="C13917" s="26">
        <v>13915</v>
      </c>
    </row>
    <row r="13918" spans="3:3" x14ac:dyDescent="0.25">
      <c r="C13918" s="26">
        <v>13916</v>
      </c>
    </row>
    <row r="13919" spans="3:3" x14ac:dyDescent="0.25">
      <c r="C13919" s="26">
        <v>13917</v>
      </c>
    </row>
    <row r="13920" spans="3:3" x14ac:dyDescent="0.25">
      <c r="C13920" s="26">
        <v>13918</v>
      </c>
    </row>
    <row r="13921" spans="3:3" x14ac:dyDescent="0.25">
      <c r="C13921" s="26">
        <v>13919</v>
      </c>
    </row>
    <row r="13922" spans="3:3" x14ac:dyDescent="0.25">
      <c r="C13922" s="26">
        <v>13920</v>
      </c>
    </row>
    <row r="13923" spans="3:3" x14ac:dyDescent="0.25">
      <c r="C13923" s="26">
        <v>13921</v>
      </c>
    </row>
    <row r="13924" spans="3:3" x14ac:dyDescent="0.25">
      <c r="C13924" s="26">
        <v>13922</v>
      </c>
    </row>
    <row r="13925" spans="3:3" x14ac:dyDescent="0.25">
      <c r="C13925" s="26">
        <v>13923</v>
      </c>
    </row>
    <row r="13926" spans="3:3" x14ac:dyDescent="0.25">
      <c r="C13926" s="26">
        <v>13924</v>
      </c>
    </row>
    <row r="13927" spans="3:3" x14ac:dyDescent="0.25">
      <c r="C13927" s="26">
        <v>13925</v>
      </c>
    </row>
    <row r="13928" spans="3:3" x14ac:dyDescent="0.25">
      <c r="C13928" s="26">
        <v>13926</v>
      </c>
    </row>
    <row r="13929" spans="3:3" x14ac:dyDescent="0.25">
      <c r="C13929" s="26">
        <v>13927</v>
      </c>
    </row>
    <row r="13930" spans="3:3" x14ac:dyDescent="0.25">
      <c r="C13930" s="26">
        <v>13928</v>
      </c>
    </row>
    <row r="13931" spans="3:3" x14ac:dyDescent="0.25">
      <c r="C13931" s="26">
        <v>13929</v>
      </c>
    </row>
    <row r="13932" spans="3:3" x14ac:dyDescent="0.25">
      <c r="C13932" s="26">
        <v>13930</v>
      </c>
    </row>
    <row r="13933" spans="3:3" x14ac:dyDescent="0.25">
      <c r="C13933" s="26">
        <v>13931</v>
      </c>
    </row>
    <row r="13934" spans="3:3" x14ac:dyDescent="0.25">
      <c r="C13934" s="26">
        <v>13932</v>
      </c>
    </row>
    <row r="13935" spans="3:3" x14ac:dyDescent="0.25">
      <c r="C13935" s="26">
        <v>13933</v>
      </c>
    </row>
    <row r="13936" spans="3:3" x14ac:dyDescent="0.25">
      <c r="C13936" s="26">
        <v>13934</v>
      </c>
    </row>
    <row r="13937" spans="3:3" x14ac:dyDescent="0.25">
      <c r="C13937" s="26">
        <v>13935</v>
      </c>
    </row>
    <row r="13938" spans="3:3" x14ac:dyDescent="0.25">
      <c r="C13938" s="26">
        <v>13936</v>
      </c>
    </row>
    <row r="13939" spans="3:3" x14ac:dyDescent="0.25">
      <c r="C13939" s="26">
        <v>13937</v>
      </c>
    </row>
    <row r="13940" spans="3:3" x14ac:dyDescent="0.25">
      <c r="C13940" s="26">
        <v>13938</v>
      </c>
    </row>
    <row r="13941" spans="3:3" x14ac:dyDescent="0.25">
      <c r="C13941" s="26">
        <v>13939</v>
      </c>
    </row>
    <row r="13942" spans="3:3" x14ac:dyDescent="0.25">
      <c r="C13942" s="26">
        <v>13940</v>
      </c>
    </row>
    <row r="13943" spans="3:3" x14ac:dyDescent="0.25">
      <c r="C13943" s="26">
        <v>13941</v>
      </c>
    </row>
    <row r="13944" spans="3:3" x14ac:dyDescent="0.25">
      <c r="C13944" s="26">
        <v>13942</v>
      </c>
    </row>
    <row r="13945" spans="3:3" x14ac:dyDescent="0.25">
      <c r="C13945" s="26">
        <v>13943</v>
      </c>
    </row>
    <row r="13946" spans="3:3" x14ac:dyDescent="0.25">
      <c r="C13946" s="26">
        <v>13944</v>
      </c>
    </row>
    <row r="13947" spans="3:3" x14ac:dyDescent="0.25">
      <c r="C13947" s="26">
        <v>13945</v>
      </c>
    </row>
    <row r="13948" spans="3:3" x14ac:dyDescent="0.25">
      <c r="C13948" s="26">
        <v>13946</v>
      </c>
    </row>
    <row r="13949" spans="3:3" x14ac:dyDescent="0.25">
      <c r="C13949" s="26">
        <v>13947</v>
      </c>
    </row>
    <row r="13950" spans="3:3" x14ac:dyDescent="0.25">
      <c r="C13950" s="26">
        <v>13948</v>
      </c>
    </row>
    <row r="13951" spans="3:3" x14ac:dyDescent="0.25">
      <c r="C13951" s="26">
        <v>13949</v>
      </c>
    </row>
    <row r="13952" spans="3:3" x14ac:dyDescent="0.25">
      <c r="C13952" s="26">
        <v>13950</v>
      </c>
    </row>
    <row r="13953" spans="3:3" x14ac:dyDescent="0.25">
      <c r="C13953" s="26">
        <v>13951</v>
      </c>
    </row>
    <row r="13954" spans="3:3" x14ac:dyDescent="0.25">
      <c r="C13954" s="26">
        <v>13952</v>
      </c>
    </row>
    <row r="13955" spans="3:3" x14ac:dyDescent="0.25">
      <c r="C13955" s="26">
        <v>13953</v>
      </c>
    </row>
    <row r="13956" spans="3:3" x14ac:dyDescent="0.25">
      <c r="C13956" s="26">
        <v>13954</v>
      </c>
    </row>
    <row r="13957" spans="3:3" x14ac:dyDescent="0.25">
      <c r="C13957" s="26">
        <v>13955</v>
      </c>
    </row>
    <row r="13958" spans="3:3" x14ac:dyDescent="0.25">
      <c r="C13958" s="26">
        <v>13956</v>
      </c>
    </row>
    <row r="13959" spans="3:3" x14ac:dyDescent="0.25">
      <c r="C13959" s="26">
        <v>13957</v>
      </c>
    </row>
    <row r="13960" spans="3:3" x14ac:dyDescent="0.25">
      <c r="C13960" s="26">
        <v>13958</v>
      </c>
    </row>
    <row r="13961" spans="3:3" x14ac:dyDescent="0.25">
      <c r="C13961" s="26">
        <v>13959</v>
      </c>
    </row>
    <row r="13962" spans="3:3" x14ac:dyDescent="0.25">
      <c r="C13962" s="26">
        <v>13960</v>
      </c>
    </row>
    <row r="13963" spans="3:3" x14ac:dyDescent="0.25">
      <c r="C13963" s="26">
        <v>13961</v>
      </c>
    </row>
    <row r="13964" spans="3:3" x14ac:dyDescent="0.25">
      <c r="C13964" s="26">
        <v>13962</v>
      </c>
    </row>
    <row r="13965" spans="3:3" x14ac:dyDescent="0.25">
      <c r="C13965" s="26">
        <v>13963</v>
      </c>
    </row>
    <row r="13966" spans="3:3" x14ac:dyDescent="0.25">
      <c r="C13966" s="26">
        <v>13964</v>
      </c>
    </row>
    <row r="13967" spans="3:3" x14ac:dyDescent="0.25">
      <c r="C13967" s="26">
        <v>13965</v>
      </c>
    </row>
    <row r="13968" spans="3:3" x14ac:dyDescent="0.25">
      <c r="C13968" s="26">
        <v>13966</v>
      </c>
    </row>
    <row r="13969" spans="3:3" x14ac:dyDescent="0.25">
      <c r="C13969" s="26">
        <v>13967</v>
      </c>
    </row>
    <row r="13970" spans="3:3" x14ac:dyDescent="0.25">
      <c r="C13970" s="26">
        <v>13968</v>
      </c>
    </row>
    <row r="13971" spans="3:3" x14ac:dyDescent="0.25">
      <c r="C13971" s="26">
        <v>13969</v>
      </c>
    </row>
    <row r="13972" spans="3:3" x14ac:dyDescent="0.25">
      <c r="C13972" s="26">
        <v>13970</v>
      </c>
    </row>
    <row r="13973" spans="3:3" x14ac:dyDescent="0.25">
      <c r="C13973" s="26">
        <v>13971</v>
      </c>
    </row>
    <row r="13974" spans="3:3" x14ac:dyDescent="0.25">
      <c r="C13974" s="26">
        <v>13972</v>
      </c>
    </row>
    <row r="13975" spans="3:3" x14ac:dyDescent="0.25">
      <c r="C13975" s="26">
        <v>13973</v>
      </c>
    </row>
    <row r="13976" spans="3:3" x14ac:dyDescent="0.25">
      <c r="C13976" s="26">
        <v>13974</v>
      </c>
    </row>
    <row r="13977" spans="3:3" x14ac:dyDescent="0.25">
      <c r="C13977" s="26">
        <v>13975</v>
      </c>
    </row>
    <row r="13978" spans="3:3" x14ac:dyDescent="0.25">
      <c r="C13978" s="26">
        <v>13976</v>
      </c>
    </row>
    <row r="13979" spans="3:3" x14ac:dyDescent="0.25">
      <c r="C13979" s="26">
        <v>13977</v>
      </c>
    </row>
    <row r="13980" spans="3:3" x14ac:dyDescent="0.25">
      <c r="C13980" s="26">
        <v>13978</v>
      </c>
    </row>
    <row r="13981" spans="3:3" x14ac:dyDescent="0.25">
      <c r="C13981" s="26">
        <v>13979</v>
      </c>
    </row>
    <row r="13982" spans="3:3" x14ac:dyDescent="0.25">
      <c r="C13982" s="26">
        <v>13980</v>
      </c>
    </row>
    <row r="13983" spans="3:3" x14ac:dyDescent="0.25">
      <c r="C13983" s="26">
        <v>13981</v>
      </c>
    </row>
    <row r="13984" spans="3:3" x14ac:dyDescent="0.25">
      <c r="C13984" s="26">
        <v>13982</v>
      </c>
    </row>
    <row r="13985" spans="3:3" x14ac:dyDescent="0.25">
      <c r="C13985" s="26">
        <v>13983</v>
      </c>
    </row>
    <row r="13986" spans="3:3" x14ac:dyDescent="0.25">
      <c r="C13986" s="26">
        <v>13984</v>
      </c>
    </row>
    <row r="13987" spans="3:3" x14ac:dyDescent="0.25">
      <c r="C13987" s="26">
        <v>13985</v>
      </c>
    </row>
    <row r="13988" spans="3:3" x14ac:dyDescent="0.25">
      <c r="C13988" s="26">
        <v>13986</v>
      </c>
    </row>
    <row r="13989" spans="3:3" x14ac:dyDescent="0.25">
      <c r="C13989" s="26">
        <v>13987</v>
      </c>
    </row>
    <row r="13990" spans="3:3" x14ac:dyDescent="0.25">
      <c r="C13990" s="26">
        <v>13988</v>
      </c>
    </row>
    <row r="13991" spans="3:3" x14ac:dyDescent="0.25">
      <c r="C13991" s="26">
        <v>13989</v>
      </c>
    </row>
    <row r="13992" spans="3:3" x14ac:dyDescent="0.25">
      <c r="C13992" s="26">
        <v>13990</v>
      </c>
    </row>
    <row r="13993" spans="3:3" x14ac:dyDescent="0.25">
      <c r="C13993" s="26">
        <v>13991</v>
      </c>
    </row>
    <row r="13994" spans="3:3" x14ac:dyDescent="0.25">
      <c r="C13994" s="26">
        <v>13992</v>
      </c>
    </row>
    <row r="13995" spans="3:3" x14ac:dyDescent="0.25">
      <c r="C13995" s="26">
        <v>13993</v>
      </c>
    </row>
    <row r="13996" spans="3:3" x14ac:dyDescent="0.25">
      <c r="C13996" s="26">
        <v>13994</v>
      </c>
    </row>
    <row r="13997" spans="3:3" x14ac:dyDescent="0.25">
      <c r="C13997" s="26">
        <v>13995</v>
      </c>
    </row>
    <row r="13998" spans="3:3" x14ac:dyDescent="0.25">
      <c r="C13998" s="26">
        <v>13996</v>
      </c>
    </row>
    <row r="13999" spans="3:3" x14ac:dyDescent="0.25">
      <c r="C13999" s="26">
        <v>13997</v>
      </c>
    </row>
    <row r="14000" spans="3:3" x14ac:dyDescent="0.25">
      <c r="C14000" s="26">
        <v>13998</v>
      </c>
    </row>
    <row r="14001" spans="3:3" x14ac:dyDescent="0.25">
      <c r="C14001" s="26">
        <v>13999</v>
      </c>
    </row>
    <row r="14002" spans="3:3" x14ac:dyDescent="0.25">
      <c r="C14002" s="26">
        <v>14000</v>
      </c>
    </row>
    <row r="14003" spans="3:3" x14ac:dyDescent="0.25">
      <c r="C14003" s="26">
        <v>14001</v>
      </c>
    </row>
    <row r="14004" spans="3:3" x14ac:dyDescent="0.25">
      <c r="C14004" s="26">
        <v>14002</v>
      </c>
    </row>
    <row r="14005" spans="3:3" x14ac:dyDescent="0.25">
      <c r="C14005" s="26">
        <v>14003</v>
      </c>
    </row>
    <row r="14006" spans="3:3" x14ac:dyDescent="0.25">
      <c r="C14006" s="26">
        <v>14004</v>
      </c>
    </row>
    <row r="14007" spans="3:3" x14ac:dyDescent="0.25">
      <c r="C14007" s="26">
        <v>14005</v>
      </c>
    </row>
    <row r="14008" spans="3:3" x14ac:dyDescent="0.25">
      <c r="C14008" s="26">
        <v>14006</v>
      </c>
    </row>
    <row r="14009" spans="3:3" x14ac:dyDescent="0.25">
      <c r="C14009" s="26">
        <v>14007</v>
      </c>
    </row>
    <row r="14010" spans="3:3" x14ac:dyDescent="0.25">
      <c r="C14010" s="26">
        <v>14008</v>
      </c>
    </row>
    <row r="14011" spans="3:3" x14ac:dyDescent="0.25">
      <c r="C14011" s="26">
        <v>14009</v>
      </c>
    </row>
    <row r="14012" spans="3:3" x14ac:dyDescent="0.25">
      <c r="C14012" s="26">
        <v>14010</v>
      </c>
    </row>
    <row r="14013" spans="3:3" x14ac:dyDescent="0.25">
      <c r="C14013" s="26">
        <v>14011</v>
      </c>
    </row>
    <row r="14014" spans="3:3" x14ac:dyDescent="0.25">
      <c r="C14014" s="26">
        <v>14012</v>
      </c>
    </row>
    <row r="14015" spans="3:3" x14ac:dyDescent="0.25">
      <c r="C14015" s="26">
        <v>14013</v>
      </c>
    </row>
    <row r="14016" spans="3:3" x14ac:dyDescent="0.25">
      <c r="C14016" s="26">
        <v>14014</v>
      </c>
    </row>
    <row r="14017" spans="3:3" x14ac:dyDescent="0.25">
      <c r="C14017" s="26">
        <v>14015</v>
      </c>
    </row>
    <row r="14018" spans="3:3" x14ac:dyDescent="0.25">
      <c r="C14018" s="26">
        <v>14016</v>
      </c>
    </row>
    <row r="14019" spans="3:3" x14ac:dyDescent="0.25">
      <c r="C14019" s="26">
        <v>14017</v>
      </c>
    </row>
    <row r="14020" spans="3:3" x14ac:dyDescent="0.25">
      <c r="C14020" s="26">
        <v>14018</v>
      </c>
    </row>
    <row r="14021" spans="3:3" x14ac:dyDescent="0.25">
      <c r="C14021" s="26">
        <v>14019</v>
      </c>
    </row>
    <row r="14022" spans="3:3" x14ac:dyDescent="0.25">
      <c r="C14022" s="26">
        <v>14020</v>
      </c>
    </row>
    <row r="14023" spans="3:3" x14ac:dyDescent="0.25">
      <c r="C14023" s="26">
        <v>14021</v>
      </c>
    </row>
    <row r="14024" spans="3:3" x14ac:dyDescent="0.25">
      <c r="C14024" s="26">
        <v>14022</v>
      </c>
    </row>
    <row r="14025" spans="3:3" x14ac:dyDescent="0.25">
      <c r="C14025" s="26">
        <v>14023</v>
      </c>
    </row>
    <row r="14026" spans="3:3" x14ac:dyDescent="0.25">
      <c r="C14026" s="26">
        <v>14024</v>
      </c>
    </row>
    <row r="14027" spans="3:3" x14ac:dyDescent="0.25">
      <c r="C14027" s="26">
        <v>14025</v>
      </c>
    </row>
    <row r="14028" spans="3:3" x14ac:dyDescent="0.25">
      <c r="C14028" s="26">
        <v>14026</v>
      </c>
    </row>
    <row r="14029" spans="3:3" x14ac:dyDescent="0.25">
      <c r="C14029" s="26">
        <v>14027</v>
      </c>
    </row>
    <row r="14030" spans="3:3" x14ac:dyDescent="0.25">
      <c r="C14030" s="26">
        <v>14028</v>
      </c>
    </row>
    <row r="14031" spans="3:3" x14ac:dyDescent="0.25">
      <c r="C14031" s="26">
        <v>14029</v>
      </c>
    </row>
    <row r="14032" spans="3:3" x14ac:dyDescent="0.25">
      <c r="C14032" s="26">
        <v>14030</v>
      </c>
    </row>
    <row r="14033" spans="3:3" x14ac:dyDescent="0.25">
      <c r="C14033" s="26">
        <v>14031</v>
      </c>
    </row>
    <row r="14034" spans="3:3" x14ac:dyDescent="0.25">
      <c r="C14034" s="26">
        <v>14032</v>
      </c>
    </row>
    <row r="14035" spans="3:3" x14ac:dyDescent="0.25">
      <c r="C14035" s="26">
        <v>14033</v>
      </c>
    </row>
    <row r="14036" spans="3:3" x14ac:dyDescent="0.25">
      <c r="C14036" s="26">
        <v>14034</v>
      </c>
    </row>
    <row r="14037" spans="3:3" x14ac:dyDescent="0.25">
      <c r="C14037" s="26">
        <v>14035</v>
      </c>
    </row>
    <row r="14038" spans="3:3" x14ac:dyDescent="0.25">
      <c r="C14038" s="26">
        <v>14036</v>
      </c>
    </row>
    <row r="14039" spans="3:3" x14ac:dyDescent="0.25">
      <c r="C14039" s="26">
        <v>14037</v>
      </c>
    </row>
    <row r="14040" spans="3:3" x14ac:dyDescent="0.25">
      <c r="C14040" s="26">
        <v>14038</v>
      </c>
    </row>
    <row r="14041" spans="3:3" x14ac:dyDescent="0.25">
      <c r="C14041" s="26">
        <v>14039</v>
      </c>
    </row>
    <row r="14042" spans="3:3" x14ac:dyDescent="0.25">
      <c r="C14042" s="26">
        <v>14040</v>
      </c>
    </row>
    <row r="14043" spans="3:3" x14ac:dyDescent="0.25">
      <c r="C14043" s="26">
        <v>14041</v>
      </c>
    </row>
    <row r="14044" spans="3:3" x14ac:dyDescent="0.25">
      <c r="C14044" s="26">
        <v>14042</v>
      </c>
    </row>
    <row r="14045" spans="3:3" x14ac:dyDescent="0.25">
      <c r="C14045" s="26">
        <v>14043</v>
      </c>
    </row>
    <row r="14046" spans="3:3" x14ac:dyDescent="0.25">
      <c r="C14046" s="26">
        <v>14044</v>
      </c>
    </row>
    <row r="14047" spans="3:3" x14ac:dyDescent="0.25">
      <c r="C14047" s="26">
        <v>14045</v>
      </c>
    </row>
    <row r="14048" spans="3:3" x14ac:dyDescent="0.25">
      <c r="C14048" s="26">
        <v>14046</v>
      </c>
    </row>
    <row r="14049" spans="3:3" x14ac:dyDescent="0.25">
      <c r="C14049" s="26">
        <v>14047</v>
      </c>
    </row>
    <row r="14050" spans="3:3" x14ac:dyDescent="0.25">
      <c r="C14050" s="26">
        <v>14048</v>
      </c>
    </row>
    <row r="14051" spans="3:3" x14ac:dyDescent="0.25">
      <c r="C14051" s="26">
        <v>14049</v>
      </c>
    </row>
    <row r="14052" spans="3:3" x14ac:dyDescent="0.25">
      <c r="C14052" s="26">
        <v>14050</v>
      </c>
    </row>
    <row r="14053" spans="3:3" x14ac:dyDescent="0.25">
      <c r="C14053" s="26">
        <v>14051</v>
      </c>
    </row>
    <row r="14054" spans="3:3" x14ac:dyDescent="0.25">
      <c r="C14054" s="26">
        <v>14052</v>
      </c>
    </row>
    <row r="14055" spans="3:3" x14ac:dyDescent="0.25">
      <c r="C14055" s="26">
        <v>14053</v>
      </c>
    </row>
    <row r="14056" spans="3:3" x14ac:dyDescent="0.25">
      <c r="C14056" s="26">
        <v>14054</v>
      </c>
    </row>
    <row r="14057" spans="3:3" x14ac:dyDescent="0.25">
      <c r="C14057" s="26">
        <v>14055</v>
      </c>
    </row>
    <row r="14058" spans="3:3" x14ac:dyDescent="0.25">
      <c r="C14058" s="26">
        <v>14056</v>
      </c>
    </row>
    <row r="14059" spans="3:3" x14ac:dyDescent="0.25">
      <c r="C14059" s="26">
        <v>14057</v>
      </c>
    </row>
    <row r="14060" spans="3:3" x14ac:dyDescent="0.25">
      <c r="C14060" s="26">
        <v>14058</v>
      </c>
    </row>
    <row r="14061" spans="3:3" x14ac:dyDescent="0.25">
      <c r="C14061" s="26">
        <v>14059</v>
      </c>
    </row>
    <row r="14062" spans="3:3" x14ac:dyDescent="0.25">
      <c r="C14062" s="26">
        <v>14060</v>
      </c>
    </row>
    <row r="14063" spans="3:3" x14ac:dyDescent="0.25">
      <c r="C14063" s="26">
        <v>14061</v>
      </c>
    </row>
    <row r="14064" spans="3:3" x14ac:dyDescent="0.25">
      <c r="C14064" s="26">
        <v>14062</v>
      </c>
    </row>
    <row r="14065" spans="3:3" x14ac:dyDescent="0.25">
      <c r="C14065" s="26">
        <v>14063</v>
      </c>
    </row>
    <row r="14066" spans="3:3" x14ac:dyDescent="0.25">
      <c r="C14066" s="26">
        <v>14064</v>
      </c>
    </row>
    <row r="14067" spans="3:3" x14ac:dyDescent="0.25">
      <c r="C14067" s="26">
        <v>14065</v>
      </c>
    </row>
    <row r="14068" spans="3:3" x14ac:dyDescent="0.25">
      <c r="C14068" s="26">
        <v>14066</v>
      </c>
    </row>
    <row r="14069" spans="3:3" x14ac:dyDescent="0.25">
      <c r="C14069" s="26">
        <v>14067</v>
      </c>
    </row>
    <row r="14070" spans="3:3" x14ac:dyDescent="0.25">
      <c r="C14070" s="26">
        <v>14068</v>
      </c>
    </row>
    <row r="14071" spans="3:3" x14ac:dyDescent="0.25">
      <c r="C14071" s="26">
        <v>14069</v>
      </c>
    </row>
    <row r="14072" spans="3:3" x14ac:dyDescent="0.25">
      <c r="C14072" s="26">
        <v>14070</v>
      </c>
    </row>
    <row r="14073" spans="3:3" x14ac:dyDescent="0.25">
      <c r="C14073" s="26">
        <v>14071</v>
      </c>
    </row>
    <row r="14074" spans="3:3" x14ac:dyDescent="0.25">
      <c r="C14074" s="26">
        <v>14072</v>
      </c>
    </row>
    <row r="14075" spans="3:3" x14ac:dyDescent="0.25">
      <c r="C14075" s="26">
        <v>14073</v>
      </c>
    </row>
    <row r="14076" spans="3:3" x14ac:dyDescent="0.25">
      <c r="C14076" s="26">
        <v>14074</v>
      </c>
    </row>
    <row r="14077" spans="3:3" x14ac:dyDescent="0.25">
      <c r="C14077" s="26">
        <v>14075</v>
      </c>
    </row>
    <row r="14078" spans="3:3" x14ac:dyDescent="0.25">
      <c r="C14078" s="26">
        <v>14076</v>
      </c>
    </row>
    <row r="14079" spans="3:3" x14ac:dyDescent="0.25">
      <c r="C14079" s="26">
        <v>14077</v>
      </c>
    </row>
    <row r="14080" spans="3:3" x14ac:dyDescent="0.25">
      <c r="C14080" s="26">
        <v>14078</v>
      </c>
    </row>
    <row r="14081" spans="3:3" x14ac:dyDescent="0.25">
      <c r="C14081" s="26">
        <v>14079</v>
      </c>
    </row>
    <row r="14082" spans="3:3" x14ac:dyDescent="0.25">
      <c r="C14082" s="26">
        <v>14080</v>
      </c>
    </row>
    <row r="14083" spans="3:3" x14ac:dyDescent="0.25">
      <c r="C14083" s="26">
        <v>14081</v>
      </c>
    </row>
    <row r="14084" spans="3:3" x14ac:dyDescent="0.25">
      <c r="C14084" s="26">
        <v>14082</v>
      </c>
    </row>
    <row r="14085" spans="3:3" x14ac:dyDescent="0.25">
      <c r="C14085" s="26">
        <v>14083</v>
      </c>
    </row>
    <row r="14086" spans="3:3" x14ac:dyDescent="0.25">
      <c r="C14086" s="26">
        <v>14084</v>
      </c>
    </row>
    <row r="14087" spans="3:3" x14ac:dyDescent="0.25">
      <c r="C14087" s="26">
        <v>14085</v>
      </c>
    </row>
    <row r="14088" spans="3:3" x14ac:dyDescent="0.25">
      <c r="C14088" s="26">
        <v>14086</v>
      </c>
    </row>
    <row r="14089" spans="3:3" x14ac:dyDescent="0.25">
      <c r="C14089" s="26">
        <v>14087</v>
      </c>
    </row>
    <row r="14090" spans="3:3" x14ac:dyDescent="0.25">
      <c r="C14090" s="26">
        <v>14088</v>
      </c>
    </row>
    <row r="14091" spans="3:3" x14ac:dyDescent="0.25">
      <c r="C14091" s="26">
        <v>14089</v>
      </c>
    </row>
    <row r="14092" spans="3:3" x14ac:dyDescent="0.25">
      <c r="C14092" s="26">
        <v>14090</v>
      </c>
    </row>
    <row r="14093" spans="3:3" x14ac:dyDescent="0.25">
      <c r="C14093" s="26">
        <v>14091</v>
      </c>
    </row>
    <row r="14094" spans="3:3" x14ac:dyDescent="0.25">
      <c r="C14094" s="26">
        <v>14092</v>
      </c>
    </row>
    <row r="14095" spans="3:3" x14ac:dyDescent="0.25">
      <c r="C14095" s="26">
        <v>14093</v>
      </c>
    </row>
    <row r="14096" spans="3:3" x14ac:dyDescent="0.25">
      <c r="C14096" s="26">
        <v>14094</v>
      </c>
    </row>
    <row r="14097" spans="3:3" x14ac:dyDescent="0.25">
      <c r="C14097" s="26">
        <v>14095</v>
      </c>
    </row>
    <row r="14098" spans="3:3" x14ac:dyDescent="0.25">
      <c r="C14098" s="26">
        <v>14096</v>
      </c>
    </row>
    <row r="14099" spans="3:3" x14ac:dyDescent="0.25">
      <c r="C14099" s="26">
        <v>14097</v>
      </c>
    </row>
    <row r="14100" spans="3:3" x14ac:dyDescent="0.25">
      <c r="C14100" s="26">
        <v>14098</v>
      </c>
    </row>
    <row r="14101" spans="3:3" x14ac:dyDescent="0.25">
      <c r="C14101" s="26">
        <v>14099</v>
      </c>
    </row>
    <row r="14102" spans="3:3" x14ac:dyDescent="0.25">
      <c r="C14102" s="26">
        <v>14100</v>
      </c>
    </row>
    <row r="14103" spans="3:3" x14ac:dyDescent="0.25">
      <c r="C14103" s="26">
        <v>14101</v>
      </c>
    </row>
    <row r="14104" spans="3:3" x14ac:dyDescent="0.25">
      <c r="C14104" s="26">
        <v>14102</v>
      </c>
    </row>
    <row r="14105" spans="3:3" x14ac:dyDescent="0.25">
      <c r="C14105" s="26">
        <v>14103</v>
      </c>
    </row>
    <row r="14106" spans="3:3" x14ac:dyDescent="0.25">
      <c r="C14106" s="26">
        <v>14104</v>
      </c>
    </row>
    <row r="14107" spans="3:3" x14ac:dyDescent="0.25">
      <c r="C14107" s="26">
        <v>14105</v>
      </c>
    </row>
    <row r="14108" spans="3:3" x14ac:dyDescent="0.25">
      <c r="C14108" s="26">
        <v>14106</v>
      </c>
    </row>
    <row r="14109" spans="3:3" x14ac:dyDescent="0.25">
      <c r="C14109" s="26">
        <v>14107</v>
      </c>
    </row>
    <row r="14110" spans="3:3" x14ac:dyDescent="0.25">
      <c r="C14110" s="26">
        <v>14108</v>
      </c>
    </row>
    <row r="14111" spans="3:3" x14ac:dyDescent="0.25">
      <c r="C14111" s="26">
        <v>14109</v>
      </c>
    </row>
    <row r="14112" spans="3:3" x14ac:dyDescent="0.25">
      <c r="C14112" s="26">
        <v>14110</v>
      </c>
    </row>
    <row r="14113" spans="3:3" x14ac:dyDescent="0.25">
      <c r="C14113" s="26">
        <v>14111</v>
      </c>
    </row>
    <row r="14114" spans="3:3" x14ac:dyDescent="0.25">
      <c r="C14114" s="26">
        <v>14112</v>
      </c>
    </row>
    <row r="14115" spans="3:3" x14ac:dyDescent="0.25">
      <c r="C14115" s="26">
        <v>14113</v>
      </c>
    </row>
    <row r="14116" spans="3:3" x14ac:dyDescent="0.25">
      <c r="C14116" s="26">
        <v>14114</v>
      </c>
    </row>
    <row r="14117" spans="3:3" x14ac:dyDescent="0.25">
      <c r="C14117" s="26">
        <v>14115</v>
      </c>
    </row>
    <row r="14118" spans="3:3" x14ac:dyDescent="0.25">
      <c r="C14118" s="26">
        <v>14116</v>
      </c>
    </row>
    <row r="14119" spans="3:3" x14ac:dyDescent="0.25">
      <c r="C14119" s="26">
        <v>14117</v>
      </c>
    </row>
    <row r="14120" spans="3:3" x14ac:dyDescent="0.25">
      <c r="C14120" s="26">
        <v>14118</v>
      </c>
    </row>
    <row r="14121" spans="3:3" x14ac:dyDescent="0.25">
      <c r="C14121" s="26">
        <v>14119</v>
      </c>
    </row>
    <row r="14122" spans="3:3" x14ac:dyDescent="0.25">
      <c r="C14122" s="26">
        <v>14120</v>
      </c>
    </row>
    <row r="14123" spans="3:3" x14ac:dyDescent="0.25">
      <c r="C14123" s="26">
        <v>14121</v>
      </c>
    </row>
    <row r="14124" spans="3:3" x14ac:dyDescent="0.25">
      <c r="C14124" s="26">
        <v>14122</v>
      </c>
    </row>
    <row r="14125" spans="3:3" x14ac:dyDescent="0.25">
      <c r="C14125" s="26">
        <v>14123</v>
      </c>
    </row>
    <row r="14126" spans="3:3" x14ac:dyDescent="0.25">
      <c r="C14126" s="26">
        <v>14124</v>
      </c>
    </row>
    <row r="14127" spans="3:3" x14ac:dyDescent="0.25">
      <c r="C14127" s="26">
        <v>14125</v>
      </c>
    </row>
    <row r="14128" spans="3:3" x14ac:dyDescent="0.25">
      <c r="C14128" s="26">
        <v>14126</v>
      </c>
    </row>
    <row r="14129" spans="3:3" x14ac:dyDescent="0.25">
      <c r="C14129" s="26">
        <v>14127</v>
      </c>
    </row>
    <row r="14130" spans="3:3" x14ac:dyDescent="0.25">
      <c r="C14130" s="26">
        <v>14128</v>
      </c>
    </row>
    <row r="14131" spans="3:3" x14ac:dyDescent="0.25">
      <c r="C14131" s="26">
        <v>14129</v>
      </c>
    </row>
    <row r="14132" spans="3:3" x14ac:dyDescent="0.25">
      <c r="C14132" s="26">
        <v>14130</v>
      </c>
    </row>
    <row r="14133" spans="3:3" x14ac:dyDescent="0.25">
      <c r="C14133" s="26">
        <v>14131</v>
      </c>
    </row>
    <row r="14134" spans="3:3" x14ac:dyDescent="0.25">
      <c r="C14134" s="26">
        <v>14132</v>
      </c>
    </row>
    <row r="14135" spans="3:3" x14ac:dyDescent="0.25">
      <c r="C14135" s="26">
        <v>14133</v>
      </c>
    </row>
    <row r="14136" spans="3:3" x14ac:dyDescent="0.25">
      <c r="C14136" s="26">
        <v>14134</v>
      </c>
    </row>
    <row r="14137" spans="3:3" x14ac:dyDescent="0.25">
      <c r="C14137" s="26">
        <v>14135</v>
      </c>
    </row>
    <row r="14138" spans="3:3" x14ac:dyDescent="0.25">
      <c r="C14138" s="26">
        <v>14136</v>
      </c>
    </row>
    <row r="14139" spans="3:3" x14ac:dyDescent="0.25">
      <c r="C14139" s="26">
        <v>14137</v>
      </c>
    </row>
    <row r="14140" spans="3:3" x14ac:dyDescent="0.25">
      <c r="C14140" s="26">
        <v>14138</v>
      </c>
    </row>
    <row r="14141" spans="3:3" x14ac:dyDescent="0.25">
      <c r="C14141" s="26">
        <v>14139</v>
      </c>
    </row>
    <row r="14142" spans="3:3" x14ac:dyDescent="0.25">
      <c r="C14142" s="26">
        <v>14140</v>
      </c>
    </row>
    <row r="14143" spans="3:3" x14ac:dyDescent="0.25">
      <c r="C14143" s="26">
        <v>14141</v>
      </c>
    </row>
    <row r="14144" spans="3:3" x14ac:dyDescent="0.25">
      <c r="C14144" s="26">
        <v>14142</v>
      </c>
    </row>
    <row r="14145" spans="3:3" x14ac:dyDescent="0.25">
      <c r="C14145" s="26">
        <v>14143</v>
      </c>
    </row>
    <row r="14146" spans="3:3" x14ac:dyDescent="0.25">
      <c r="C14146" s="26">
        <v>14144</v>
      </c>
    </row>
    <row r="14147" spans="3:3" x14ac:dyDescent="0.25">
      <c r="C14147" s="26">
        <v>14145</v>
      </c>
    </row>
    <row r="14148" spans="3:3" x14ac:dyDescent="0.25">
      <c r="C14148" s="26">
        <v>14146</v>
      </c>
    </row>
    <row r="14149" spans="3:3" x14ac:dyDescent="0.25">
      <c r="C14149" s="26">
        <v>14147</v>
      </c>
    </row>
    <row r="14150" spans="3:3" x14ac:dyDescent="0.25">
      <c r="C14150" s="26">
        <v>14148</v>
      </c>
    </row>
    <row r="14151" spans="3:3" x14ac:dyDescent="0.25">
      <c r="C14151" s="26">
        <v>14149</v>
      </c>
    </row>
    <row r="14152" spans="3:3" x14ac:dyDescent="0.25">
      <c r="C14152" s="26">
        <v>14150</v>
      </c>
    </row>
    <row r="14153" spans="3:3" x14ac:dyDescent="0.25">
      <c r="C14153" s="26">
        <v>14151</v>
      </c>
    </row>
    <row r="14154" spans="3:3" x14ac:dyDescent="0.25">
      <c r="C14154" s="26">
        <v>14152</v>
      </c>
    </row>
    <row r="14155" spans="3:3" x14ac:dyDescent="0.25">
      <c r="C14155" s="26">
        <v>14153</v>
      </c>
    </row>
    <row r="14156" spans="3:3" x14ac:dyDescent="0.25">
      <c r="C14156" s="26">
        <v>14154</v>
      </c>
    </row>
    <row r="14157" spans="3:3" x14ac:dyDescent="0.25">
      <c r="C14157" s="26">
        <v>14155</v>
      </c>
    </row>
    <row r="14158" spans="3:3" x14ac:dyDescent="0.25">
      <c r="C14158" s="26">
        <v>14156</v>
      </c>
    </row>
    <row r="14159" spans="3:3" x14ac:dyDescent="0.25">
      <c r="C14159" s="26">
        <v>14157</v>
      </c>
    </row>
    <row r="14160" spans="3:3" x14ac:dyDescent="0.25">
      <c r="C14160" s="26">
        <v>14158</v>
      </c>
    </row>
    <row r="14161" spans="3:3" x14ac:dyDescent="0.25">
      <c r="C14161" s="26">
        <v>14159</v>
      </c>
    </row>
    <row r="14162" spans="3:3" x14ac:dyDescent="0.25">
      <c r="C14162" s="26">
        <v>14160</v>
      </c>
    </row>
    <row r="14163" spans="3:3" x14ac:dyDescent="0.25">
      <c r="C14163" s="26">
        <v>14161</v>
      </c>
    </row>
    <row r="14164" spans="3:3" x14ac:dyDescent="0.25">
      <c r="C14164" s="26">
        <v>14162</v>
      </c>
    </row>
    <row r="14165" spans="3:3" x14ac:dyDescent="0.25">
      <c r="C14165" s="26">
        <v>14163</v>
      </c>
    </row>
    <row r="14166" spans="3:3" x14ac:dyDescent="0.25">
      <c r="C14166" s="26">
        <v>14164</v>
      </c>
    </row>
    <row r="14167" spans="3:3" x14ac:dyDescent="0.25">
      <c r="C14167" s="26">
        <v>14165</v>
      </c>
    </row>
    <row r="14168" spans="3:3" x14ac:dyDescent="0.25">
      <c r="C14168" s="26">
        <v>14166</v>
      </c>
    </row>
    <row r="14169" spans="3:3" x14ac:dyDescent="0.25">
      <c r="C14169" s="26">
        <v>14167</v>
      </c>
    </row>
    <row r="14170" spans="3:3" x14ac:dyDescent="0.25">
      <c r="C14170" s="26">
        <v>14168</v>
      </c>
    </row>
    <row r="14171" spans="3:3" x14ac:dyDescent="0.25">
      <c r="C14171" s="26">
        <v>14169</v>
      </c>
    </row>
    <row r="14172" spans="3:3" x14ac:dyDescent="0.25">
      <c r="C14172" s="26">
        <v>14170</v>
      </c>
    </row>
    <row r="14173" spans="3:3" x14ac:dyDescent="0.25">
      <c r="C14173" s="26">
        <v>14171</v>
      </c>
    </row>
    <row r="14174" spans="3:3" x14ac:dyDescent="0.25">
      <c r="C14174" s="26">
        <v>14172</v>
      </c>
    </row>
    <row r="14175" spans="3:3" x14ac:dyDescent="0.25">
      <c r="C14175" s="26">
        <v>14173</v>
      </c>
    </row>
    <row r="14176" spans="3:3" x14ac:dyDescent="0.25">
      <c r="C14176" s="26">
        <v>14174</v>
      </c>
    </row>
    <row r="14177" spans="3:3" x14ac:dyDescent="0.25">
      <c r="C14177" s="26">
        <v>14175</v>
      </c>
    </row>
    <row r="14178" spans="3:3" x14ac:dyDescent="0.25">
      <c r="C14178" s="26">
        <v>14176</v>
      </c>
    </row>
    <row r="14179" spans="3:3" x14ac:dyDescent="0.25">
      <c r="C14179" s="26">
        <v>14177</v>
      </c>
    </row>
    <row r="14180" spans="3:3" x14ac:dyDescent="0.25">
      <c r="C14180" s="26">
        <v>14178</v>
      </c>
    </row>
    <row r="14181" spans="3:3" x14ac:dyDescent="0.25">
      <c r="C14181" s="26">
        <v>14179</v>
      </c>
    </row>
    <row r="14182" spans="3:3" x14ac:dyDescent="0.25">
      <c r="C14182" s="26">
        <v>14180</v>
      </c>
    </row>
    <row r="14183" spans="3:3" x14ac:dyDescent="0.25">
      <c r="C14183" s="26">
        <v>14181</v>
      </c>
    </row>
    <row r="14184" spans="3:3" x14ac:dyDescent="0.25">
      <c r="C14184" s="26">
        <v>14182</v>
      </c>
    </row>
    <row r="14185" spans="3:3" x14ac:dyDescent="0.25">
      <c r="C14185" s="26">
        <v>14183</v>
      </c>
    </row>
    <row r="14186" spans="3:3" x14ac:dyDescent="0.25">
      <c r="C14186" s="26">
        <v>14184</v>
      </c>
    </row>
    <row r="14187" spans="3:3" x14ac:dyDescent="0.25">
      <c r="C14187" s="26">
        <v>14185</v>
      </c>
    </row>
    <row r="14188" spans="3:3" x14ac:dyDescent="0.25">
      <c r="C14188" s="26">
        <v>14186</v>
      </c>
    </row>
    <row r="14189" spans="3:3" x14ac:dyDescent="0.25">
      <c r="C14189" s="26">
        <v>14187</v>
      </c>
    </row>
    <row r="14190" spans="3:3" x14ac:dyDescent="0.25">
      <c r="C14190" s="26">
        <v>14188</v>
      </c>
    </row>
    <row r="14191" spans="3:3" x14ac:dyDescent="0.25">
      <c r="C14191" s="26">
        <v>14189</v>
      </c>
    </row>
    <row r="14192" spans="3:3" x14ac:dyDescent="0.25">
      <c r="C14192" s="26">
        <v>14190</v>
      </c>
    </row>
    <row r="14193" spans="3:3" x14ac:dyDescent="0.25">
      <c r="C14193" s="26">
        <v>14191</v>
      </c>
    </row>
    <row r="14194" spans="3:3" x14ac:dyDescent="0.25">
      <c r="C14194" s="26">
        <v>14192</v>
      </c>
    </row>
    <row r="14195" spans="3:3" x14ac:dyDescent="0.25">
      <c r="C14195" s="26">
        <v>14193</v>
      </c>
    </row>
    <row r="14196" spans="3:3" x14ac:dyDescent="0.25">
      <c r="C14196" s="26">
        <v>14194</v>
      </c>
    </row>
    <row r="14197" spans="3:3" x14ac:dyDescent="0.25">
      <c r="C14197" s="26">
        <v>14195</v>
      </c>
    </row>
    <row r="14198" spans="3:3" x14ac:dyDescent="0.25">
      <c r="C14198" s="26">
        <v>14196</v>
      </c>
    </row>
    <row r="14199" spans="3:3" x14ac:dyDescent="0.25">
      <c r="C14199" s="26">
        <v>14197</v>
      </c>
    </row>
    <row r="14200" spans="3:3" x14ac:dyDescent="0.25">
      <c r="C14200" s="26">
        <v>14198</v>
      </c>
    </row>
    <row r="14201" spans="3:3" x14ac:dyDescent="0.25">
      <c r="C14201" s="26">
        <v>14199</v>
      </c>
    </row>
    <row r="14202" spans="3:3" x14ac:dyDescent="0.25">
      <c r="C14202" s="26">
        <v>14200</v>
      </c>
    </row>
    <row r="14203" spans="3:3" x14ac:dyDescent="0.25">
      <c r="C14203" s="26">
        <v>14201</v>
      </c>
    </row>
    <row r="14204" spans="3:3" x14ac:dyDescent="0.25">
      <c r="C14204" s="26">
        <v>14202</v>
      </c>
    </row>
    <row r="14205" spans="3:3" x14ac:dyDescent="0.25">
      <c r="C14205" s="26">
        <v>14203</v>
      </c>
    </row>
    <row r="14206" spans="3:3" x14ac:dyDescent="0.25">
      <c r="C14206" s="26">
        <v>14204</v>
      </c>
    </row>
    <row r="14207" spans="3:3" x14ac:dyDescent="0.25">
      <c r="C14207" s="26">
        <v>14205</v>
      </c>
    </row>
    <row r="14208" spans="3:3" x14ac:dyDescent="0.25">
      <c r="C14208" s="26">
        <v>14206</v>
      </c>
    </row>
    <row r="14209" spans="3:3" x14ac:dyDescent="0.25">
      <c r="C14209" s="26">
        <v>14207</v>
      </c>
    </row>
    <row r="14210" spans="3:3" x14ac:dyDescent="0.25">
      <c r="C14210" s="26">
        <v>14208</v>
      </c>
    </row>
    <row r="14211" spans="3:3" x14ac:dyDescent="0.25">
      <c r="C14211" s="26">
        <v>14209</v>
      </c>
    </row>
    <row r="14212" spans="3:3" x14ac:dyDescent="0.25">
      <c r="C14212" s="26">
        <v>14210</v>
      </c>
    </row>
    <row r="14213" spans="3:3" x14ac:dyDescent="0.25">
      <c r="C14213" s="26">
        <v>14211</v>
      </c>
    </row>
    <row r="14214" spans="3:3" x14ac:dyDescent="0.25">
      <c r="C14214" s="26">
        <v>14212</v>
      </c>
    </row>
    <row r="14215" spans="3:3" x14ac:dyDescent="0.25">
      <c r="C14215" s="26">
        <v>14213</v>
      </c>
    </row>
    <row r="14216" spans="3:3" x14ac:dyDescent="0.25">
      <c r="C14216" s="26">
        <v>14214</v>
      </c>
    </row>
    <row r="14217" spans="3:3" x14ac:dyDescent="0.25">
      <c r="C14217" s="26">
        <v>14215</v>
      </c>
    </row>
    <row r="14218" spans="3:3" x14ac:dyDescent="0.25">
      <c r="C14218" s="26">
        <v>14216</v>
      </c>
    </row>
    <row r="14219" spans="3:3" x14ac:dyDescent="0.25">
      <c r="C14219" s="26">
        <v>14217</v>
      </c>
    </row>
    <row r="14220" spans="3:3" x14ac:dyDescent="0.25">
      <c r="C14220" s="26">
        <v>14218</v>
      </c>
    </row>
    <row r="14221" spans="3:3" x14ac:dyDescent="0.25">
      <c r="C14221" s="26">
        <v>14219</v>
      </c>
    </row>
    <row r="14222" spans="3:3" x14ac:dyDescent="0.25">
      <c r="C14222" s="26">
        <v>14220</v>
      </c>
    </row>
    <row r="14223" spans="3:3" x14ac:dyDescent="0.25">
      <c r="C14223" s="26">
        <v>14221</v>
      </c>
    </row>
    <row r="14224" spans="3:3" x14ac:dyDescent="0.25">
      <c r="C14224" s="26">
        <v>14222</v>
      </c>
    </row>
    <row r="14225" spans="3:3" x14ac:dyDescent="0.25">
      <c r="C14225" s="26">
        <v>14223</v>
      </c>
    </row>
    <row r="14226" spans="3:3" x14ac:dyDescent="0.25">
      <c r="C14226" s="26">
        <v>14224</v>
      </c>
    </row>
    <row r="14227" spans="3:3" x14ac:dyDescent="0.25">
      <c r="C14227" s="26">
        <v>14225</v>
      </c>
    </row>
    <row r="14228" spans="3:3" x14ac:dyDescent="0.25">
      <c r="C14228" s="26">
        <v>14226</v>
      </c>
    </row>
    <row r="14229" spans="3:3" x14ac:dyDescent="0.25">
      <c r="C14229" s="26">
        <v>14227</v>
      </c>
    </row>
    <row r="14230" spans="3:3" x14ac:dyDescent="0.25">
      <c r="C14230" s="26">
        <v>14228</v>
      </c>
    </row>
    <row r="14231" spans="3:3" x14ac:dyDescent="0.25">
      <c r="C14231" s="26">
        <v>14229</v>
      </c>
    </row>
    <row r="14232" spans="3:3" x14ac:dyDescent="0.25">
      <c r="C14232" s="26">
        <v>14230</v>
      </c>
    </row>
    <row r="14233" spans="3:3" x14ac:dyDescent="0.25">
      <c r="C14233" s="26">
        <v>14231</v>
      </c>
    </row>
    <row r="14234" spans="3:3" x14ac:dyDescent="0.25">
      <c r="C14234" s="26">
        <v>14232</v>
      </c>
    </row>
    <row r="14235" spans="3:3" x14ac:dyDescent="0.25">
      <c r="C14235" s="26">
        <v>14233</v>
      </c>
    </row>
    <row r="14236" spans="3:3" x14ac:dyDescent="0.25">
      <c r="C14236" s="26">
        <v>14234</v>
      </c>
    </row>
    <row r="14237" spans="3:3" x14ac:dyDescent="0.25">
      <c r="C14237" s="26">
        <v>14235</v>
      </c>
    </row>
    <row r="14238" spans="3:3" x14ac:dyDescent="0.25">
      <c r="C14238" s="26">
        <v>14236</v>
      </c>
    </row>
    <row r="14239" spans="3:3" x14ac:dyDescent="0.25">
      <c r="C14239" s="26">
        <v>14237</v>
      </c>
    </row>
    <row r="14240" spans="3:3" x14ac:dyDescent="0.25">
      <c r="C14240" s="26">
        <v>14238</v>
      </c>
    </row>
    <row r="14241" spans="3:3" x14ac:dyDescent="0.25">
      <c r="C14241" s="26">
        <v>14239</v>
      </c>
    </row>
    <row r="14242" spans="3:3" x14ac:dyDescent="0.25">
      <c r="C14242" s="26">
        <v>14240</v>
      </c>
    </row>
    <row r="14243" spans="3:3" x14ac:dyDescent="0.25">
      <c r="C14243" s="26">
        <v>14241</v>
      </c>
    </row>
    <row r="14244" spans="3:3" x14ac:dyDescent="0.25">
      <c r="C14244" s="26">
        <v>14242</v>
      </c>
    </row>
    <row r="14245" spans="3:3" x14ac:dyDescent="0.25">
      <c r="C14245" s="26">
        <v>14243</v>
      </c>
    </row>
    <row r="14246" spans="3:3" x14ac:dyDescent="0.25">
      <c r="C14246" s="26">
        <v>14244</v>
      </c>
    </row>
    <row r="14247" spans="3:3" x14ac:dyDescent="0.25">
      <c r="C14247" s="26">
        <v>14245</v>
      </c>
    </row>
    <row r="14248" spans="3:3" x14ac:dyDescent="0.25">
      <c r="C14248" s="26">
        <v>14246</v>
      </c>
    </row>
    <row r="14249" spans="3:3" x14ac:dyDescent="0.25">
      <c r="C14249" s="26">
        <v>14247</v>
      </c>
    </row>
    <row r="14250" spans="3:3" x14ac:dyDescent="0.25">
      <c r="C14250" s="26">
        <v>14248</v>
      </c>
    </row>
    <row r="14251" spans="3:3" x14ac:dyDescent="0.25">
      <c r="C14251" s="26">
        <v>14249</v>
      </c>
    </row>
    <row r="14252" spans="3:3" x14ac:dyDescent="0.25">
      <c r="C14252" s="26">
        <v>14250</v>
      </c>
    </row>
    <row r="14253" spans="3:3" x14ac:dyDescent="0.25">
      <c r="C14253" s="26">
        <v>14251</v>
      </c>
    </row>
    <row r="14254" spans="3:3" x14ac:dyDescent="0.25">
      <c r="C14254" s="26">
        <v>14252</v>
      </c>
    </row>
    <row r="14255" spans="3:3" x14ac:dyDescent="0.25">
      <c r="C14255" s="26">
        <v>14253</v>
      </c>
    </row>
    <row r="14256" spans="3:3" x14ac:dyDescent="0.25">
      <c r="C14256" s="26">
        <v>14254</v>
      </c>
    </row>
    <row r="14257" spans="3:3" x14ac:dyDescent="0.25">
      <c r="C14257" s="26">
        <v>14255</v>
      </c>
    </row>
    <row r="14258" spans="3:3" x14ac:dyDescent="0.25">
      <c r="C14258" s="26">
        <v>14256</v>
      </c>
    </row>
    <row r="14259" spans="3:3" x14ac:dyDescent="0.25">
      <c r="C14259" s="26">
        <v>14257</v>
      </c>
    </row>
    <row r="14260" spans="3:3" x14ac:dyDescent="0.25">
      <c r="C14260" s="26">
        <v>14258</v>
      </c>
    </row>
    <row r="14261" spans="3:3" x14ac:dyDescent="0.25">
      <c r="C14261" s="26">
        <v>14259</v>
      </c>
    </row>
    <row r="14262" spans="3:3" x14ac:dyDescent="0.25">
      <c r="C14262" s="26">
        <v>14260</v>
      </c>
    </row>
    <row r="14263" spans="3:3" x14ac:dyDescent="0.25">
      <c r="C14263" s="26">
        <v>14261</v>
      </c>
    </row>
    <row r="14264" spans="3:3" x14ac:dyDescent="0.25">
      <c r="C14264" s="26">
        <v>14262</v>
      </c>
    </row>
    <row r="14265" spans="3:3" x14ac:dyDescent="0.25">
      <c r="C14265" s="26">
        <v>14263</v>
      </c>
    </row>
    <row r="14266" spans="3:3" x14ac:dyDescent="0.25">
      <c r="C14266" s="26">
        <v>14264</v>
      </c>
    </row>
    <row r="14267" spans="3:3" x14ac:dyDescent="0.25">
      <c r="C14267" s="26">
        <v>14265</v>
      </c>
    </row>
    <row r="14268" spans="3:3" x14ac:dyDescent="0.25">
      <c r="C14268" s="26">
        <v>14266</v>
      </c>
    </row>
    <row r="14269" spans="3:3" x14ac:dyDescent="0.25">
      <c r="C14269" s="26">
        <v>14267</v>
      </c>
    </row>
    <row r="14270" spans="3:3" x14ac:dyDescent="0.25">
      <c r="C14270" s="26">
        <v>14268</v>
      </c>
    </row>
    <row r="14271" spans="3:3" x14ac:dyDescent="0.25">
      <c r="C14271" s="26">
        <v>14269</v>
      </c>
    </row>
    <row r="14272" spans="3:3" x14ac:dyDescent="0.25">
      <c r="C14272" s="26">
        <v>14270</v>
      </c>
    </row>
    <row r="14273" spans="3:3" x14ac:dyDescent="0.25">
      <c r="C14273" s="26">
        <v>14271</v>
      </c>
    </row>
    <row r="14274" spans="3:3" x14ac:dyDescent="0.25">
      <c r="C14274" s="26">
        <v>14272</v>
      </c>
    </row>
    <row r="14275" spans="3:3" x14ac:dyDescent="0.25">
      <c r="C14275" s="26">
        <v>14273</v>
      </c>
    </row>
    <row r="14276" spans="3:3" x14ac:dyDescent="0.25">
      <c r="C14276" s="26">
        <v>14274</v>
      </c>
    </row>
    <row r="14277" spans="3:3" x14ac:dyDescent="0.25">
      <c r="C14277" s="26">
        <v>14275</v>
      </c>
    </row>
    <row r="14278" spans="3:3" x14ac:dyDescent="0.25">
      <c r="C14278" s="26">
        <v>14276</v>
      </c>
    </row>
    <row r="14279" spans="3:3" x14ac:dyDescent="0.25">
      <c r="C14279" s="26">
        <v>14277</v>
      </c>
    </row>
    <row r="14280" spans="3:3" x14ac:dyDescent="0.25">
      <c r="C14280" s="26">
        <v>14278</v>
      </c>
    </row>
    <row r="14281" spans="3:3" x14ac:dyDescent="0.25">
      <c r="C14281" s="26">
        <v>14279</v>
      </c>
    </row>
    <row r="14282" spans="3:3" x14ac:dyDescent="0.25">
      <c r="C14282" s="26">
        <v>14280</v>
      </c>
    </row>
    <row r="14283" spans="3:3" x14ac:dyDescent="0.25">
      <c r="C14283" s="26">
        <v>14281</v>
      </c>
    </row>
    <row r="14284" spans="3:3" x14ac:dyDescent="0.25">
      <c r="C14284" s="26">
        <v>14282</v>
      </c>
    </row>
    <row r="14285" spans="3:3" x14ac:dyDescent="0.25">
      <c r="C14285" s="26">
        <v>14283</v>
      </c>
    </row>
    <row r="14286" spans="3:3" x14ac:dyDescent="0.25">
      <c r="C14286" s="26">
        <v>14284</v>
      </c>
    </row>
    <row r="14287" spans="3:3" x14ac:dyDescent="0.25">
      <c r="C14287" s="26">
        <v>14285</v>
      </c>
    </row>
    <row r="14288" spans="3:3" x14ac:dyDescent="0.25">
      <c r="C14288" s="26">
        <v>14286</v>
      </c>
    </row>
    <row r="14289" spans="3:3" x14ac:dyDescent="0.25">
      <c r="C14289" s="26">
        <v>14287</v>
      </c>
    </row>
    <row r="14290" spans="3:3" x14ac:dyDescent="0.25">
      <c r="C14290" s="26">
        <v>14288</v>
      </c>
    </row>
    <row r="14291" spans="3:3" x14ac:dyDescent="0.25">
      <c r="C14291" s="26">
        <v>14289</v>
      </c>
    </row>
    <row r="14292" spans="3:3" x14ac:dyDescent="0.25">
      <c r="C14292" s="26">
        <v>14290</v>
      </c>
    </row>
    <row r="14293" spans="3:3" x14ac:dyDescent="0.25">
      <c r="C14293" s="26">
        <v>14291</v>
      </c>
    </row>
    <row r="14294" spans="3:3" x14ac:dyDescent="0.25">
      <c r="C14294" s="26">
        <v>14292</v>
      </c>
    </row>
    <row r="14295" spans="3:3" x14ac:dyDescent="0.25">
      <c r="C14295" s="26">
        <v>14293</v>
      </c>
    </row>
    <row r="14296" spans="3:3" x14ac:dyDescent="0.25">
      <c r="C14296" s="26">
        <v>14294</v>
      </c>
    </row>
    <row r="14297" spans="3:3" x14ac:dyDescent="0.25">
      <c r="C14297" s="26">
        <v>14295</v>
      </c>
    </row>
    <row r="14298" spans="3:3" x14ac:dyDescent="0.25">
      <c r="C14298" s="26">
        <v>14296</v>
      </c>
    </row>
    <row r="14299" spans="3:3" x14ac:dyDescent="0.25">
      <c r="C14299" s="26">
        <v>14297</v>
      </c>
    </row>
    <row r="14300" spans="3:3" x14ac:dyDescent="0.25">
      <c r="C14300" s="26">
        <v>14298</v>
      </c>
    </row>
    <row r="14301" spans="3:3" x14ac:dyDescent="0.25">
      <c r="C14301" s="26">
        <v>14299</v>
      </c>
    </row>
    <row r="14302" spans="3:3" x14ac:dyDescent="0.25">
      <c r="C14302" s="26">
        <v>14300</v>
      </c>
    </row>
    <row r="14303" spans="3:3" x14ac:dyDescent="0.25">
      <c r="C14303" s="26">
        <v>14301</v>
      </c>
    </row>
    <row r="14304" spans="3:3" x14ac:dyDescent="0.25">
      <c r="C14304" s="26">
        <v>14302</v>
      </c>
    </row>
    <row r="14305" spans="3:3" x14ac:dyDescent="0.25">
      <c r="C14305" s="26">
        <v>14303</v>
      </c>
    </row>
    <row r="14306" spans="3:3" x14ac:dyDescent="0.25">
      <c r="C14306" s="26">
        <v>14304</v>
      </c>
    </row>
    <row r="14307" spans="3:3" x14ac:dyDescent="0.25">
      <c r="C14307" s="26">
        <v>14305</v>
      </c>
    </row>
    <row r="14308" spans="3:3" x14ac:dyDescent="0.25">
      <c r="C14308" s="26">
        <v>14306</v>
      </c>
    </row>
    <row r="14309" spans="3:3" x14ac:dyDescent="0.25">
      <c r="C14309" s="26">
        <v>14307</v>
      </c>
    </row>
    <row r="14310" spans="3:3" x14ac:dyDescent="0.25">
      <c r="C14310" s="26">
        <v>14308</v>
      </c>
    </row>
    <row r="14311" spans="3:3" x14ac:dyDescent="0.25">
      <c r="C14311" s="26">
        <v>14309</v>
      </c>
    </row>
    <row r="14312" spans="3:3" x14ac:dyDescent="0.25">
      <c r="C14312" s="26">
        <v>14310</v>
      </c>
    </row>
    <row r="14313" spans="3:3" x14ac:dyDescent="0.25">
      <c r="C14313" s="26">
        <v>14311</v>
      </c>
    </row>
    <row r="14314" spans="3:3" x14ac:dyDescent="0.25">
      <c r="C14314" s="26">
        <v>14312</v>
      </c>
    </row>
    <row r="14315" spans="3:3" x14ac:dyDescent="0.25">
      <c r="C14315" s="26">
        <v>14313</v>
      </c>
    </row>
    <row r="14316" spans="3:3" x14ac:dyDescent="0.25">
      <c r="C14316" s="26">
        <v>14314</v>
      </c>
    </row>
    <row r="14317" spans="3:3" x14ac:dyDescent="0.25">
      <c r="C14317" s="26">
        <v>14315</v>
      </c>
    </row>
    <row r="14318" spans="3:3" x14ac:dyDescent="0.25">
      <c r="C14318" s="26">
        <v>14316</v>
      </c>
    </row>
    <row r="14319" spans="3:3" x14ac:dyDescent="0.25">
      <c r="C14319" s="26">
        <v>14317</v>
      </c>
    </row>
    <row r="14320" spans="3:3" x14ac:dyDescent="0.25">
      <c r="C14320" s="26">
        <v>14318</v>
      </c>
    </row>
    <row r="14321" spans="3:3" x14ac:dyDescent="0.25">
      <c r="C14321" s="26">
        <v>14319</v>
      </c>
    </row>
    <row r="14322" spans="3:3" x14ac:dyDescent="0.25">
      <c r="C14322" s="26">
        <v>14320</v>
      </c>
    </row>
    <row r="14323" spans="3:3" x14ac:dyDescent="0.25">
      <c r="C14323" s="26">
        <v>14321</v>
      </c>
    </row>
    <row r="14324" spans="3:3" x14ac:dyDescent="0.25">
      <c r="C14324" s="26">
        <v>14322</v>
      </c>
    </row>
    <row r="14325" spans="3:3" x14ac:dyDescent="0.25">
      <c r="C14325" s="26">
        <v>14323</v>
      </c>
    </row>
    <row r="14326" spans="3:3" x14ac:dyDescent="0.25">
      <c r="C14326" s="26">
        <v>14324</v>
      </c>
    </row>
    <row r="14327" spans="3:3" x14ac:dyDescent="0.25">
      <c r="C14327" s="26">
        <v>14325</v>
      </c>
    </row>
    <row r="14328" spans="3:3" x14ac:dyDescent="0.25">
      <c r="C14328" s="26">
        <v>14326</v>
      </c>
    </row>
    <row r="14329" spans="3:3" x14ac:dyDescent="0.25">
      <c r="C14329" s="26">
        <v>14327</v>
      </c>
    </row>
    <row r="14330" spans="3:3" x14ac:dyDescent="0.25">
      <c r="C14330" s="26">
        <v>14328</v>
      </c>
    </row>
    <row r="14331" spans="3:3" x14ac:dyDescent="0.25">
      <c r="C14331" s="26">
        <v>14329</v>
      </c>
    </row>
    <row r="14332" spans="3:3" x14ac:dyDescent="0.25">
      <c r="C14332" s="26">
        <v>14330</v>
      </c>
    </row>
    <row r="14333" spans="3:3" x14ac:dyDescent="0.25">
      <c r="C14333" s="26">
        <v>14331</v>
      </c>
    </row>
    <row r="14334" spans="3:3" x14ac:dyDescent="0.25">
      <c r="C14334" s="26">
        <v>14332</v>
      </c>
    </row>
    <row r="14335" spans="3:3" x14ac:dyDescent="0.25">
      <c r="C14335" s="26">
        <v>14333</v>
      </c>
    </row>
    <row r="14336" spans="3:3" x14ac:dyDescent="0.25">
      <c r="C14336" s="26">
        <v>14334</v>
      </c>
    </row>
    <row r="14337" spans="3:3" x14ac:dyDescent="0.25">
      <c r="C14337" s="26">
        <v>14335</v>
      </c>
    </row>
    <row r="14338" spans="3:3" x14ac:dyDescent="0.25">
      <c r="C14338" s="26">
        <v>14336</v>
      </c>
    </row>
    <row r="14339" spans="3:3" x14ac:dyDescent="0.25">
      <c r="C14339" s="26">
        <v>14337</v>
      </c>
    </row>
    <row r="14340" spans="3:3" x14ac:dyDescent="0.25">
      <c r="C14340" s="26">
        <v>14338</v>
      </c>
    </row>
    <row r="14341" spans="3:3" x14ac:dyDescent="0.25">
      <c r="C14341" s="26">
        <v>14339</v>
      </c>
    </row>
    <row r="14342" spans="3:3" x14ac:dyDescent="0.25">
      <c r="C14342" s="26">
        <v>14340</v>
      </c>
    </row>
    <row r="14343" spans="3:3" x14ac:dyDescent="0.25">
      <c r="C14343" s="26">
        <v>14341</v>
      </c>
    </row>
    <row r="14344" spans="3:3" x14ac:dyDescent="0.25">
      <c r="C14344" s="26">
        <v>14342</v>
      </c>
    </row>
    <row r="14345" spans="3:3" x14ac:dyDescent="0.25">
      <c r="C14345" s="26">
        <v>14343</v>
      </c>
    </row>
    <row r="14346" spans="3:3" x14ac:dyDescent="0.25">
      <c r="C14346" s="26">
        <v>14344</v>
      </c>
    </row>
    <row r="14347" spans="3:3" x14ac:dyDescent="0.25">
      <c r="C14347" s="26">
        <v>14345</v>
      </c>
    </row>
    <row r="14348" spans="3:3" x14ac:dyDescent="0.25">
      <c r="C14348" s="26">
        <v>14346</v>
      </c>
    </row>
    <row r="14349" spans="3:3" x14ac:dyDescent="0.25">
      <c r="C14349" s="26">
        <v>14347</v>
      </c>
    </row>
    <row r="14350" spans="3:3" x14ac:dyDescent="0.25">
      <c r="C14350" s="26">
        <v>14348</v>
      </c>
    </row>
    <row r="14351" spans="3:3" x14ac:dyDescent="0.25">
      <c r="C14351" s="26">
        <v>14349</v>
      </c>
    </row>
    <row r="14352" spans="3:3" x14ac:dyDescent="0.25">
      <c r="C14352" s="26">
        <v>14350</v>
      </c>
    </row>
    <row r="14353" spans="3:3" x14ac:dyDescent="0.25">
      <c r="C14353" s="26">
        <v>14351</v>
      </c>
    </row>
    <row r="14354" spans="3:3" x14ac:dyDescent="0.25">
      <c r="C14354" s="26">
        <v>14352</v>
      </c>
    </row>
    <row r="14355" spans="3:3" x14ac:dyDescent="0.25">
      <c r="C14355" s="26">
        <v>14353</v>
      </c>
    </row>
    <row r="14356" spans="3:3" x14ac:dyDescent="0.25">
      <c r="C14356" s="26">
        <v>14354</v>
      </c>
    </row>
    <row r="14357" spans="3:3" x14ac:dyDescent="0.25">
      <c r="C14357" s="26">
        <v>14355</v>
      </c>
    </row>
    <row r="14358" spans="3:3" x14ac:dyDescent="0.25">
      <c r="C14358" s="26">
        <v>14356</v>
      </c>
    </row>
    <row r="14359" spans="3:3" x14ac:dyDescent="0.25">
      <c r="C14359" s="26">
        <v>14357</v>
      </c>
    </row>
    <row r="14360" spans="3:3" x14ac:dyDescent="0.25">
      <c r="C14360" s="26">
        <v>14358</v>
      </c>
    </row>
    <row r="14361" spans="3:3" x14ac:dyDescent="0.25">
      <c r="C14361" s="26">
        <v>14359</v>
      </c>
    </row>
    <row r="14362" spans="3:3" x14ac:dyDescent="0.25">
      <c r="C14362" s="26">
        <v>14360</v>
      </c>
    </row>
    <row r="14363" spans="3:3" x14ac:dyDescent="0.25">
      <c r="C14363" s="26">
        <v>14361</v>
      </c>
    </row>
    <row r="14364" spans="3:3" x14ac:dyDescent="0.25">
      <c r="C14364" s="26">
        <v>14362</v>
      </c>
    </row>
    <row r="14365" spans="3:3" x14ac:dyDescent="0.25">
      <c r="C14365" s="26">
        <v>14363</v>
      </c>
    </row>
    <row r="14366" spans="3:3" x14ac:dyDescent="0.25">
      <c r="C14366" s="26">
        <v>14364</v>
      </c>
    </row>
    <row r="14367" spans="3:3" x14ac:dyDescent="0.25">
      <c r="C14367" s="26">
        <v>14365</v>
      </c>
    </row>
    <row r="14368" spans="3:3" x14ac:dyDescent="0.25">
      <c r="C14368" s="26">
        <v>14366</v>
      </c>
    </row>
    <row r="14369" spans="3:3" x14ac:dyDescent="0.25">
      <c r="C14369" s="26">
        <v>14367</v>
      </c>
    </row>
    <row r="14370" spans="3:3" x14ac:dyDescent="0.25">
      <c r="C14370" s="26">
        <v>14368</v>
      </c>
    </row>
    <row r="14371" spans="3:3" x14ac:dyDescent="0.25">
      <c r="C14371" s="26">
        <v>14369</v>
      </c>
    </row>
    <row r="14372" spans="3:3" x14ac:dyDescent="0.25">
      <c r="C14372" s="26">
        <v>14370</v>
      </c>
    </row>
    <row r="14373" spans="3:3" x14ac:dyDescent="0.25">
      <c r="C14373" s="26">
        <v>14371</v>
      </c>
    </row>
    <row r="14374" spans="3:3" x14ac:dyDescent="0.25">
      <c r="C14374" s="26">
        <v>14372</v>
      </c>
    </row>
    <row r="14375" spans="3:3" x14ac:dyDescent="0.25">
      <c r="C14375" s="26">
        <v>14373</v>
      </c>
    </row>
    <row r="14376" spans="3:3" x14ac:dyDescent="0.25">
      <c r="C14376" s="26">
        <v>14374</v>
      </c>
    </row>
    <row r="14377" spans="3:3" x14ac:dyDescent="0.25">
      <c r="C14377" s="26">
        <v>14375</v>
      </c>
    </row>
    <row r="14378" spans="3:3" x14ac:dyDescent="0.25">
      <c r="C14378" s="26">
        <v>14376</v>
      </c>
    </row>
    <row r="14379" spans="3:3" x14ac:dyDescent="0.25">
      <c r="C14379" s="26">
        <v>14377</v>
      </c>
    </row>
    <row r="14380" spans="3:3" x14ac:dyDescent="0.25">
      <c r="C14380" s="26">
        <v>14378</v>
      </c>
    </row>
    <row r="14381" spans="3:3" x14ac:dyDescent="0.25">
      <c r="C14381" s="26">
        <v>14379</v>
      </c>
    </row>
    <row r="14382" spans="3:3" x14ac:dyDescent="0.25">
      <c r="C14382" s="26">
        <v>14380</v>
      </c>
    </row>
    <row r="14383" spans="3:3" x14ac:dyDescent="0.25">
      <c r="C14383" s="26">
        <v>14381</v>
      </c>
    </row>
    <row r="14384" spans="3:3" x14ac:dyDescent="0.25">
      <c r="C14384" s="26">
        <v>14382</v>
      </c>
    </row>
    <row r="14385" spans="3:3" x14ac:dyDescent="0.25">
      <c r="C14385" s="26">
        <v>14383</v>
      </c>
    </row>
    <row r="14386" spans="3:3" x14ac:dyDescent="0.25">
      <c r="C14386" s="26">
        <v>14384</v>
      </c>
    </row>
    <row r="14387" spans="3:3" x14ac:dyDescent="0.25">
      <c r="C14387" s="26">
        <v>14385</v>
      </c>
    </row>
    <row r="14388" spans="3:3" x14ac:dyDescent="0.25">
      <c r="C14388" s="26">
        <v>14386</v>
      </c>
    </row>
    <row r="14389" spans="3:3" x14ac:dyDescent="0.25">
      <c r="C14389" s="26">
        <v>14387</v>
      </c>
    </row>
    <row r="14390" spans="3:3" x14ac:dyDescent="0.25">
      <c r="C14390" s="26">
        <v>14388</v>
      </c>
    </row>
    <row r="14391" spans="3:3" x14ac:dyDescent="0.25">
      <c r="C14391" s="26">
        <v>14389</v>
      </c>
    </row>
    <row r="14392" spans="3:3" x14ac:dyDescent="0.25">
      <c r="C14392" s="26">
        <v>14390</v>
      </c>
    </row>
    <row r="14393" spans="3:3" x14ac:dyDescent="0.25">
      <c r="C14393" s="26">
        <v>14391</v>
      </c>
    </row>
    <row r="14394" spans="3:3" x14ac:dyDescent="0.25">
      <c r="C14394" s="26">
        <v>14392</v>
      </c>
    </row>
    <row r="14395" spans="3:3" x14ac:dyDescent="0.25">
      <c r="C14395" s="26">
        <v>14393</v>
      </c>
    </row>
    <row r="14396" spans="3:3" x14ac:dyDescent="0.25">
      <c r="C14396" s="26">
        <v>14394</v>
      </c>
    </row>
    <row r="14397" spans="3:3" x14ac:dyDescent="0.25">
      <c r="C14397" s="26">
        <v>14395</v>
      </c>
    </row>
    <row r="14398" spans="3:3" x14ac:dyDescent="0.25">
      <c r="C14398" s="26">
        <v>14396</v>
      </c>
    </row>
    <row r="14399" spans="3:3" x14ac:dyDescent="0.25">
      <c r="C14399" s="26">
        <v>14397</v>
      </c>
    </row>
    <row r="14400" spans="3:3" x14ac:dyDescent="0.25">
      <c r="C14400" s="26">
        <v>14398</v>
      </c>
    </row>
    <row r="14401" spans="3:3" x14ac:dyDescent="0.25">
      <c r="C14401" s="26">
        <v>14399</v>
      </c>
    </row>
    <row r="14402" spans="3:3" x14ac:dyDescent="0.25">
      <c r="C14402" s="26">
        <v>14400</v>
      </c>
    </row>
    <row r="14403" spans="3:3" x14ac:dyDescent="0.25">
      <c r="C14403" s="26">
        <v>14401</v>
      </c>
    </row>
    <row r="14404" spans="3:3" x14ac:dyDescent="0.25">
      <c r="C14404" s="26">
        <v>14402</v>
      </c>
    </row>
    <row r="14405" spans="3:3" x14ac:dyDescent="0.25">
      <c r="C14405" s="26">
        <v>14403</v>
      </c>
    </row>
    <row r="14406" spans="3:3" x14ac:dyDescent="0.25">
      <c r="C14406" s="26">
        <v>14404</v>
      </c>
    </row>
    <row r="14407" spans="3:3" x14ac:dyDescent="0.25">
      <c r="C14407" s="26">
        <v>14405</v>
      </c>
    </row>
    <row r="14408" spans="3:3" x14ac:dyDescent="0.25">
      <c r="C14408" s="26">
        <v>14406</v>
      </c>
    </row>
    <row r="14409" spans="3:3" x14ac:dyDescent="0.25">
      <c r="C14409" s="26">
        <v>14407</v>
      </c>
    </row>
    <row r="14410" spans="3:3" x14ac:dyDescent="0.25">
      <c r="C14410" s="26">
        <v>14408</v>
      </c>
    </row>
    <row r="14411" spans="3:3" x14ac:dyDescent="0.25">
      <c r="C14411" s="26">
        <v>14409</v>
      </c>
    </row>
    <row r="14412" spans="3:3" x14ac:dyDescent="0.25">
      <c r="C14412" s="26">
        <v>14410</v>
      </c>
    </row>
    <row r="14413" spans="3:3" x14ac:dyDescent="0.25">
      <c r="C14413" s="26">
        <v>14411</v>
      </c>
    </row>
    <row r="14414" spans="3:3" x14ac:dyDescent="0.25">
      <c r="C14414" s="26">
        <v>14412</v>
      </c>
    </row>
    <row r="14415" spans="3:3" x14ac:dyDescent="0.25">
      <c r="C14415" s="26">
        <v>14413</v>
      </c>
    </row>
    <row r="14416" spans="3:3" x14ac:dyDescent="0.25">
      <c r="C14416" s="26">
        <v>14414</v>
      </c>
    </row>
    <row r="14417" spans="3:3" x14ac:dyDescent="0.25">
      <c r="C14417" s="26">
        <v>14415</v>
      </c>
    </row>
    <row r="14418" spans="3:3" x14ac:dyDescent="0.25">
      <c r="C14418" s="26">
        <v>14416</v>
      </c>
    </row>
    <row r="14419" spans="3:3" x14ac:dyDescent="0.25">
      <c r="C14419" s="26">
        <v>14417</v>
      </c>
    </row>
    <row r="14420" spans="3:3" x14ac:dyDescent="0.25">
      <c r="C14420" s="26">
        <v>14418</v>
      </c>
    </row>
    <row r="14421" spans="3:3" x14ac:dyDescent="0.25">
      <c r="C14421" s="26">
        <v>14419</v>
      </c>
    </row>
    <row r="14422" spans="3:3" x14ac:dyDescent="0.25">
      <c r="C14422" s="26">
        <v>14420</v>
      </c>
    </row>
    <row r="14423" spans="3:3" x14ac:dyDescent="0.25">
      <c r="C14423" s="26">
        <v>14421</v>
      </c>
    </row>
    <row r="14424" spans="3:3" x14ac:dyDescent="0.25">
      <c r="C14424" s="26">
        <v>14422</v>
      </c>
    </row>
    <row r="14425" spans="3:3" x14ac:dyDescent="0.25">
      <c r="C14425" s="26">
        <v>14423</v>
      </c>
    </row>
    <row r="14426" spans="3:3" x14ac:dyDescent="0.25">
      <c r="C14426" s="26">
        <v>14424</v>
      </c>
    </row>
    <row r="14427" spans="3:3" x14ac:dyDescent="0.25">
      <c r="C14427" s="26">
        <v>14425</v>
      </c>
    </row>
    <row r="14428" spans="3:3" x14ac:dyDescent="0.25">
      <c r="C14428" s="26">
        <v>14426</v>
      </c>
    </row>
    <row r="14429" spans="3:3" x14ac:dyDescent="0.25">
      <c r="C14429" s="26">
        <v>14427</v>
      </c>
    </row>
    <row r="14430" spans="3:3" x14ac:dyDescent="0.25">
      <c r="C14430" s="26">
        <v>14428</v>
      </c>
    </row>
    <row r="14431" spans="3:3" x14ac:dyDescent="0.25">
      <c r="C14431" s="26">
        <v>14429</v>
      </c>
    </row>
    <row r="14432" spans="3:3" x14ac:dyDescent="0.25">
      <c r="C14432" s="26">
        <v>14430</v>
      </c>
    </row>
    <row r="14433" spans="3:3" x14ac:dyDescent="0.25">
      <c r="C14433" s="26">
        <v>14431</v>
      </c>
    </row>
    <row r="14434" spans="3:3" x14ac:dyDescent="0.25">
      <c r="C14434" s="26">
        <v>14432</v>
      </c>
    </row>
    <row r="14435" spans="3:3" x14ac:dyDescent="0.25">
      <c r="C14435" s="26">
        <v>14433</v>
      </c>
    </row>
    <row r="14436" spans="3:3" x14ac:dyDescent="0.25">
      <c r="C14436" s="26">
        <v>14434</v>
      </c>
    </row>
    <row r="14437" spans="3:3" x14ac:dyDescent="0.25">
      <c r="C14437" s="26">
        <v>14435</v>
      </c>
    </row>
    <row r="14438" spans="3:3" x14ac:dyDescent="0.25">
      <c r="C14438" s="26">
        <v>14436</v>
      </c>
    </row>
    <row r="14439" spans="3:3" x14ac:dyDescent="0.25">
      <c r="C14439" s="26">
        <v>14437</v>
      </c>
    </row>
    <row r="14440" spans="3:3" x14ac:dyDescent="0.25">
      <c r="C14440" s="26">
        <v>14438</v>
      </c>
    </row>
    <row r="14441" spans="3:3" x14ac:dyDescent="0.25">
      <c r="C14441" s="26">
        <v>14439</v>
      </c>
    </row>
    <row r="14442" spans="3:3" x14ac:dyDescent="0.25">
      <c r="C14442" s="26">
        <v>14440</v>
      </c>
    </row>
    <row r="14443" spans="3:3" x14ac:dyDescent="0.25">
      <c r="C14443" s="26">
        <v>14441</v>
      </c>
    </row>
    <row r="14444" spans="3:3" x14ac:dyDescent="0.25">
      <c r="C14444" s="26">
        <v>14442</v>
      </c>
    </row>
    <row r="14445" spans="3:3" x14ac:dyDescent="0.25">
      <c r="C14445" s="26">
        <v>14443</v>
      </c>
    </row>
    <row r="14446" spans="3:3" x14ac:dyDescent="0.25">
      <c r="C14446" s="26">
        <v>14444</v>
      </c>
    </row>
    <row r="14447" spans="3:3" x14ac:dyDescent="0.25">
      <c r="C14447" s="26">
        <v>14445</v>
      </c>
    </row>
    <row r="14448" spans="3:3" x14ac:dyDescent="0.25">
      <c r="C14448" s="26">
        <v>14446</v>
      </c>
    </row>
    <row r="14449" spans="3:3" x14ac:dyDescent="0.25">
      <c r="C14449" s="26">
        <v>14447</v>
      </c>
    </row>
    <row r="14450" spans="3:3" x14ac:dyDescent="0.25">
      <c r="C14450" s="26">
        <v>14448</v>
      </c>
    </row>
    <row r="14451" spans="3:3" x14ac:dyDescent="0.25">
      <c r="C14451" s="26">
        <v>14449</v>
      </c>
    </row>
    <row r="14452" spans="3:3" x14ac:dyDescent="0.25">
      <c r="C14452" s="26">
        <v>14450</v>
      </c>
    </row>
    <row r="14453" spans="3:3" x14ac:dyDescent="0.25">
      <c r="C14453" s="26">
        <v>14451</v>
      </c>
    </row>
    <row r="14454" spans="3:3" x14ac:dyDescent="0.25">
      <c r="C14454" s="26">
        <v>14452</v>
      </c>
    </row>
    <row r="14455" spans="3:3" x14ac:dyDescent="0.25">
      <c r="C14455" s="26">
        <v>14453</v>
      </c>
    </row>
    <row r="14456" spans="3:3" x14ac:dyDescent="0.25">
      <c r="C14456" s="26">
        <v>14454</v>
      </c>
    </row>
    <row r="14457" spans="3:3" x14ac:dyDescent="0.25">
      <c r="C14457" s="26">
        <v>14455</v>
      </c>
    </row>
    <row r="14458" spans="3:3" x14ac:dyDescent="0.25">
      <c r="C14458" s="26">
        <v>14456</v>
      </c>
    </row>
    <row r="14459" spans="3:3" x14ac:dyDescent="0.25">
      <c r="C14459" s="26">
        <v>14457</v>
      </c>
    </row>
    <row r="14460" spans="3:3" x14ac:dyDescent="0.25">
      <c r="C14460" s="26">
        <v>14458</v>
      </c>
    </row>
    <row r="14461" spans="3:3" x14ac:dyDescent="0.25">
      <c r="C14461" s="26">
        <v>14459</v>
      </c>
    </row>
    <row r="14462" spans="3:3" x14ac:dyDescent="0.25">
      <c r="C14462" s="26">
        <v>14460</v>
      </c>
    </row>
    <row r="14463" spans="3:3" x14ac:dyDescent="0.25">
      <c r="C14463" s="26">
        <v>14461</v>
      </c>
    </row>
    <row r="14464" spans="3:3" x14ac:dyDescent="0.25">
      <c r="C14464" s="26">
        <v>14462</v>
      </c>
    </row>
    <row r="14465" spans="3:3" x14ac:dyDescent="0.25">
      <c r="C14465" s="26">
        <v>14463</v>
      </c>
    </row>
    <row r="14466" spans="3:3" x14ac:dyDescent="0.25">
      <c r="C14466" s="26">
        <v>14464</v>
      </c>
    </row>
    <row r="14467" spans="3:3" x14ac:dyDescent="0.25">
      <c r="C14467" s="26">
        <v>14465</v>
      </c>
    </row>
    <row r="14468" spans="3:3" x14ac:dyDescent="0.25">
      <c r="C14468" s="26">
        <v>14466</v>
      </c>
    </row>
    <row r="14469" spans="3:3" x14ac:dyDescent="0.25">
      <c r="C14469" s="26">
        <v>14467</v>
      </c>
    </row>
    <row r="14470" spans="3:3" x14ac:dyDescent="0.25">
      <c r="C14470" s="26">
        <v>14468</v>
      </c>
    </row>
    <row r="14471" spans="3:3" x14ac:dyDescent="0.25">
      <c r="C14471" s="26">
        <v>14469</v>
      </c>
    </row>
    <row r="14472" spans="3:3" x14ac:dyDescent="0.25">
      <c r="C14472" s="26">
        <v>14470</v>
      </c>
    </row>
    <row r="14473" spans="3:3" x14ac:dyDescent="0.25">
      <c r="C14473" s="26">
        <v>14471</v>
      </c>
    </row>
    <row r="14474" spans="3:3" x14ac:dyDescent="0.25">
      <c r="C14474" s="26">
        <v>14472</v>
      </c>
    </row>
    <row r="14475" spans="3:3" x14ac:dyDescent="0.25">
      <c r="C14475" s="26">
        <v>14473</v>
      </c>
    </row>
    <row r="14476" spans="3:3" x14ac:dyDescent="0.25">
      <c r="C14476" s="26">
        <v>14474</v>
      </c>
    </row>
    <row r="14477" spans="3:3" x14ac:dyDescent="0.25">
      <c r="C14477" s="26">
        <v>14475</v>
      </c>
    </row>
    <row r="14478" spans="3:3" x14ac:dyDescent="0.25">
      <c r="C14478" s="26">
        <v>14476</v>
      </c>
    </row>
    <row r="14479" spans="3:3" x14ac:dyDescent="0.25">
      <c r="C14479" s="26">
        <v>14477</v>
      </c>
    </row>
    <row r="14480" spans="3:3" x14ac:dyDescent="0.25">
      <c r="C14480" s="26">
        <v>14478</v>
      </c>
    </row>
    <row r="14481" spans="3:3" x14ac:dyDescent="0.25">
      <c r="C14481" s="26">
        <v>14479</v>
      </c>
    </row>
    <row r="14482" spans="3:3" x14ac:dyDescent="0.25">
      <c r="C14482" s="26">
        <v>14480</v>
      </c>
    </row>
    <row r="14483" spans="3:3" x14ac:dyDescent="0.25">
      <c r="C14483" s="26">
        <v>14481</v>
      </c>
    </row>
    <row r="14484" spans="3:3" x14ac:dyDescent="0.25">
      <c r="C14484" s="26">
        <v>14482</v>
      </c>
    </row>
    <row r="14485" spans="3:3" x14ac:dyDescent="0.25">
      <c r="C14485" s="26">
        <v>14483</v>
      </c>
    </row>
    <row r="14486" spans="3:3" x14ac:dyDescent="0.25">
      <c r="C14486" s="26">
        <v>14484</v>
      </c>
    </row>
    <row r="14487" spans="3:3" x14ac:dyDescent="0.25">
      <c r="C14487" s="26">
        <v>14485</v>
      </c>
    </row>
    <row r="14488" spans="3:3" x14ac:dyDescent="0.25">
      <c r="C14488" s="26">
        <v>14486</v>
      </c>
    </row>
    <row r="14489" spans="3:3" x14ac:dyDescent="0.25">
      <c r="C14489" s="26">
        <v>14487</v>
      </c>
    </row>
    <row r="14490" spans="3:3" x14ac:dyDescent="0.25">
      <c r="C14490" s="26">
        <v>14488</v>
      </c>
    </row>
    <row r="14491" spans="3:3" x14ac:dyDescent="0.25">
      <c r="C14491" s="26">
        <v>14489</v>
      </c>
    </row>
    <row r="14492" spans="3:3" x14ac:dyDescent="0.25">
      <c r="C14492" s="26">
        <v>14490</v>
      </c>
    </row>
    <row r="14493" spans="3:3" x14ac:dyDescent="0.25">
      <c r="C14493" s="26">
        <v>14491</v>
      </c>
    </row>
    <row r="14494" spans="3:3" x14ac:dyDescent="0.25">
      <c r="C14494" s="26">
        <v>14492</v>
      </c>
    </row>
    <row r="14495" spans="3:3" x14ac:dyDescent="0.25">
      <c r="C14495" s="26">
        <v>14493</v>
      </c>
    </row>
    <row r="14496" spans="3:3" x14ac:dyDescent="0.25">
      <c r="C14496" s="26">
        <v>14494</v>
      </c>
    </row>
    <row r="14497" spans="3:3" x14ac:dyDescent="0.25">
      <c r="C14497" s="26">
        <v>14495</v>
      </c>
    </row>
    <row r="14498" spans="3:3" x14ac:dyDescent="0.25">
      <c r="C14498" s="26">
        <v>14496</v>
      </c>
    </row>
    <row r="14499" spans="3:3" x14ac:dyDescent="0.25">
      <c r="C14499" s="26">
        <v>14497</v>
      </c>
    </row>
    <row r="14500" spans="3:3" x14ac:dyDescent="0.25">
      <c r="C14500" s="26">
        <v>14498</v>
      </c>
    </row>
    <row r="14501" spans="3:3" x14ac:dyDescent="0.25">
      <c r="C14501" s="26">
        <v>14499</v>
      </c>
    </row>
    <row r="14502" spans="3:3" x14ac:dyDescent="0.25">
      <c r="C14502" s="26">
        <v>14500</v>
      </c>
    </row>
    <row r="14503" spans="3:3" x14ac:dyDescent="0.25">
      <c r="C14503" s="26">
        <v>14501</v>
      </c>
    </row>
    <row r="14504" spans="3:3" x14ac:dyDescent="0.25">
      <c r="C14504" s="26">
        <v>14502</v>
      </c>
    </row>
    <row r="14505" spans="3:3" x14ac:dyDescent="0.25">
      <c r="C14505" s="26">
        <v>14503</v>
      </c>
    </row>
    <row r="14506" spans="3:3" x14ac:dyDescent="0.25">
      <c r="C14506" s="26">
        <v>14504</v>
      </c>
    </row>
    <row r="14507" spans="3:3" x14ac:dyDescent="0.25">
      <c r="C14507" s="26">
        <v>14505</v>
      </c>
    </row>
    <row r="14508" spans="3:3" x14ac:dyDescent="0.25">
      <c r="C14508" s="26">
        <v>14506</v>
      </c>
    </row>
    <row r="14509" spans="3:3" x14ac:dyDescent="0.25">
      <c r="C14509" s="26">
        <v>14507</v>
      </c>
    </row>
    <row r="14510" spans="3:3" x14ac:dyDescent="0.25">
      <c r="C14510" s="26">
        <v>14508</v>
      </c>
    </row>
    <row r="14511" spans="3:3" x14ac:dyDescent="0.25">
      <c r="C14511" s="26">
        <v>14509</v>
      </c>
    </row>
    <row r="14512" spans="3:3" x14ac:dyDescent="0.25">
      <c r="C14512" s="26">
        <v>14510</v>
      </c>
    </row>
    <row r="14513" spans="3:3" x14ac:dyDescent="0.25">
      <c r="C14513" s="26">
        <v>14511</v>
      </c>
    </row>
    <row r="14514" spans="3:3" x14ac:dyDescent="0.25">
      <c r="C14514" s="26">
        <v>14512</v>
      </c>
    </row>
    <row r="14515" spans="3:3" x14ac:dyDescent="0.25">
      <c r="C14515" s="26">
        <v>14513</v>
      </c>
    </row>
    <row r="14516" spans="3:3" x14ac:dyDescent="0.25">
      <c r="C14516" s="26">
        <v>14514</v>
      </c>
    </row>
    <row r="14517" spans="3:3" x14ac:dyDescent="0.25">
      <c r="C14517" s="26">
        <v>14515</v>
      </c>
    </row>
    <row r="14518" spans="3:3" x14ac:dyDescent="0.25">
      <c r="C14518" s="26">
        <v>14516</v>
      </c>
    </row>
    <row r="14519" spans="3:3" x14ac:dyDescent="0.25">
      <c r="C14519" s="26">
        <v>14517</v>
      </c>
    </row>
    <row r="14520" spans="3:3" x14ac:dyDescent="0.25">
      <c r="C14520" s="26">
        <v>14518</v>
      </c>
    </row>
    <row r="14521" spans="3:3" x14ac:dyDescent="0.25">
      <c r="C14521" s="26">
        <v>14519</v>
      </c>
    </row>
    <row r="14522" spans="3:3" x14ac:dyDescent="0.25">
      <c r="C14522" s="26">
        <v>14520</v>
      </c>
    </row>
    <row r="14523" spans="3:3" x14ac:dyDescent="0.25">
      <c r="C14523" s="26">
        <v>14521</v>
      </c>
    </row>
    <row r="14524" spans="3:3" x14ac:dyDescent="0.25">
      <c r="C14524" s="26">
        <v>14522</v>
      </c>
    </row>
    <row r="14525" spans="3:3" x14ac:dyDescent="0.25">
      <c r="C14525" s="26">
        <v>14523</v>
      </c>
    </row>
    <row r="14526" spans="3:3" x14ac:dyDescent="0.25">
      <c r="C14526" s="26">
        <v>14524</v>
      </c>
    </row>
    <row r="14527" spans="3:3" x14ac:dyDescent="0.25">
      <c r="C14527" s="26">
        <v>14525</v>
      </c>
    </row>
    <row r="14528" spans="3:3" x14ac:dyDescent="0.25">
      <c r="C14528" s="26">
        <v>14526</v>
      </c>
    </row>
    <row r="14529" spans="3:3" x14ac:dyDescent="0.25">
      <c r="C14529" s="26">
        <v>14527</v>
      </c>
    </row>
    <row r="14530" spans="3:3" x14ac:dyDescent="0.25">
      <c r="C14530" s="26">
        <v>14528</v>
      </c>
    </row>
    <row r="14531" spans="3:3" x14ac:dyDescent="0.25">
      <c r="C14531" s="26">
        <v>14529</v>
      </c>
    </row>
    <row r="14532" spans="3:3" x14ac:dyDescent="0.25">
      <c r="C14532" s="26">
        <v>14530</v>
      </c>
    </row>
    <row r="14533" spans="3:3" x14ac:dyDescent="0.25">
      <c r="C14533" s="26">
        <v>14531</v>
      </c>
    </row>
    <row r="14534" spans="3:3" x14ac:dyDescent="0.25">
      <c r="C14534" s="26">
        <v>14532</v>
      </c>
    </row>
    <row r="14535" spans="3:3" x14ac:dyDescent="0.25">
      <c r="C14535" s="26">
        <v>14533</v>
      </c>
    </row>
    <row r="14536" spans="3:3" x14ac:dyDescent="0.25">
      <c r="C14536" s="26">
        <v>14534</v>
      </c>
    </row>
    <row r="14537" spans="3:3" x14ac:dyDescent="0.25">
      <c r="C14537" s="26">
        <v>14535</v>
      </c>
    </row>
    <row r="14538" spans="3:3" x14ac:dyDescent="0.25">
      <c r="C14538" s="26">
        <v>14536</v>
      </c>
    </row>
    <row r="14539" spans="3:3" x14ac:dyDescent="0.25">
      <c r="C14539" s="26">
        <v>14537</v>
      </c>
    </row>
    <row r="14540" spans="3:3" x14ac:dyDescent="0.25">
      <c r="C14540" s="26">
        <v>14538</v>
      </c>
    </row>
    <row r="14541" spans="3:3" x14ac:dyDescent="0.25">
      <c r="C14541" s="26">
        <v>14539</v>
      </c>
    </row>
    <row r="14542" spans="3:3" x14ac:dyDescent="0.25">
      <c r="C14542" s="26">
        <v>14540</v>
      </c>
    </row>
    <row r="14543" spans="3:3" x14ac:dyDescent="0.25">
      <c r="C14543" s="26">
        <v>14541</v>
      </c>
    </row>
    <row r="14544" spans="3:3" x14ac:dyDescent="0.25">
      <c r="C14544" s="26">
        <v>14542</v>
      </c>
    </row>
    <row r="14545" spans="3:3" x14ac:dyDescent="0.25">
      <c r="C14545" s="26">
        <v>14543</v>
      </c>
    </row>
    <row r="14546" spans="3:3" x14ac:dyDescent="0.25">
      <c r="C14546" s="26">
        <v>14544</v>
      </c>
    </row>
    <row r="14547" spans="3:3" x14ac:dyDescent="0.25">
      <c r="C14547" s="26">
        <v>14545</v>
      </c>
    </row>
    <row r="14548" spans="3:3" x14ac:dyDescent="0.25">
      <c r="C14548" s="26">
        <v>14546</v>
      </c>
    </row>
    <row r="14549" spans="3:3" x14ac:dyDescent="0.25">
      <c r="C14549" s="26">
        <v>14547</v>
      </c>
    </row>
    <row r="14550" spans="3:3" x14ac:dyDescent="0.25">
      <c r="C14550" s="26">
        <v>14548</v>
      </c>
    </row>
    <row r="14551" spans="3:3" x14ac:dyDescent="0.25">
      <c r="C14551" s="26">
        <v>14549</v>
      </c>
    </row>
    <row r="14552" spans="3:3" x14ac:dyDescent="0.25">
      <c r="C14552" s="26">
        <v>14550</v>
      </c>
    </row>
    <row r="14553" spans="3:3" x14ac:dyDescent="0.25">
      <c r="C14553" s="26">
        <v>14551</v>
      </c>
    </row>
    <row r="14554" spans="3:3" x14ac:dyDescent="0.25">
      <c r="C14554" s="26">
        <v>14552</v>
      </c>
    </row>
    <row r="14555" spans="3:3" x14ac:dyDescent="0.25">
      <c r="C14555" s="26">
        <v>14553</v>
      </c>
    </row>
    <row r="14556" spans="3:3" x14ac:dyDescent="0.25">
      <c r="C14556" s="26">
        <v>14554</v>
      </c>
    </row>
    <row r="14557" spans="3:3" x14ac:dyDescent="0.25">
      <c r="C14557" s="26">
        <v>14555</v>
      </c>
    </row>
    <row r="14558" spans="3:3" x14ac:dyDescent="0.25">
      <c r="C14558" s="26">
        <v>14556</v>
      </c>
    </row>
    <row r="14559" spans="3:3" x14ac:dyDescent="0.25">
      <c r="C14559" s="26">
        <v>14557</v>
      </c>
    </row>
    <row r="14560" spans="3:3" x14ac:dyDescent="0.25">
      <c r="C14560" s="26">
        <v>14558</v>
      </c>
    </row>
    <row r="14561" spans="3:3" x14ac:dyDescent="0.25">
      <c r="C14561" s="26">
        <v>14559</v>
      </c>
    </row>
    <row r="14562" spans="3:3" x14ac:dyDescent="0.25">
      <c r="C14562" s="26">
        <v>14560</v>
      </c>
    </row>
    <row r="14563" spans="3:3" x14ac:dyDescent="0.25">
      <c r="C14563" s="26">
        <v>14561</v>
      </c>
    </row>
    <row r="14564" spans="3:3" x14ac:dyDescent="0.25">
      <c r="C14564" s="26">
        <v>14562</v>
      </c>
    </row>
    <row r="14565" spans="3:3" x14ac:dyDescent="0.25">
      <c r="C14565" s="26">
        <v>14563</v>
      </c>
    </row>
    <row r="14566" spans="3:3" x14ac:dyDescent="0.25">
      <c r="C14566" s="26">
        <v>14564</v>
      </c>
    </row>
    <row r="14567" spans="3:3" x14ac:dyDescent="0.25">
      <c r="C14567" s="26">
        <v>14565</v>
      </c>
    </row>
    <row r="14568" spans="3:3" x14ac:dyDescent="0.25">
      <c r="C14568" s="26">
        <v>14566</v>
      </c>
    </row>
    <row r="14569" spans="3:3" x14ac:dyDescent="0.25">
      <c r="C14569" s="26">
        <v>14567</v>
      </c>
    </row>
    <row r="14570" spans="3:3" x14ac:dyDescent="0.25">
      <c r="C14570" s="26">
        <v>14568</v>
      </c>
    </row>
    <row r="14571" spans="3:3" x14ac:dyDescent="0.25">
      <c r="C14571" s="26">
        <v>14569</v>
      </c>
    </row>
    <row r="14572" spans="3:3" x14ac:dyDescent="0.25">
      <c r="C14572" s="26">
        <v>14570</v>
      </c>
    </row>
    <row r="14573" spans="3:3" x14ac:dyDescent="0.25">
      <c r="C14573" s="26">
        <v>14571</v>
      </c>
    </row>
    <row r="14574" spans="3:3" x14ac:dyDescent="0.25">
      <c r="C14574" s="26">
        <v>14572</v>
      </c>
    </row>
    <row r="14575" spans="3:3" x14ac:dyDescent="0.25">
      <c r="C14575" s="26">
        <v>14573</v>
      </c>
    </row>
    <row r="14576" spans="3:3" x14ac:dyDescent="0.25">
      <c r="C14576" s="26">
        <v>14574</v>
      </c>
    </row>
    <row r="14577" spans="3:3" x14ac:dyDescent="0.25">
      <c r="C14577" s="26">
        <v>14575</v>
      </c>
    </row>
    <row r="14578" spans="3:3" x14ac:dyDescent="0.25">
      <c r="C14578" s="26">
        <v>14576</v>
      </c>
    </row>
    <row r="14579" spans="3:3" x14ac:dyDescent="0.25">
      <c r="C14579" s="26">
        <v>14577</v>
      </c>
    </row>
    <row r="14580" spans="3:3" x14ac:dyDescent="0.25">
      <c r="C14580" s="26">
        <v>14578</v>
      </c>
    </row>
    <row r="14581" spans="3:3" x14ac:dyDescent="0.25">
      <c r="C14581" s="26">
        <v>14579</v>
      </c>
    </row>
    <row r="14582" spans="3:3" x14ac:dyDescent="0.25">
      <c r="C14582" s="26">
        <v>14580</v>
      </c>
    </row>
    <row r="14583" spans="3:3" x14ac:dyDescent="0.25">
      <c r="C14583" s="26">
        <v>14581</v>
      </c>
    </row>
    <row r="14584" spans="3:3" x14ac:dyDescent="0.25">
      <c r="C14584" s="26">
        <v>14582</v>
      </c>
    </row>
    <row r="14585" spans="3:3" x14ac:dyDescent="0.25">
      <c r="C14585" s="26">
        <v>14583</v>
      </c>
    </row>
    <row r="14586" spans="3:3" x14ac:dyDescent="0.25">
      <c r="C14586" s="26">
        <v>14584</v>
      </c>
    </row>
    <row r="14587" spans="3:3" x14ac:dyDescent="0.25">
      <c r="C14587" s="26">
        <v>14585</v>
      </c>
    </row>
    <row r="14588" spans="3:3" x14ac:dyDescent="0.25">
      <c r="C14588" s="26">
        <v>14586</v>
      </c>
    </row>
    <row r="14589" spans="3:3" x14ac:dyDescent="0.25">
      <c r="C14589" s="26">
        <v>14587</v>
      </c>
    </row>
    <row r="14590" spans="3:3" x14ac:dyDescent="0.25">
      <c r="C14590" s="26">
        <v>14588</v>
      </c>
    </row>
    <row r="14591" spans="3:3" x14ac:dyDescent="0.25">
      <c r="C14591" s="26">
        <v>14589</v>
      </c>
    </row>
    <row r="14592" spans="3:3" x14ac:dyDescent="0.25">
      <c r="C14592" s="26">
        <v>14590</v>
      </c>
    </row>
    <row r="14593" spans="3:3" x14ac:dyDescent="0.25">
      <c r="C14593" s="26">
        <v>14591</v>
      </c>
    </row>
    <row r="14594" spans="3:3" x14ac:dyDescent="0.25">
      <c r="C14594" s="26">
        <v>14592</v>
      </c>
    </row>
    <row r="14595" spans="3:3" x14ac:dyDescent="0.25">
      <c r="C14595" s="26">
        <v>14593</v>
      </c>
    </row>
    <row r="14596" spans="3:3" x14ac:dyDescent="0.25">
      <c r="C14596" s="26">
        <v>14594</v>
      </c>
    </row>
    <row r="14597" spans="3:3" x14ac:dyDescent="0.25">
      <c r="C14597" s="26">
        <v>14595</v>
      </c>
    </row>
    <row r="14598" spans="3:3" x14ac:dyDescent="0.25">
      <c r="C14598" s="26">
        <v>14596</v>
      </c>
    </row>
    <row r="14599" spans="3:3" x14ac:dyDescent="0.25">
      <c r="C14599" s="26">
        <v>14597</v>
      </c>
    </row>
    <row r="14600" spans="3:3" x14ac:dyDescent="0.25">
      <c r="C14600" s="26">
        <v>14598</v>
      </c>
    </row>
    <row r="14601" spans="3:3" x14ac:dyDescent="0.25">
      <c r="C14601" s="26">
        <v>14599</v>
      </c>
    </row>
    <row r="14602" spans="3:3" x14ac:dyDescent="0.25">
      <c r="C14602" s="26">
        <v>14600</v>
      </c>
    </row>
    <row r="14603" spans="3:3" x14ac:dyDescent="0.25">
      <c r="C14603" s="26">
        <v>14601</v>
      </c>
    </row>
    <row r="14604" spans="3:3" x14ac:dyDescent="0.25">
      <c r="C14604" s="26">
        <v>14602</v>
      </c>
    </row>
    <row r="14605" spans="3:3" x14ac:dyDescent="0.25">
      <c r="C14605" s="26">
        <v>14603</v>
      </c>
    </row>
    <row r="14606" spans="3:3" x14ac:dyDescent="0.25">
      <c r="C14606" s="26">
        <v>14604</v>
      </c>
    </row>
    <row r="14607" spans="3:3" x14ac:dyDescent="0.25">
      <c r="C14607" s="26">
        <v>14605</v>
      </c>
    </row>
    <row r="14608" spans="3:3" x14ac:dyDescent="0.25">
      <c r="C14608" s="26">
        <v>14606</v>
      </c>
    </row>
    <row r="14609" spans="3:3" x14ac:dyDescent="0.25">
      <c r="C14609" s="26">
        <v>14607</v>
      </c>
    </row>
    <row r="14610" spans="3:3" x14ac:dyDescent="0.25">
      <c r="C14610" s="26">
        <v>14608</v>
      </c>
    </row>
    <row r="14611" spans="3:3" x14ac:dyDescent="0.25">
      <c r="C14611" s="26">
        <v>14609</v>
      </c>
    </row>
    <row r="14612" spans="3:3" x14ac:dyDescent="0.25">
      <c r="C14612" s="26">
        <v>14610</v>
      </c>
    </row>
    <row r="14613" spans="3:3" x14ac:dyDescent="0.25">
      <c r="C14613" s="26">
        <v>14611</v>
      </c>
    </row>
    <row r="14614" spans="3:3" x14ac:dyDescent="0.25">
      <c r="C14614" s="26">
        <v>14612</v>
      </c>
    </row>
    <row r="14615" spans="3:3" x14ac:dyDescent="0.25">
      <c r="C14615" s="26">
        <v>14613</v>
      </c>
    </row>
    <row r="14616" spans="3:3" x14ac:dyDescent="0.25">
      <c r="C14616" s="26">
        <v>14614</v>
      </c>
    </row>
    <row r="14617" spans="3:3" x14ac:dyDescent="0.25">
      <c r="C14617" s="26">
        <v>14615</v>
      </c>
    </row>
    <row r="14618" spans="3:3" x14ac:dyDescent="0.25">
      <c r="C14618" s="26">
        <v>14616</v>
      </c>
    </row>
    <row r="14619" spans="3:3" x14ac:dyDescent="0.25">
      <c r="C14619" s="26">
        <v>14617</v>
      </c>
    </row>
    <row r="14620" spans="3:3" x14ac:dyDescent="0.25">
      <c r="C14620" s="26">
        <v>14618</v>
      </c>
    </row>
    <row r="14621" spans="3:3" x14ac:dyDescent="0.25">
      <c r="C14621" s="26">
        <v>14619</v>
      </c>
    </row>
    <row r="14622" spans="3:3" x14ac:dyDescent="0.25">
      <c r="C14622" s="26">
        <v>14620</v>
      </c>
    </row>
    <row r="14623" spans="3:3" x14ac:dyDescent="0.25">
      <c r="C14623" s="26">
        <v>14621</v>
      </c>
    </row>
    <row r="14624" spans="3:3" x14ac:dyDescent="0.25">
      <c r="C14624" s="26">
        <v>14622</v>
      </c>
    </row>
    <row r="14625" spans="3:3" x14ac:dyDescent="0.25">
      <c r="C14625" s="26">
        <v>14623</v>
      </c>
    </row>
    <row r="14626" spans="3:3" x14ac:dyDescent="0.25">
      <c r="C14626" s="26">
        <v>14624</v>
      </c>
    </row>
    <row r="14627" spans="3:3" x14ac:dyDescent="0.25">
      <c r="C14627" s="26">
        <v>14625</v>
      </c>
    </row>
    <row r="14628" spans="3:3" x14ac:dyDescent="0.25">
      <c r="C14628" s="26">
        <v>14626</v>
      </c>
    </row>
    <row r="14629" spans="3:3" x14ac:dyDescent="0.25">
      <c r="C14629" s="26">
        <v>14627</v>
      </c>
    </row>
    <row r="14630" spans="3:3" x14ac:dyDescent="0.25">
      <c r="C14630" s="26">
        <v>14628</v>
      </c>
    </row>
    <row r="14631" spans="3:3" x14ac:dyDescent="0.25">
      <c r="C14631" s="26">
        <v>14629</v>
      </c>
    </row>
    <row r="14632" spans="3:3" x14ac:dyDescent="0.25">
      <c r="C14632" s="26">
        <v>14630</v>
      </c>
    </row>
    <row r="14633" spans="3:3" x14ac:dyDescent="0.25">
      <c r="C14633" s="26">
        <v>14631</v>
      </c>
    </row>
    <row r="14634" spans="3:3" x14ac:dyDescent="0.25">
      <c r="C14634" s="26">
        <v>14632</v>
      </c>
    </row>
    <row r="14635" spans="3:3" x14ac:dyDescent="0.25">
      <c r="C14635" s="26">
        <v>14633</v>
      </c>
    </row>
    <row r="14636" spans="3:3" x14ac:dyDescent="0.25">
      <c r="C14636" s="26">
        <v>14634</v>
      </c>
    </row>
    <row r="14637" spans="3:3" x14ac:dyDescent="0.25">
      <c r="C14637" s="26">
        <v>14635</v>
      </c>
    </row>
    <row r="14638" spans="3:3" x14ac:dyDescent="0.25">
      <c r="C14638" s="26">
        <v>14636</v>
      </c>
    </row>
    <row r="14639" spans="3:3" x14ac:dyDescent="0.25">
      <c r="C14639" s="26">
        <v>14637</v>
      </c>
    </row>
    <row r="14640" spans="3:3" x14ac:dyDescent="0.25">
      <c r="C14640" s="26">
        <v>14638</v>
      </c>
    </row>
    <row r="14641" spans="3:3" x14ac:dyDescent="0.25">
      <c r="C14641" s="26">
        <v>14639</v>
      </c>
    </row>
    <row r="14642" spans="3:3" x14ac:dyDescent="0.25">
      <c r="C14642" s="26">
        <v>14640</v>
      </c>
    </row>
    <row r="14643" spans="3:3" x14ac:dyDescent="0.25">
      <c r="C14643" s="26">
        <v>14641</v>
      </c>
    </row>
    <row r="14644" spans="3:3" x14ac:dyDescent="0.25">
      <c r="C14644" s="26">
        <v>14642</v>
      </c>
    </row>
    <row r="14645" spans="3:3" x14ac:dyDescent="0.25">
      <c r="C14645" s="26">
        <v>14643</v>
      </c>
    </row>
    <row r="14646" spans="3:3" x14ac:dyDescent="0.25">
      <c r="C14646" s="26">
        <v>14644</v>
      </c>
    </row>
    <row r="14647" spans="3:3" x14ac:dyDescent="0.25">
      <c r="C14647" s="26">
        <v>14645</v>
      </c>
    </row>
    <row r="14648" spans="3:3" x14ac:dyDescent="0.25">
      <c r="C14648" s="26">
        <v>14646</v>
      </c>
    </row>
    <row r="14649" spans="3:3" x14ac:dyDescent="0.25">
      <c r="C14649" s="26">
        <v>14647</v>
      </c>
    </row>
    <row r="14650" spans="3:3" x14ac:dyDescent="0.25">
      <c r="C14650" s="26">
        <v>14648</v>
      </c>
    </row>
    <row r="14651" spans="3:3" x14ac:dyDescent="0.25">
      <c r="C14651" s="26">
        <v>14649</v>
      </c>
    </row>
    <row r="14652" spans="3:3" x14ac:dyDescent="0.25">
      <c r="C14652" s="26">
        <v>14650</v>
      </c>
    </row>
    <row r="14653" spans="3:3" x14ac:dyDescent="0.25">
      <c r="C14653" s="26">
        <v>14651</v>
      </c>
    </row>
    <row r="14654" spans="3:3" x14ac:dyDescent="0.25">
      <c r="C14654" s="26">
        <v>14652</v>
      </c>
    </row>
    <row r="14655" spans="3:3" x14ac:dyDescent="0.25">
      <c r="C14655" s="26">
        <v>14653</v>
      </c>
    </row>
    <row r="14656" spans="3:3" x14ac:dyDescent="0.25">
      <c r="C14656" s="26">
        <v>14654</v>
      </c>
    </row>
    <row r="14657" spans="3:3" x14ac:dyDescent="0.25">
      <c r="C14657" s="26">
        <v>14655</v>
      </c>
    </row>
    <row r="14658" spans="3:3" x14ac:dyDescent="0.25">
      <c r="C14658" s="26">
        <v>14656</v>
      </c>
    </row>
    <row r="14659" spans="3:3" x14ac:dyDescent="0.25">
      <c r="C14659" s="26">
        <v>14657</v>
      </c>
    </row>
    <row r="14660" spans="3:3" x14ac:dyDescent="0.25">
      <c r="C14660" s="26">
        <v>14658</v>
      </c>
    </row>
    <row r="14661" spans="3:3" x14ac:dyDescent="0.25">
      <c r="C14661" s="26">
        <v>14659</v>
      </c>
    </row>
    <row r="14662" spans="3:3" x14ac:dyDescent="0.25">
      <c r="C14662" s="26">
        <v>14660</v>
      </c>
    </row>
    <row r="14663" spans="3:3" x14ac:dyDescent="0.25">
      <c r="C14663" s="26">
        <v>14661</v>
      </c>
    </row>
    <row r="14664" spans="3:3" x14ac:dyDescent="0.25">
      <c r="C14664" s="26">
        <v>14662</v>
      </c>
    </row>
    <row r="14665" spans="3:3" x14ac:dyDescent="0.25">
      <c r="C14665" s="26">
        <v>14663</v>
      </c>
    </row>
    <row r="14666" spans="3:3" x14ac:dyDescent="0.25">
      <c r="C14666" s="26">
        <v>14664</v>
      </c>
    </row>
    <row r="14667" spans="3:3" x14ac:dyDescent="0.25">
      <c r="C14667" s="26">
        <v>14665</v>
      </c>
    </row>
    <row r="14668" spans="3:3" x14ac:dyDescent="0.25">
      <c r="C14668" s="26">
        <v>14666</v>
      </c>
    </row>
    <row r="14669" spans="3:3" x14ac:dyDescent="0.25">
      <c r="C14669" s="26">
        <v>14667</v>
      </c>
    </row>
    <row r="14670" spans="3:3" x14ac:dyDescent="0.25">
      <c r="C14670" s="26">
        <v>14668</v>
      </c>
    </row>
    <row r="14671" spans="3:3" x14ac:dyDescent="0.25">
      <c r="C14671" s="26">
        <v>14669</v>
      </c>
    </row>
    <row r="14672" spans="3:3" x14ac:dyDescent="0.25">
      <c r="C14672" s="26">
        <v>14670</v>
      </c>
    </row>
    <row r="14673" spans="3:3" x14ac:dyDescent="0.25">
      <c r="C14673" s="26">
        <v>14671</v>
      </c>
    </row>
    <row r="14674" spans="3:3" x14ac:dyDescent="0.25">
      <c r="C14674" s="26">
        <v>14672</v>
      </c>
    </row>
    <row r="14675" spans="3:3" x14ac:dyDescent="0.25">
      <c r="C14675" s="26">
        <v>14673</v>
      </c>
    </row>
    <row r="14676" spans="3:3" x14ac:dyDescent="0.25">
      <c r="C14676" s="26">
        <v>14674</v>
      </c>
    </row>
    <row r="14677" spans="3:3" x14ac:dyDescent="0.25">
      <c r="C14677" s="26">
        <v>14675</v>
      </c>
    </row>
    <row r="14678" spans="3:3" x14ac:dyDescent="0.25">
      <c r="C14678" s="26">
        <v>14676</v>
      </c>
    </row>
    <row r="14679" spans="3:3" x14ac:dyDescent="0.25">
      <c r="C14679" s="26">
        <v>14677</v>
      </c>
    </row>
    <row r="14680" spans="3:3" x14ac:dyDescent="0.25">
      <c r="C14680" s="26">
        <v>14678</v>
      </c>
    </row>
    <row r="14681" spans="3:3" x14ac:dyDescent="0.25">
      <c r="C14681" s="26">
        <v>14679</v>
      </c>
    </row>
    <row r="14682" spans="3:3" x14ac:dyDescent="0.25">
      <c r="C14682" s="26">
        <v>14680</v>
      </c>
    </row>
    <row r="14683" spans="3:3" x14ac:dyDescent="0.25">
      <c r="C14683" s="26">
        <v>14681</v>
      </c>
    </row>
    <row r="14684" spans="3:3" x14ac:dyDescent="0.25">
      <c r="C14684" s="26">
        <v>14682</v>
      </c>
    </row>
    <row r="14685" spans="3:3" x14ac:dyDescent="0.25">
      <c r="C14685" s="26">
        <v>14683</v>
      </c>
    </row>
    <row r="14686" spans="3:3" x14ac:dyDescent="0.25">
      <c r="C14686" s="26">
        <v>14684</v>
      </c>
    </row>
    <row r="14687" spans="3:3" x14ac:dyDescent="0.25">
      <c r="C14687" s="26">
        <v>14685</v>
      </c>
    </row>
    <row r="14688" spans="3:3" x14ac:dyDescent="0.25">
      <c r="C14688" s="26">
        <v>14686</v>
      </c>
    </row>
    <row r="14689" spans="3:3" x14ac:dyDescent="0.25">
      <c r="C14689" s="26">
        <v>14687</v>
      </c>
    </row>
    <row r="14690" spans="3:3" x14ac:dyDescent="0.25">
      <c r="C14690" s="26">
        <v>14688</v>
      </c>
    </row>
    <row r="14691" spans="3:3" x14ac:dyDescent="0.25">
      <c r="C14691" s="26">
        <v>14689</v>
      </c>
    </row>
    <row r="14692" spans="3:3" x14ac:dyDescent="0.25">
      <c r="C14692" s="26">
        <v>14690</v>
      </c>
    </row>
    <row r="14693" spans="3:3" x14ac:dyDescent="0.25">
      <c r="C14693" s="26">
        <v>14691</v>
      </c>
    </row>
    <row r="14694" spans="3:3" x14ac:dyDescent="0.25">
      <c r="C14694" s="26">
        <v>14692</v>
      </c>
    </row>
    <row r="14695" spans="3:3" x14ac:dyDescent="0.25">
      <c r="C14695" s="26">
        <v>14693</v>
      </c>
    </row>
    <row r="14696" spans="3:3" x14ac:dyDescent="0.25">
      <c r="C14696" s="26">
        <v>14694</v>
      </c>
    </row>
    <row r="14697" spans="3:3" x14ac:dyDescent="0.25">
      <c r="C14697" s="26">
        <v>14695</v>
      </c>
    </row>
    <row r="14698" spans="3:3" x14ac:dyDescent="0.25">
      <c r="C14698" s="26">
        <v>14696</v>
      </c>
    </row>
    <row r="14699" spans="3:3" x14ac:dyDescent="0.25">
      <c r="C14699" s="26">
        <v>14697</v>
      </c>
    </row>
    <row r="14700" spans="3:3" x14ac:dyDescent="0.25">
      <c r="C14700" s="26">
        <v>14698</v>
      </c>
    </row>
    <row r="14701" spans="3:3" x14ac:dyDescent="0.25">
      <c r="C14701" s="26">
        <v>14699</v>
      </c>
    </row>
    <row r="14702" spans="3:3" x14ac:dyDescent="0.25">
      <c r="C14702" s="26">
        <v>14700</v>
      </c>
    </row>
    <row r="14703" spans="3:3" x14ac:dyDescent="0.25">
      <c r="C14703" s="26">
        <v>14701</v>
      </c>
    </row>
    <row r="14704" spans="3:3" x14ac:dyDescent="0.25">
      <c r="C14704" s="26">
        <v>14702</v>
      </c>
    </row>
    <row r="14705" spans="3:3" x14ac:dyDescent="0.25">
      <c r="C14705" s="26">
        <v>14703</v>
      </c>
    </row>
    <row r="14706" spans="3:3" x14ac:dyDescent="0.25">
      <c r="C14706" s="26">
        <v>14704</v>
      </c>
    </row>
    <row r="14707" spans="3:3" x14ac:dyDescent="0.25">
      <c r="C14707" s="26">
        <v>14705</v>
      </c>
    </row>
    <row r="14708" spans="3:3" x14ac:dyDescent="0.25">
      <c r="C14708" s="26">
        <v>14706</v>
      </c>
    </row>
    <row r="14709" spans="3:3" x14ac:dyDescent="0.25">
      <c r="C14709" s="26">
        <v>14707</v>
      </c>
    </row>
    <row r="14710" spans="3:3" x14ac:dyDescent="0.25">
      <c r="C14710" s="26">
        <v>14708</v>
      </c>
    </row>
    <row r="14711" spans="3:3" x14ac:dyDescent="0.25">
      <c r="C14711" s="26">
        <v>14709</v>
      </c>
    </row>
    <row r="14712" spans="3:3" x14ac:dyDescent="0.25">
      <c r="C14712" s="26">
        <v>14710</v>
      </c>
    </row>
    <row r="14713" spans="3:3" x14ac:dyDescent="0.25">
      <c r="C14713" s="26">
        <v>14711</v>
      </c>
    </row>
    <row r="14714" spans="3:3" x14ac:dyDescent="0.25">
      <c r="C14714" s="26">
        <v>14712</v>
      </c>
    </row>
    <row r="14715" spans="3:3" x14ac:dyDescent="0.25">
      <c r="C14715" s="26">
        <v>14713</v>
      </c>
    </row>
    <row r="14716" spans="3:3" x14ac:dyDescent="0.25">
      <c r="C14716" s="26">
        <v>14714</v>
      </c>
    </row>
    <row r="14717" spans="3:3" x14ac:dyDescent="0.25">
      <c r="C14717" s="26">
        <v>14715</v>
      </c>
    </row>
    <row r="14718" spans="3:3" x14ac:dyDescent="0.25">
      <c r="C14718" s="26">
        <v>14716</v>
      </c>
    </row>
    <row r="14719" spans="3:3" x14ac:dyDescent="0.25">
      <c r="C14719" s="26">
        <v>14717</v>
      </c>
    </row>
    <row r="14720" spans="3:3" x14ac:dyDescent="0.25">
      <c r="C14720" s="26">
        <v>14718</v>
      </c>
    </row>
    <row r="14721" spans="3:3" x14ac:dyDescent="0.25">
      <c r="C14721" s="26">
        <v>14719</v>
      </c>
    </row>
    <row r="14722" spans="3:3" x14ac:dyDescent="0.25">
      <c r="C14722" s="26">
        <v>14720</v>
      </c>
    </row>
    <row r="14723" spans="3:3" x14ac:dyDescent="0.25">
      <c r="C14723" s="26">
        <v>14721</v>
      </c>
    </row>
    <row r="14724" spans="3:3" x14ac:dyDescent="0.25">
      <c r="C14724" s="26">
        <v>14722</v>
      </c>
    </row>
    <row r="14725" spans="3:3" x14ac:dyDescent="0.25">
      <c r="C14725" s="26">
        <v>14723</v>
      </c>
    </row>
    <row r="14726" spans="3:3" x14ac:dyDescent="0.25">
      <c r="C14726" s="26">
        <v>14724</v>
      </c>
    </row>
    <row r="14727" spans="3:3" x14ac:dyDescent="0.25">
      <c r="C14727" s="26">
        <v>14725</v>
      </c>
    </row>
    <row r="14728" spans="3:3" x14ac:dyDescent="0.25">
      <c r="C14728" s="26">
        <v>14726</v>
      </c>
    </row>
    <row r="14729" spans="3:3" x14ac:dyDescent="0.25">
      <c r="C14729" s="26">
        <v>14727</v>
      </c>
    </row>
    <row r="14730" spans="3:3" x14ac:dyDescent="0.25">
      <c r="C14730" s="26">
        <v>14728</v>
      </c>
    </row>
    <row r="14731" spans="3:3" x14ac:dyDescent="0.25">
      <c r="C14731" s="26">
        <v>14729</v>
      </c>
    </row>
    <row r="14732" spans="3:3" x14ac:dyDescent="0.25">
      <c r="C14732" s="26">
        <v>14730</v>
      </c>
    </row>
    <row r="14733" spans="3:3" x14ac:dyDescent="0.25">
      <c r="C14733" s="26">
        <v>14731</v>
      </c>
    </row>
    <row r="14734" spans="3:3" x14ac:dyDescent="0.25">
      <c r="C14734" s="26">
        <v>14732</v>
      </c>
    </row>
    <row r="14735" spans="3:3" x14ac:dyDescent="0.25">
      <c r="C14735" s="26">
        <v>14733</v>
      </c>
    </row>
    <row r="14736" spans="3:3" x14ac:dyDescent="0.25">
      <c r="C14736" s="26">
        <v>14734</v>
      </c>
    </row>
    <row r="14737" spans="3:3" x14ac:dyDescent="0.25">
      <c r="C14737" s="26">
        <v>14735</v>
      </c>
    </row>
    <row r="14738" spans="3:3" x14ac:dyDescent="0.25">
      <c r="C14738" s="26">
        <v>14736</v>
      </c>
    </row>
    <row r="14739" spans="3:3" x14ac:dyDescent="0.25">
      <c r="C14739" s="26">
        <v>14737</v>
      </c>
    </row>
    <row r="14740" spans="3:3" x14ac:dyDescent="0.25">
      <c r="C14740" s="26">
        <v>14738</v>
      </c>
    </row>
    <row r="14741" spans="3:3" x14ac:dyDescent="0.25">
      <c r="C14741" s="26">
        <v>14739</v>
      </c>
    </row>
    <row r="14742" spans="3:3" x14ac:dyDescent="0.25">
      <c r="C14742" s="26">
        <v>14740</v>
      </c>
    </row>
    <row r="14743" spans="3:3" x14ac:dyDescent="0.25">
      <c r="C14743" s="26">
        <v>14741</v>
      </c>
    </row>
    <row r="14744" spans="3:3" x14ac:dyDescent="0.25">
      <c r="C14744" s="26">
        <v>14742</v>
      </c>
    </row>
    <row r="14745" spans="3:3" x14ac:dyDescent="0.25">
      <c r="C14745" s="26">
        <v>14743</v>
      </c>
    </row>
    <row r="14746" spans="3:3" x14ac:dyDescent="0.25">
      <c r="C14746" s="26">
        <v>14744</v>
      </c>
    </row>
    <row r="14747" spans="3:3" x14ac:dyDescent="0.25">
      <c r="C14747" s="26">
        <v>14745</v>
      </c>
    </row>
    <row r="14748" spans="3:3" x14ac:dyDescent="0.25">
      <c r="C14748" s="26">
        <v>14746</v>
      </c>
    </row>
    <row r="14749" spans="3:3" x14ac:dyDescent="0.25">
      <c r="C14749" s="26">
        <v>14747</v>
      </c>
    </row>
    <row r="14750" spans="3:3" x14ac:dyDescent="0.25">
      <c r="C14750" s="26">
        <v>14748</v>
      </c>
    </row>
    <row r="14751" spans="3:3" x14ac:dyDescent="0.25">
      <c r="C14751" s="26">
        <v>14749</v>
      </c>
    </row>
    <row r="14752" spans="3:3" x14ac:dyDescent="0.25">
      <c r="C14752" s="26">
        <v>14750</v>
      </c>
    </row>
    <row r="14753" spans="3:3" x14ac:dyDescent="0.25">
      <c r="C14753" s="26">
        <v>14751</v>
      </c>
    </row>
    <row r="14754" spans="3:3" x14ac:dyDescent="0.25">
      <c r="C14754" s="26">
        <v>14752</v>
      </c>
    </row>
    <row r="14755" spans="3:3" x14ac:dyDescent="0.25">
      <c r="C14755" s="26">
        <v>14753</v>
      </c>
    </row>
    <row r="14756" spans="3:3" x14ac:dyDescent="0.25">
      <c r="C14756" s="26">
        <v>14754</v>
      </c>
    </row>
    <row r="14757" spans="3:3" x14ac:dyDescent="0.25">
      <c r="C14757" s="26">
        <v>14755</v>
      </c>
    </row>
    <row r="14758" spans="3:3" x14ac:dyDescent="0.25">
      <c r="C14758" s="26">
        <v>14756</v>
      </c>
    </row>
    <row r="14759" spans="3:3" x14ac:dyDescent="0.25">
      <c r="C14759" s="26">
        <v>14757</v>
      </c>
    </row>
    <row r="14760" spans="3:3" x14ac:dyDescent="0.25">
      <c r="C14760" s="26">
        <v>14758</v>
      </c>
    </row>
    <row r="14761" spans="3:3" x14ac:dyDescent="0.25">
      <c r="C14761" s="26">
        <v>14759</v>
      </c>
    </row>
    <row r="14762" spans="3:3" x14ac:dyDescent="0.25">
      <c r="C14762" s="26">
        <v>14760</v>
      </c>
    </row>
    <row r="14763" spans="3:3" x14ac:dyDescent="0.25">
      <c r="C14763" s="26">
        <v>14761</v>
      </c>
    </row>
    <row r="14764" spans="3:3" x14ac:dyDescent="0.25">
      <c r="C14764" s="26">
        <v>14762</v>
      </c>
    </row>
    <row r="14765" spans="3:3" x14ac:dyDescent="0.25">
      <c r="C14765" s="26">
        <v>14763</v>
      </c>
    </row>
    <row r="14766" spans="3:3" x14ac:dyDescent="0.25">
      <c r="C14766" s="26">
        <v>14764</v>
      </c>
    </row>
    <row r="14767" spans="3:3" x14ac:dyDescent="0.25">
      <c r="C14767" s="26">
        <v>14765</v>
      </c>
    </row>
    <row r="14768" spans="3:3" x14ac:dyDescent="0.25">
      <c r="C14768" s="26">
        <v>14766</v>
      </c>
    </row>
    <row r="14769" spans="3:3" x14ac:dyDescent="0.25">
      <c r="C14769" s="26">
        <v>14767</v>
      </c>
    </row>
    <row r="14770" spans="3:3" x14ac:dyDescent="0.25">
      <c r="C14770" s="26">
        <v>14768</v>
      </c>
    </row>
    <row r="14771" spans="3:3" x14ac:dyDescent="0.25">
      <c r="C14771" s="26">
        <v>14769</v>
      </c>
    </row>
    <row r="14772" spans="3:3" x14ac:dyDescent="0.25">
      <c r="C14772" s="26">
        <v>14770</v>
      </c>
    </row>
    <row r="14773" spans="3:3" x14ac:dyDescent="0.25">
      <c r="C14773" s="26">
        <v>14771</v>
      </c>
    </row>
    <row r="14774" spans="3:3" x14ac:dyDescent="0.25">
      <c r="C14774" s="26">
        <v>14772</v>
      </c>
    </row>
    <row r="14775" spans="3:3" x14ac:dyDescent="0.25">
      <c r="C14775" s="26">
        <v>14773</v>
      </c>
    </row>
    <row r="14776" spans="3:3" x14ac:dyDescent="0.25">
      <c r="C14776" s="26">
        <v>14774</v>
      </c>
    </row>
    <row r="14777" spans="3:3" x14ac:dyDescent="0.25">
      <c r="C14777" s="26">
        <v>14775</v>
      </c>
    </row>
    <row r="14778" spans="3:3" x14ac:dyDescent="0.25">
      <c r="C14778" s="26">
        <v>14776</v>
      </c>
    </row>
    <row r="14779" spans="3:3" x14ac:dyDescent="0.25">
      <c r="C14779" s="26">
        <v>14777</v>
      </c>
    </row>
    <row r="14780" spans="3:3" x14ac:dyDescent="0.25">
      <c r="C14780" s="26">
        <v>14778</v>
      </c>
    </row>
    <row r="14781" spans="3:3" x14ac:dyDescent="0.25">
      <c r="C14781" s="26">
        <v>14779</v>
      </c>
    </row>
    <row r="14782" spans="3:3" x14ac:dyDescent="0.25">
      <c r="C14782" s="26">
        <v>14780</v>
      </c>
    </row>
    <row r="14783" spans="3:3" x14ac:dyDescent="0.25">
      <c r="C14783" s="26">
        <v>14781</v>
      </c>
    </row>
    <row r="14784" spans="3:3" x14ac:dyDescent="0.25">
      <c r="C14784" s="26">
        <v>14782</v>
      </c>
    </row>
    <row r="14785" spans="3:3" x14ac:dyDescent="0.25">
      <c r="C14785" s="26">
        <v>14783</v>
      </c>
    </row>
    <row r="14786" spans="3:3" x14ac:dyDescent="0.25">
      <c r="C14786" s="26">
        <v>14784</v>
      </c>
    </row>
    <row r="14787" spans="3:3" x14ac:dyDescent="0.25">
      <c r="C14787" s="26">
        <v>14785</v>
      </c>
    </row>
    <row r="14788" spans="3:3" x14ac:dyDescent="0.25">
      <c r="C14788" s="26">
        <v>14786</v>
      </c>
    </row>
    <row r="14789" spans="3:3" x14ac:dyDescent="0.25">
      <c r="C14789" s="26">
        <v>14787</v>
      </c>
    </row>
    <row r="14790" spans="3:3" x14ac:dyDescent="0.25">
      <c r="C14790" s="26">
        <v>14788</v>
      </c>
    </row>
    <row r="14791" spans="3:3" x14ac:dyDescent="0.25">
      <c r="C14791" s="26">
        <v>14789</v>
      </c>
    </row>
    <row r="14792" spans="3:3" x14ac:dyDescent="0.25">
      <c r="C14792" s="26">
        <v>14790</v>
      </c>
    </row>
    <row r="14793" spans="3:3" x14ac:dyDescent="0.25">
      <c r="C14793" s="26">
        <v>14791</v>
      </c>
    </row>
    <row r="14794" spans="3:3" x14ac:dyDescent="0.25">
      <c r="C14794" s="26">
        <v>14792</v>
      </c>
    </row>
    <row r="14795" spans="3:3" x14ac:dyDescent="0.25">
      <c r="C14795" s="26">
        <v>14793</v>
      </c>
    </row>
    <row r="14796" spans="3:3" x14ac:dyDescent="0.25">
      <c r="C14796" s="26">
        <v>14794</v>
      </c>
    </row>
    <row r="14797" spans="3:3" x14ac:dyDescent="0.25">
      <c r="C14797" s="26">
        <v>14795</v>
      </c>
    </row>
    <row r="14798" spans="3:3" x14ac:dyDescent="0.25">
      <c r="C14798" s="26">
        <v>14796</v>
      </c>
    </row>
    <row r="14799" spans="3:3" x14ac:dyDescent="0.25">
      <c r="C14799" s="26">
        <v>14797</v>
      </c>
    </row>
    <row r="14800" spans="3:3" x14ac:dyDescent="0.25">
      <c r="C14800" s="26">
        <v>14798</v>
      </c>
    </row>
    <row r="14801" spans="3:3" x14ac:dyDescent="0.25">
      <c r="C14801" s="26">
        <v>14799</v>
      </c>
    </row>
    <row r="14802" spans="3:3" x14ac:dyDescent="0.25">
      <c r="C14802" s="26">
        <v>14800</v>
      </c>
    </row>
    <row r="14803" spans="3:3" x14ac:dyDescent="0.25">
      <c r="C14803" s="26">
        <v>14801</v>
      </c>
    </row>
    <row r="14804" spans="3:3" x14ac:dyDescent="0.25">
      <c r="C14804" s="26">
        <v>14802</v>
      </c>
    </row>
    <row r="14805" spans="3:3" x14ac:dyDescent="0.25">
      <c r="C14805" s="26">
        <v>14803</v>
      </c>
    </row>
    <row r="14806" spans="3:3" x14ac:dyDescent="0.25">
      <c r="C14806" s="26">
        <v>14804</v>
      </c>
    </row>
    <row r="14807" spans="3:3" x14ac:dyDescent="0.25">
      <c r="C14807" s="26">
        <v>14805</v>
      </c>
    </row>
    <row r="14808" spans="3:3" x14ac:dyDescent="0.25">
      <c r="C14808" s="26">
        <v>14806</v>
      </c>
    </row>
    <row r="14809" spans="3:3" x14ac:dyDescent="0.25">
      <c r="C14809" s="26">
        <v>14807</v>
      </c>
    </row>
    <row r="14810" spans="3:3" x14ac:dyDescent="0.25">
      <c r="C14810" s="26">
        <v>14808</v>
      </c>
    </row>
    <row r="14811" spans="3:3" x14ac:dyDescent="0.25">
      <c r="C14811" s="26">
        <v>14809</v>
      </c>
    </row>
    <row r="14812" spans="3:3" x14ac:dyDescent="0.25">
      <c r="C14812" s="26">
        <v>14810</v>
      </c>
    </row>
    <row r="14813" spans="3:3" x14ac:dyDescent="0.25">
      <c r="C14813" s="26">
        <v>14811</v>
      </c>
    </row>
    <row r="14814" spans="3:3" x14ac:dyDescent="0.25">
      <c r="C14814" s="26">
        <v>14812</v>
      </c>
    </row>
    <row r="14815" spans="3:3" x14ac:dyDescent="0.25">
      <c r="C14815" s="26">
        <v>14813</v>
      </c>
    </row>
    <row r="14816" spans="3:3" x14ac:dyDescent="0.25">
      <c r="C14816" s="26">
        <v>14814</v>
      </c>
    </row>
    <row r="14817" spans="3:3" x14ac:dyDescent="0.25">
      <c r="C14817" s="26">
        <v>14815</v>
      </c>
    </row>
    <row r="14818" spans="3:3" x14ac:dyDescent="0.25">
      <c r="C14818" s="26">
        <v>14816</v>
      </c>
    </row>
    <row r="14819" spans="3:3" x14ac:dyDescent="0.25">
      <c r="C14819" s="26">
        <v>14817</v>
      </c>
    </row>
    <row r="14820" spans="3:3" x14ac:dyDescent="0.25">
      <c r="C14820" s="26">
        <v>14818</v>
      </c>
    </row>
    <row r="14821" spans="3:3" x14ac:dyDescent="0.25">
      <c r="C14821" s="26">
        <v>14819</v>
      </c>
    </row>
    <row r="14822" spans="3:3" x14ac:dyDescent="0.25">
      <c r="C14822" s="26">
        <v>14820</v>
      </c>
    </row>
    <row r="14823" spans="3:3" x14ac:dyDescent="0.25">
      <c r="C14823" s="26">
        <v>14821</v>
      </c>
    </row>
    <row r="14824" spans="3:3" x14ac:dyDescent="0.25">
      <c r="C14824" s="26">
        <v>14822</v>
      </c>
    </row>
    <row r="14825" spans="3:3" x14ac:dyDescent="0.25">
      <c r="C14825" s="26">
        <v>14823</v>
      </c>
    </row>
    <row r="14826" spans="3:3" x14ac:dyDescent="0.25">
      <c r="C14826" s="26">
        <v>14824</v>
      </c>
    </row>
    <row r="14827" spans="3:3" x14ac:dyDescent="0.25">
      <c r="C14827" s="26">
        <v>14825</v>
      </c>
    </row>
    <row r="14828" spans="3:3" x14ac:dyDescent="0.25">
      <c r="C14828" s="26">
        <v>14826</v>
      </c>
    </row>
    <row r="14829" spans="3:3" x14ac:dyDescent="0.25">
      <c r="C14829" s="26">
        <v>14827</v>
      </c>
    </row>
    <row r="14830" spans="3:3" x14ac:dyDescent="0.25">
      <c r="C14830" s="26">
        <v>14828</v>
      </c>
    </row>
    <row r="14831" spans="3:3" x14ac:dyDescent="0.25">
      <c r="C14831" s="26">
        <v>14829</v>
      </c>
    </row>
    <row r="14832" spans="3:3" x14ac:dyDescent="0.25">
      <c r="C14832" s="26">
        <v>14830</v>
      </c>
    </row>
    <row r="14833" spans="3:3" x14ac:dyDescent="0.25">
      <c r="C14833" s="26">
        <v>14831</v>
      </c>
    </row>
    <row r="14834" spans="3:3" x14ac:dyDescent="0.25">
      <c r="C14834" s="26">
        <v>14832</v>
      </c>
    </row>
    <row r="14835" spans="3:3" x14ac:dyDescent="0.25">
      <c r="C14835" s="26">
        <v>14833</v>
      </c>
    </row>
    <row r="14836" spans="3:3" x14ac:dyDescent="0.25">
      <c r="C14836" s="26">
        <v>14834</v>
      </c>
    </row>
    <row r="14837" spans="3:3" x14ac:dyDescent="0.25">
      <c r="C14837" s="26">
        <v>14835</v>
      </c>
    </row>
    <row r="14838" spans="3:3" x14ac:dyDescent="0.25">
      <c r="C14838" s="26">
        <v>14836</v>
      </c>
    </row>
    <row r="14839" spans="3:3" x14ac:dyDescent="0.25">
      <c r="C14839" s="26">
        <v>14837</v>
      </c>
    </row>
    <row r="14840" spans="3:3" x14ac:dyDescent="0.25">
      <c r="C14840" s="26">
        <v>14838</v>
      </c>
    </row>
    <row r="14841" spans="3:3" x14ac:dyDescent="0.25">
      <c r="C14841" s="26">
        <v>14839</v>
      </c>
    </row>
    <row r="14842" spans="3:3" x14ac:dyDescent="0.25">
      <c r="C14842" s="26">
        <v>14840</v>
      </c>
    </row>
    <row r="14843" spans="3:3" x14ac:dyDescent="0.25">
      <c r="C14843" s="26">
        <v>14841</v>
      </c>
    </row>
    <row r="14844" spans="3:3" x14ac:dyDescent="0.25">
      <c r="C14844" s="26">
        <v>14842</v>
      </c>
    </row>
    <row r="14845" spans="3:3" x14ac:dyDescent="0.25">
      <c r="C14845" s="26">
        <v>14843</v>
      </c>
    </row>
    <row r="14846" spans="3:3" x14ac:dyDescent="0.25">
      <c r="C14846" s="26">
        <v>14844</v>
      </c>
    </row>
    <row r="14847" spans="3:3" x14ac:dyDescent="0.25">
      <c r="C14847" s="26">
        <v>14845</v>
      </c>
    </row>
    <row r="14848" spans="3:3" x14ac:dyDescent="0.25">
      <c r="C14848" s="26">
        <v>14846</v>
      </c>
    </row>
    <row r="14849" spans="3:3" x14ac:dyDescent="0.25">
      <c r="C14849" s="26">
        <v>14847</v>
      </c>
    </row>
    <row r="14850" spans="3:3" x14ac:dyDescent="0.25">
      <c r="C14850" s="26">
        <v>14848</v>
      </c>
    </row>
    <row r="14851" spans="3:3" x14ac:dyDescent="0.25">
      <c r="C14851" s="26">
        <v>14849</v>
      </c>
    </row>
    <row r="14852" spans="3:3" x14ac:dyDescent="0.25">
      <c r="C14852" s="26">
        <v>14850</v>
      </c>
    </row>
    <row r="14853" spans="3:3" x14ac:dyDescent="0.25">
      <c r="C14853" s="26">
        <v>14851</v>
      </c>
    </row>
    <row r="14854" spans="3:3" x14ac:dyDescent="0.25">
      <c r="C14854" s="26">
        <v>14852</v>
      </c>
    </row>
    <row r="14855" spans="3:3" x14ac:dyDescent="0.25">
      <c r="C14855" s="26">
        <v>14853</v>
      </c>
    </row>
    <row r="14856" spans="3:3" x14ac:dyDescent="0.25">
      <c r="C14856" s="26">
        <v>14854</v>
      </c>
    </row>
    <row r="14857" spans="3:3" x14ac:dyDescent="0.25">
      <c r="C14857" s="26">
        <v>14855</v>
      </c>
    </row>
    <row r="14858" spans="3:3" x14ac:dyDescent="0.25">
      <c r="C14858" s="26">
        <v>14856</v>
      </c>
    </row>
    <row r="14859" spans="3:3" x14ac:dyDescent="0.25">
      <c r="C14859" s="26">
        <v>14857</v>
      </c>
    </row>
    <row r="14860" spans="3:3" x14ac:dyDescent="0.25">
      <c r="C14860" s="26">
        <v>14858</v>
      </c>
    </row>
    <row r="14861" spans="3:3" x14ac:dyDescent="0.25">
      <c r="C14861" s="26">
        <v>14859</v>
      </c>
    </row>
    <row r="14862" spans="3:3" x14ac:dyDescent="0.25">
      <c r="C14862" s="26">
        <v>14860</v>
      </c>
    </row>
    <row r="14863" spans="3:3" x14ac:dyDescent="0.25">
      <c r="C14863" s="26">
        <v>14861</v>
      </c>
    </row>
    <row r="14864" spans="3:3" x14ac:dyDescent="0.25">
      <c r="C14864" s="26">
        <v>14862</v>
      </c>
    </row>
    <row r="14865" spans="3:3" x14ac:dyDescent="0.25">
      <c r="C14865" s="26">
        <v>14863</v>
      </c>
    </row>
    <row r="14866" spans="3:3" x14ac:dyDescent="0.25">
      <c r="C14866" s="26">
        <v>14864</v>
      </c>
    </row>
    <row r="14867" spans="3:3" x14ac:dyDescent="0.25">
      <c r="C14867" s="26">
        <v>14865</v>
      </c>
    </row>
    <row r="14868" spans="3:3" x14ac:dyDescent="0.25">
      <c r="C14868" s="26">
        <v>14866</v>
      </c>
    </row>
    <row r="14869" spans="3:3" x14ac:dyDescent="0.25">
      <c r="C14869" s="26">
        <v>14867</v>
      </c>
    </row>
    <row r="14870" spans="3:3" x14ac:dyDescent="0.25">
      <c r="C14870" s="26">
        <v>14868</v>
      </c>
    </row>
    <row r="14871" spans="3:3" x14ac:dyDescent="0.25">
      <c r="C14871" s="26">
        <v>14869</v>
      </c>
    </row>
    <row r="14872" spans="3:3" x14ac:dyDescent="0.25">
      <c r="C14872" s="26">
        <v>14870</v>
      </c>
    </row>
    <row r="14873" spans="3:3" x14ac:dyDescent="0.25">
      <c r="C14873" s="26">
        <v>14871</v>
      </c>
    </row>
    <row r="14874" spans="3:3" x14ac:dyDescent="0.25">
      <c r="C14874" s="26">
        <v>14872</v>
      </c>
    </row>
    <row r="14875" spans="3:3" x14ac:dyDescent="0.25">
      <c r="C14875" s="26">
        <v>14873</v>
      </c>
    </row>
    <row r="14876" spans="3:3" x14ac:dyDescent="0.25">
      <c r="C14876" s="26">
        <v>14874</v>
      </c>
    </row>
    <row r="14877" spans="3:3" x14ac:dyDescent="0.25">
      <c r="C14877" s="26">
        <v>14875</v>
      </c>
    </row>
    <row r="14878" spans="3:3" x14ac:dyDescent="0.25">
      <c r="C14878" s="26">
        <v>14876</v>
      </c>
    </row>
    <row r="14879" spans="3:3" x14ac:dyDescent="0.25">
      <c r="C14879" s="26">
        <v>14877</v>
      </c>
    </row>
    <row r="14880" spans="3:3" x14ac:dyDescent="0.25">
      <c r="C14880" s="26">
        <v>14878</v>
      </c>
    </row>
    <row r="14881" spans="3:3" x14ac:dyDescent="0.25">
      <c r="C14881" s="26">
        <v>14879</v>
      </c>
    </row>
    <row r="14882" spans="3:3" x14ac:dyDescent="0.25">
      <c r="C14882" s="26">
        <v>14880</v>
      </c>
    </row>
    <row r="14883" spans="3:3" x14ac:dyDescent="0.25">
      <c r="C14883" s="26">
        <v>14881</v>
      </c>
    </row>
    <row r="14884" spans="3:3" x14ac:dyDescent="0.25">
      <c r="C14884" s="26">
        <v>14882</v>
      </c>
    </row>
    <row r="14885" spans="3:3" x14ac:dyDescent="0.25">
      <c r="C14885" s="26">
        <v>14883</v>
      </c>
    </row>
    <row r="14886" spans="3:3" x14ac:dyDescent="0.25">
      <c r="C14886" s="26">
        <v>14884</v>
      </c>
    </row>
    <row r="14887" spans="3:3" x14ac:dyDescent="0.25">
      <c r="C14887" s="26">
        <v>14885</v>
      </c>
    </row>
    <row r="14888" spans="3:3" x14ac:dyDescent="0.25">
      <c r="C14888" s="26">
        <v>14886</v>
      </c>
    </row>
    <row r="14889" spans="3:3" x14ac:dyDescent="0.25">
      <c r="C14889" s="26">
        <v>14887</v>
      </c>
    </row>
    <row r="14890" spans="3:3" x14ac:dyDescent="0.25">
      <c r="C14890" s="26">
        <v>14888</v>
      </c>
    </row>
    <row r="14891" spans="3:3" x14ac:dyDescent="0.25">
      <c r="C14891" s="26">
        <v>14889</v>
      </c>
    </row>
    <row r="14892" spans="3:3" x14ac:dyDescent="0.25">
      <c r="C14892" s="26">
        <v>14890</v>
      </c>
    </row>
    <row r="14893" spans="3:3" x14ac:dyDescent="0.25">
      <c r="C14893" s="26">
        <v>14891</v>
      </c>
    </row>
    <row r="14894" spans="3:3" x14ac:dyDescent="0.25">
      <c r="C14894" s="26">
        <v>14892</v>
      </c>
    </row>
    <row r="14895" spans="3:3" x14ac:dyDescent="0.25">
      <c r="C14895" s="26">
        <v>14893</v>
      </c>
    </row>
    <row r="14896" spans="3:3" x14ac:dyDescent="0.25">
      <c r="C14896" s="26">
        <v>14894</v>
      </c>
    </row>
    <row r="14897" spans="3:3" x14ac:dyDescent="0.25">
      <c r="C14897" s="26">
        <v>14895</v>
      </c>
    </row>
    <row r="14898" spans="3:3" x14ac:dyDescent="0.25">
      <c r="C14898" s="26">
        <v>14896</v>
      </c>
    </row>
    <row r="14899" spans="3:3" x14ac:dyDescent="0.25">
      <c r="C14899" s="26">
        <v>14897</v>
      </c>
    </row>
    <row r="14900" spans="3:3" x14ac:dyDescent="0.25">
      <c r="C14900" s="26">
        <v>14898</v>
      </c>
    </row>
    <row r="14901" spans="3:3" x14ac:dyDescent="0.25">
      <c r="C14901" s="26">
        <v>14899</v>
      </c>
    </row>
    <row r="14902" spans="3:3" x14ac:dyDescent="0.25">
      <c r="C14902" s="26">
        <v>14900</v>
      </c>
    </row>
    <row r="14903" spans="3:3" x14ac:dyDescent="0.25">
      <c r="C14903" s="26">
        <v>14901</v>
      </c>
    </row>
    <row r="14904" spans="3:3" x14ac:dyDescent="0.25">
      <c r="C14904" s="26">
        <v>14902</v>
      </c>
    </row>
    <row r="14905" spans="3:3" x14ac:dyDescent="0.25">
      <c r="C14905" s="26">
        <v>14903</v>
      </c>
    </row>
    <row r="14906" spans="3:3" x14ac:dyDescent="0.25">
      <c r="C14906" s="26">
        <v>14904</v>
      </c>
    </row>
    <row r="14907" spans="3:3" x14ac:dyDescent="0.25">
      <c r="C14907" s="26">
        <v>14905</v>
      </c>
    </row>
    <row r="14908" spans="3:3" x14ac:dyDescent="0.25">
      <c r="C14908" s="26">
        <v>14906</v>
      </c>
    </row>
    <row r="14909" spans="3:3" x14ac:dyDescent="0.25">
      <c r="C14909" s="26">
        <v>14907</v>
      </c>
    </row>
    <row r="14910" spans="3:3" x14ac:dyDescent="0.25">
      <c r="C14910" s="26">
        <v>14908</v>
      </c>
    </row>
    <row r="14911" spans="3:3" x14ac:dyDescent="0.25">
      <c r="C14911" s="26">
        <v>14909</v>
      </c>
    </row>
    <row r="14912" spans="3:3" x14ac:dyDescent="0.25">
      <c r="C14912" s="26">
        <v>14910</v>
      </c>
    </row>
    <row r="14913" spans="3:3" x14ac:dyDescent="0.25">
      <c r="C14913" s="26">
        <v>14911</v>
      </c>
    </row>
    <row r="14914" spans="3:3" x14ac:dyDescent="0.25">
      <c r="C14914" s="26">
        <v>14912</v>
      </c>
    </row>
    <row r="14915" spans="3:3" x14ac:dyDescent="0.25">
      <c r="C14915" s="26">
        <v>14913</v>
      </c>
    </row>
    <row r="14916" spans="3:3" x14ac:dyDescent="0.25">
      <c r="C14916" s="26">
        <v>14914</v>
      </c>
    </row>
    <row r="14917" spans="3:3" x14ac:dyDescent="0.25">
      <c r="C14917" s="26">
        <v>14915</v>
      </c>
    </row>
    <row r="14918" spans="3:3" x14ac:dyDescent="0.25">
      <c r="C14918" s="26">
        <v>14916</v>
      </c>
    </row>
    <row r="14919" spans="3:3" x14ac:dyDescent="0.25">
      <c r="C14919" s="26">
        <v>14917</v>
      </c>
    </row>
    <row r="14920" spans="3:3" x14ac:dyDescent="0.25">
      <c r="C14920" s="26">
        <v>14918</v>
      </c>
    </row>
    <row r="14921" spans="3:3" x14ac:dyDescent="0.25">
      <c r="C14921" s="26">
        <v>14919</v>
      </c>
    </row>
    <row r="14922" spans="3:3" x14ac:dyDescent="0.25">
      <c r="C14922" s="26">
        <v>14920</v>
      </c>
    </row>
    <row r="14923" spans="3:3" x14ac:dyDescent="0.25">
      <c r="C14923" s="26">
        <v>14921</v>
      </c>
    </row>
    <row r="14924" spans="3:3" x14ac:dyDescent="0.25">
      <c r="C14924" s="26">
        <v>14922</v>
      </c>
    </row>
    <row r="14925" spans="3:3" x14ac:dyDescent="0.25">
      <c r="C14925" s="26">
        <v>14923</v>
      </c>
    </row>
    <row r="14926" spans="3:3" x14ac:dyDescent="0.25">
      <c r="C14926" s="26">
        <v>14924</v>
      </c>
    </row>
    <row r="14927" spans="3:3" x14ac:dyDescent="0.25">
      <c r="C14927" s="26">
        <v>14925</v>
      </c>
    </row>
    <row r="14928" spans="3:3" x14ac:dyDescent="0.25">
      <c r="C14928" s="26">
        <v>14926</v>
      </c>
    </row>
    <row r="14929" spans="3:3" x14ac:dyDescent="0.25">
      <c r="C14929" s="26">
        <v>14927</v>
      </c>
    </row>
    <row r="14930" spans="3:3" x14ac:dyDescent="0.25">
      <c r="C14930" s="26">
        <v>14928</v>
      </c>
    </row>
    <row r="14931" spans="3:3" x14ac:dyDescent="0.25">
      <c r="C14931" s="26">
        <v>14929</v>
      </c>
    </row>
    <row r="14932" spans="3:3" x14ac:dyDescent="0.25">
      <c r="C14932" s="26">
        <v>14930</v>
      </c>
    </row>
    <row r="14933" spans="3:3" x14ac:dyDescent="0.25">
      <c r="C14933" s="26">
        <v>14931</v>
      </c>
    </row>
    <row r="14934" spans="3:3" x14ac:dyDescent="0.25">
      <c r="C14934" s="26">
        <v>14932</v>
      </c>
    </row>
    <row r="14935" spans="3:3" x14ac:dyDescent="0.25">
      <c r="C14935" s="26">
        <v>14933</v>
      </c>
    </row>
    <row r="14936" spans="3:3" x14ac:dyDescent="0.25">
      <c r="C14936" s="26">
        <v>14934</v>
      </c>
    </row>
    <row r="14937" spans="3:3" x14ac:dyDescent="0.25">
      <c r="C14937" s="26">
        <v>14935</v>
      </c>
    </row>
    <row r="14938" spans="3:3" x14ac:dyDescent="0.25">
      <c r="C14938" s="26">
        <v>14936</v>
      </c>
    </row>
    <row r="14939" spans="3:3" x14ac:dyDescent="0.25">
      <c r="C14939" s="26">
        <v>14937</v>
      </c>
    </row>
    <row r="14940" spans="3:3" x14ac:dyDescent="0.25">
      <c r="C14940" s="26">
        <v>14938</v>
      </c>
    </row>
    <row r="14941" spans="3:3" x14ac:dyDescent="0.25">
      <c r="C14941" s="26">
        <v>14939</v>
      </c>
    </row>
    <row r="14942" spans="3:3" x14ac:dyDescent="0.25">
      <c r="C14942" s="26">
        <v>14940</v>
      </c>
    </row>
    <row r="14943" spans="3:3" x14ac:dyDescent="0.25">
      <c r="C14943" s="26">
        <v>14941</v>
      </c>
    </row>
    <row r="14944" spans="3:3" x14ac:dyDescent="0.25">
      <c r="C14944" s="26">
        <v>14942</v>
      </c>
    </row>
    <row r="14945" spans="3:3" x14ac:dyDescent="0.25">
      <c r="C14945" s="26">
        <v>14943</v>
      </c>
    </row>
    <row r="14946" spans="3:3" x14ac:dyDescent="0.25">
      <c r="C14946" s="26">
        <v>14944</v>
      </c>
    </row>
    <row r="14947" spans="3:3" x14ac:dyDescent="0.25">
      <c r="C14947" s="26">
        <v>14945</v>
      </c>
    </row>
    <row r="14948" spans="3:3" x14ac:dyDescent="0.25">
      <c r="C14948" s="26">
        <v>14946</v>
      </c>
    </row>
    <row r="14949" spans="3:3" x14ac:dyDescent="0.25">
      <c r="C14949" s="26">
        <v>14947</v>
      </c>
    </row>
    <row r="14950" spans="3:3" x14ac:dyDescent="0.25">
      <c r="C14950" s="26">
        <v>14948</v>
      </c>
    </row>
    <row r="14951" spans="3:3" x14ac:dyDescent="0.25">
      <c r="C14951" s="26">
        <v>14949</v>
      </c>
    </row>
    <row r="14952" spans="3:3" x14ac:dyDescent="0.25">
      <c r="C14952" s="26">
        <v>14950</v>
      </c>
    </row>
    <row r="14953" spans="3:3" x14ac:dyDescent="0.25">
      <c r="C14953" s="26">
        <v>14951</v>
      </c>
    </row>
    <row r="14954" spans="3:3" x14ac:dyDescent="0.25">
      <c r="C14954" s="26">
        <v>14952</v>
      </c>
    </row>
    <row r="14955" spans="3:3" x14ac:dyDescent="0.25">
      <c r="C14955" s="26">
        <v>14953</v>
      </c>
    </row>
    <row r="14956" spans="3:3" x14ac:dyDescent="0.25">
      <c r="C14956" s="26">
        <v>14954</v>
      </c>
    </row>
    <row r="14957" spans="3:3" x14ac:dyDescent="0.25">
      <c r="C14957" s="26">
        <v>14955</v>
      </c>
    </row>
    <row r="14958" spans="3:3" x14ac:dyDescent="0.25">
      <c r="C14958" s="26">
        <v>14956</v>
      </c>
    </row>
    <row r="14959" spans="3:3" x14ac:dyDescent="0.25">
      <c r="C14959" s="26">
        <v>14957</v>
      </c>
    </row>
    <row r="14960" spans="3:3" x14ac:dyDescent="0.25">
      <c r="C14960" s="26">
        <v>14958</v>
      </c>
    </row>
    <row r="14961" spans="3:3" x14ac:dyDescent="0.25">
      <c r="C14961" s="26">
        <v>14959</v>
      </c>
    </row>
    <row r="14962" spans="3:3" x14ac:dyDescent="0.25">
      <c r="C14962" s="26">
        <v>14960</v>
      </c>
    </row>
    <row r="14963" spans="3:3" x14ac:dyDescent="0.25">
      <c r="C14963" s="26">
        <v>14961</v>
      </c>
    </row>
    <row r="14964" spans="3:3" x14ac:dyDescent="0.25">
      <c r="C14964" s="26">
        <v>14962</v>
      </c>
    </row>
    <row r="14965" spans="3:3" x14ac:dyDescent="0.25">
      <c r="C14965" s="26">
        <v>14963</v>
      </c>
    </row>
    <row r="14966" spans="3:3" x14ac:dyDescent="0.25">
      <c r="C14966" s="26">
        <v>14964</v>
      </c>
    </row>
    <row r="14967" spans="3:3" x14ac:dyDescent="0.25">
      <c r="C14967" s="26">
        <v>14965</v>
      </c>
    </row>
    <row r="14968" spans="3:3" x14ac:dyDescent="0.25">
      <c r="C14968" s="26">
        <v>14966</v>
      </c>
    </row>
    <row r="14969" spans="3:3" x14ac:dyDescent="0.25">
      <c r="C14969" s="26">
        <v>14967</v>
      </c>
    </row>
    <row r="14970" spans="3:3" x14ac:dyDescent="0.25">
      <c r="C14970" s="26">
        <v>14968</v>
      </c>
    </row>
    <row r="14971" spans="3:3" x14ac:dyDescent="0.25">
      <c r="C14971" s="26">
        <v>14969</v>
      </c>
    </row>
    <row r="14972" spans="3:3" x14ac:dyDescent="0.25">
      <c r="C14972" s="26">
        <v>14970</v>
      </c>
    </row>
    <row r="14973" spans="3:3" x14ac:dyDescent="0.25">
      <c r="C14973" s="26">
        <v>14971</v>
      </c>
    </row>
    <row r="14974" spans="3:3" x14ac:dyDescent="0.25">
      <c r="C14974" s="26">
        <v>14972</v>
      </c>
    </row>
    <row r="14975" spans="3:3" x14ac:dyDescent="0.25">
      <c r="C14975" s="26">
        <v>14973</v>
      </c>
    </row>
    <row r="14976" spans="3:3" x14ac:dyDescent="0.25">
      <c r="C14976" s="26">
        <v>14974</v>
      </c>
    </row>
    <row r="14977" spans="3:3" x14ac:dyDescent="0.25">
      <c r="C14977" s="26">
        <v>14975</v>
      </c>
    </row>
    <row r="14978" spans="3:3" x14ac:dyDescent="0.25">
      <c r="C14978" s="26">
        <v>14976</v>
      </c>
    </row>
    <row r="14979" spans="3:3" x14ac:dyDescent="0.25">
      <c r="C14979" s="26">
        <v>14977</v>
      </c>
    </row>
    <row r="14980" spans="3:3" x14ac:dyDescent="0.25">
      <c r="C14980" s="26">
        <v>14978</v>
      </c>
    </row>
    <row r="14981" spans="3:3" x14ac:dyDescent="0.25">
      <c r="C14981" s="26">
        <v>14979</v>
      </c>
    </row>
    <row r="14982" spans="3:3" x14ac:dyDescent="0.25">
      <c r="C14982" s="26">
        <v>14980</v>
      </c>
    </row>
    <row r="14983" spans="3:3" x14ac:dyDescent="0.25">
      <c r="C14983" s="26">
        <v>14981</v>
      </c>
    </row>
    <row r="14984" spans="3:3" x14ac:dyDescent="0.25">
      <c r="C14984" s="26">
        <v>14982</v>
      </c>
    </row>
    <row r="14985" spans="3:3" x14ac:dyDescent="0.25">
      <c r="C14985" s="26">
        <v>14983</v>
      </c>
    </row>
    <row r="14986" spans="3:3" x14ac:dyDescent="0.25">
      <c r="C14986" s="26">
        <v>14984</v>
      </c>
    </row>
    <row r="14987" spans="3:3" x14ac:dyDescent="0.25">
      <c r="C14987" s="26">
        <v>14985</v>
      </c>
    </row>
    <row r="14988" spans="3:3" x14ac:dyDescent="0.25">
      <c r="C14988" s="26">
        <v>14986</v>
      </c>
    </row>
    <row r="14989" spans="3:3" x14ac:dyDescent="0.25">
      <c r="C14989" s="26">
        <v>14987</v>
      </c>
    </row>
    <row r="14990" spans="3:3" x14ac:dyDescent="0.25">
      <c r="C14990" s="26">
        <v>14988</v>
      </c>
    </row>
    <row r="14991" spans="3:3" x14ac:dyDescent="0.25">
      <c r="C14991" s="26">
        <v>14989</v>
      </c>
    </row>
    <row r="14992" spans="3:3" x14ac:dyDescent="0.25">
      <c r="C14992" s="26">
        <v>14990</v>
      </c>
    </row>
    <row r="14993" spans="3:3" x14ac:dyDescent="0.25">
      <c r="C14993" s="26">
        <v>14991</v>
      </c>
    </row>
    <row r="14994" spans="3:3" x14ac:dyDescent="0.25">
      <c r="C14994" s="26">
        <v>14992</v>
      </c>
    </row>
    <row r="14995" spans="3:3" x14ac:dyDescent="0.25">
      <c r="C14995" s="26">
        <v>14993</v>
      </c>
    </row>
    <row r="14996" spans="3:3" x14ac:dyDescent="0.25">
      <c r="C14996" s="26">
        <v>14994</v>
      </c>
    </row>
    <row r="14997" spans="3:3" x14ac:dyDescent="0.25">
      <c r="C14997" s="26">
        <v>14995</v>
      </c>
    </row>
    <row r="14998" spans="3:3" x14ac:dyDescent="0.25">
      <c r="C14998" s="26">
        <v>14996</v>
      </c>
    </row>
    <row r="14999" spans="3:3" x14ac:dyDescent="0.25">
      <c r="C14999" s="26">
        <v>14997</v>
      </c>
    </row>
    <row r="15000" spans="3:3" x14ac:dyDescent="0.25">
      <c r="C15000" s="26">
        <v>14998</v>
      </c>
    </row>
    <row r="15001" spans="3:3" x14ac:dyDescent="0.25">
      <c r="C15001" s="26">
        <v>14999</v>
      </c>
    </row>
    <row r="15002" spans="3:3" x14ac:dyDescent="0.25">
      <c r="C15002" s="26">
        <v>15000</v>
      </c>
    </row>
    <row r="15003" spans="3:3" x14ac:dyDescent="0.25">
      <c r="C15003" s="26">
        <v>15001</v>
      </c>
    </row>
    <row r="15004" spans="3:3" x14ac:dyDescent="0.25">
      <c r="C15004" s="26">
        <v>15002</v>
      </c>
    </row>
    <row r="15005" spans="3:3" x14ac:dyDescent="0.25">
      <c r="C15005" s="26">
        <v>15003</v>
      </c>
    </row>
    <row r="15006" spans="3:3" x14ac:dyDescent="0.25">
      <c r="C15006" s="26">
        <v>15004</v>
      </c>
    </row>
    <row r="15007" spans="3:3" x14ac:dyDescent="0.25">
      <c r="C15007" s="26">
        <v>15005</v>
      </c>
    </row>
    <row r="15008" spans="3:3" x14ac:dyDescent="0.25">
      <c r="C15008" s="26">
        <v>15006</v>
      </c>
    </row>
    <row r="15009" spans="3:3" x14ac:dyDescent="0.25">
      <c r="C15009" s="26">
        <v>15007</v>
      </c>
    </row>
    <row r="15010" spans="3:3" x14ac:dyDescent="0.25">
      <c r="C15010" s="26">
        <v>15008</v>
      </c>
    </row>
    <row r="15011" spans="3:3" x14ac:dyDescent="0.25">
      <c r="C15011" s="26">
        <v>15009</v>
      </c>
    </row>
    <row r="15012" spans="3:3" x14ac:dyDescent="0.25">
      <c r="C15012" s="26">
        <v>15010</v>
      </c>
    </row>
    <row r="15013" spans="3:3" x14ac:dyDescent="0.25">
      <c r="C15013" s="26">
        <v>15011</v>
      </c>
    </row>
    <row r="15014" spans="3:3" x14ac:dyDescent="0.25">
      <c r="C15014" s="26">
        <v>15012</v>
      </c>
    </row>
    <row r="15015" spans="3:3" x14ac:dyDescent="0.25">
      <c r="C15015" s="26">
        <v>15013</v>
      </c>
    </row>
    <row r="15016" spans="3:3" x14ac:dyDescent="0.25">
      <c r="C15016" s="26">
        <v>15014</v>
      </c>
    </row>
    <row r="15017" spans="3:3" x14ac:dyDescent="0.25">
      <c r="C15017" s="26">
        <v>15015</v>
      </c>
    </row>
    <row r="15018" spans="3:3" x14ac:dyDescent="0.25">
      <c r="C15018" s="26">
        <v>15016</v>
      </c>
    </row>
    <row r="15019" spans="3:3" x14ac:dyDescent="0.25">
      <c r="C15019" s="26">
        <v>15017</v>
      </c>
    </row>
    <row r="15020" spans="3:3" x14ac:dyDescent="0.25">
      <c r="C15020" s="26">
        <v>15018</v>
      </c>
    </row>
    <row r="15021" spans="3:3" x14ac:dyDescent="0.25">
      <c r="C15021" s="26">
        <v>15019</v>
      </c>
    </row>
    <row r="15022" spans="3:3" x14ac:dyDescent="0.25">
      <c r="C15022" s="26">
        <v>15020</v>
      </c>
    </row>
    <row r="15023" spans="3:3" x14ac:dyDescent="0.25">
      <c r="C15023" s="26">
        <v>15021</v>
      </c>
    </row>
    <row r="15024" spans="3:3" x14ac:dyDescent="0.25">
      <c r="C15024" s="26">
        <v>15022</v>
      </c>
    </row>
    <row r="15025" spans="3:3" x14ac:dyDescent="0.25">
      <c r="C15025" s="26">
        <v>15023</v>
      </c>
    </row>
    <row r="15026" spans="3:3" x14ac:dyDescent="0.25">
      <c r="C15026" s="26">
        <v>15024</v>
      </c>
    </row>
    <row r="15027" spans="3:3" x14ac:dyDescent="0.25">
      <c r="C15027" s="26">
        <v>15025</v>
      </c>
    </row>
    <row r="15028" spans="3:3" x14ac:dyDescent="0.25">
      <c r="C15028" s="26">
        <v>15026</v>
      </c>
    </row>
    <row r="15029" spans="3:3" x14ac:dyDescent="0.25">
      <c r="C15029" s="26">
        <v>15027</v>
      </c>
    </row>
    <row r="15030" spans="3:3" x14ac:dyDescent="0.25">
      <c r="C15030" s="26">
        <v>15028</v>
      </c>
    </row>
    <row r="15031" spans="3:3" x14ac:dyDescent="0.25">
      <c r="C15031" s="26">
        <v>15029</v>
      </c>
    </row>
    <row r="15032" spans="3:3" x14ac:dyDescent="0.25">
      <c r="C15032" s="26">
        <v>15030</v>
      </c>
    </row>
    <row r="15033" spans="3:3" x14ac:dyDescent="0.25">
      <c r="C15033" s="26">
        <v>15031</v>
      </c>
    </row>
    <row r="15034" spans="3:3" x14ac:dyDescent="0.25">
      <c r="C15034" s="26">
        <v>15032</v>
      </c>
    </row>
    <row r="15035" spans="3:3" x14ac:dyDescent="0.25">
      <c r="C15035" s="26">
        <v>15033</v>
      </c>
    </row>
    <row r="15036" spans="3:3" x14ac:dyDescent="0.25">
      <c r="C15036" s="26">
        <v>15034</v>
      </c>
    </row>
    <row r="15037" spans="3:3" x14ac:dyDescent="0.25">
      <c r="C15037" s="26">
        <v>15035</v>
      </c>
    </row>
    <row r="15038" spans="3:3" x14ac:dyDescent="0.25">
      <c r="C15038" s="26">
        <v>15036</v>
      </c>
    </row>
    <row r="15039" spans="3:3" x14ac:dyDescent="0.25">
      <c r="C15039" s="26">
        <v>15037</v>
      </c>
    </row>
    <row r="15040" spans="3:3" x14ac:dyDescent="0.25">
      <c r="C15040" s="26">
        <v>15038</v>
      </c>
    </row>
    <row r="15041" spans="3:3" x14ac:dyDescent="0.25">
      <c r="C15041" s="26">
        <v>15039</v>
      </c>
    </row>
    <row r="15042" spans="3:3" x14ac:dyDescent="0.25">
      <c r="C15042" s="26">
        <v>15040</v>
      </c>
    </row>
    <row r="15043" spans="3:3" x14ac:dyDescent="0.25">
      <c r="C15043" s="26">
        <v>15041</v>
      </c>
    </row>
    <row r="15044" spans="3:3" x14ac:dyDescent="0.25">
      <c r="C15044" s="26">
        <v>15042</v>
      </c>
    </row>
    <row r="15045" spans="3:3" x14ac:dyDescent="0.25">
      <c r="C15045" s="26">
        <v>15043</v>
      </c>
    </row>
    <row r="15046" spans="3:3" x14ac:dyDescent="0.25">
      <c r="C15046" s="26">
        <v>15044</v>
      </c>
    </row>
    <row r="15047" spans="3:3" x14ac:dyDescent="0.25">
      <c r="C15047" s="26">
        <v>15045</v>
      </c>
    </row>
    <row r="15048" spans="3:3" x14ac:dyDescent="0.25">
      <c r="C15048" s="26">
        <v>15046</v>
      </c>
    </row>
    <row r="15049" spans="3:3" x14ac:dyDescent="0.25">
      <c r="C15049" s="26">
        <v>15047</v>
      </c>
    </row>
    <row r="15050" spans="3:3" x14ac:dyDescent="0.25">
      <c r="C15050" s="26">
        <v>15048</v>
      </c>
    </row>
    <row r="15051" spans="3:3" x14ac:dyDescent="0.25">
      <c r="C15051" s="26">
        <v>15049</v>
      </c>
    </row>
    <row r="15052" spans="3:3" x14ac:dyDescent="0.25">
      <c r="C15052" s="26">
        <v>15050</v>
      </c>
    </row>
    <row r="15053" spans="3:3" x14ac:dyDescent="0.25">
      <c r="C15053" s="26">
        <v>15051</v>
      </c>
    </row>
    <row r="15054" spans="3:3" x14ac:dyDescent="0.25">
      <c r="C15054" s="26">
        <v>15052</v>
      </c>
    </row>
    <row r="15055" spans="3:3" x14ac:dyDescent="0.25">
      <c r="C15055" s="26">
        <v>15053</v>
      </c>
    </row>
    <row r="15056" spans="3:3" x14ac:dyDescent="0.25">
      <c r="C15056" s="26">
        <v>15054</v>
      </c>
    </row>
    <row r="15057" spans="3:3" x14ac:dyDescent="0.25">
      <c r="C15057" s="26">
        <v>15055</v>
      </c>
    </row>
    <row r="15058" spans="3:3" x14ac:dyDescent="0.25">
      <c r="C15058" s="26">
        <v>15056</v>
      </c>
    </row>
    <row r="15059" spans="3:3" x14ac:dyDescent="0.25">
      <c r="C15059" s="26">
        <v>15057</v>
      </c>
    </row>
    <row r="15060" spans="3:3" x14ac:dyDescent="0.25">
      <c r="C15060" s="26">
        <v>15058</v>
      </c>
    </row>
    <row r="15061" spans="3:3" x14ac:dyDescent="0.25">
      <c r="C15061" s="26">
        <v>15059</v>
      </c>
    </row>
    <row r="15062" spans="3:3" x14ac:dyDescent="0.25">
      <c r="C15062" s="26">
        <v>15060</v>
      </c>
    </row>
    <row r="15063" spans="3:3" x14ac:dyDescent="0.25">
      <c r="C15063" s="26">
        <v>15061</v>
      </c>
    </row>
    <row r="15064" spans="3:3" x14ac:dyDescent="0.25">
      <c r="C15064" s="26">
        <v>15062</v>
      </c>
    </row>
    <row r="15065" spans="3:3" x14ac:dyDescent="0.25">
      <c r="C15065" s="26">
        <v>15063</v>
      </c>
    </row>
    <row r="15066" spans="3:3" x14ac:dyDescent="0.25">
      <c r="C15066" s="26">
        <v>15064</v>
      </c>
    </row>
    <row r="15067" spans="3:3" x14ac:dyDescent="0.25">
      <c r="C15067" s="26">
        <v>15065</v>
      </c>
    </row>
    <row r="15068" spans="3:3" x14ac:dyDescent="0.25">
      <c r="C15068" s="26">
        <v>15066</v>
      </c>
    </row>
    <row r="15069" spans="3:3" x14ac:dyDescent="0.25">
      <c r="C15069" s="26">
        <v>15067</v>
      </c>
    </row>
    <row r="15070" spans="3:3" x14ac:dyDescent="0.25">
      <c r="C15070" s="26">
        <v>15068</v>
      </c>
    </row>
    <row r="15071" spans="3:3" x14ac:dyDescent="0.25">
      <c r="C15071" s="26">
        <v>15069</v>
      </c>
    </row>
    <row r="15072" spans="3:3" x14ac:dyDescent="0.25">
      <c r="C15072" s="26">
        <v>15070</v>
      </c>
    </row>
    <row r="15073" spans="3:3" x14ac:dyDescent="0.25">
      <c r="C15073" s="26">
        <v>15071</v>
      </c>
    </row>
    <row r="15074" spans="3:3" x14ac:dyDescent="0.25">
      <c r="C15074" s="26">
        <v>15072</v>
      </c>
    </row>
    <row r="15075" spans="3:3" x14ac:dyDescent="0.25">
      <c r="C15075" s="26">
        <v>15073</v>
      </c>
    </row>
    <row r="15076" spans="3:3" x14ac:dyDescent="0.25">
      <c r="C15076" s="26">
        <v>15074</v>
      </c>
    </row>
    <row r="15077" spans="3:3" x14ac:dyDescent="0.25">
      <c r="C15077" s="26">
        <v>15075</v>
      </c>
    </row>
    <row r="15078" spans="3:3" x14ac:dyDescent="0.25">
      <c r="C15078" s="26">
        <v>15076</v>
      </c>
    </row>
    <row r="15079" spans="3:3" x14ac:dyDescent="0.25">
      <c r="C15079" s="26">
        <v>15077</v>
      </c>
    </row>
    <row r="15080" spans="3:3" x14ac:dyDescent="0.25">
      <c r="C15080" s="26">
        <v>15078</v>
      </c>
    </row>
    <row r="15081" spans="3:3" x14ac:dyDescent="0.25">
      <c r="C15081" s="26">
        <v>15079</v>
      </c>
    </row>
    <row r="15082" spans="3:3" x14ac:dyDescent="0.25">
      <c r="C15082" s="26">
        <v>15080</v>
      </c>
    </row>
    <row r="15083" spans="3:3" x14ac:dyDescent="0.25">
      <c r="C15083" s="26">
        <v>15081</v>
      </c>
    </row>
    <row r="15084" spans="3:3" x14ac:dyDescent="0.25">
      <c r="C15084" s="26">
        <v>15082</v>
      </c>
    </row>
    <row r="15085" spans="3:3" x14ac:dyDescent="0.25">
      <c r="C15085" s="26">
        <v>15083</v>
      </c>
    </row>
    <row r="15086" spans="3:3" x14ac:dyDescent="0.25">
      <c r="C15086" s="26">
        <v>15084</v>
      </c>
    </row>
    <row r="15087" spans="3:3" x14ac:dyDescent="0.25">
      <c r="C15087" s="26">
        <v>15085</v>
      </c>
    </row>
    <row r="15088" spans="3:3" x14ac:dyDescent="0.25">
      <c r="C15088" s="26">
        <v>15086</v>
      </c>
    </row>
    <row r="15089" spans="3:3" x14ac:dyDescent="0.25">
      <c r="C15089" s="26">
        <v>15087</v>
      </c>
    </row>
    <row r="15090" spans="3:3" x14ac:dyDescent="0.25">
      <c r="C15090" s="26">
        <v>15088</v>
      </c>
    </row>
    <row r="15091" spans="3:3" x14ac:dyDescent="0.25">
      <c r="C15091" s="26">
        <v>15089</v>
      </c>
    </row>
    <row r="15092" spans="3:3" x14ac:dyDescent="0.25">
      <c r="C15092" s="26">
        <v>15090</v>
      </c>
    </row>
    <row r="15093" spans="3:3" x14ac:dyDescent="0.25">
      <c r="C15093" s="26">
        <v>15091</v>
      </c>
    </row>
    <row r="15094" spans="3:3" x14ac:dyDescent="0.25">
      <c r="C15094" s="26">
        <v>15092</v>
      </c>
    </row>
    <row r="15095" spans="3:3" x14ac:dyDescent="0.25">
      <c r="C15095" s="26">
        <v>15093</v>
      </c>
    </row>
    <row r="15096" spans="3:3" x14ac:dyDescent="0.25">
      <c r="C15096" s="26">
        <v>15094</v>
      </c>
    </row>
    <row r="15097" spans="3:3" x14ac:dyDescent="0.25">
      <c r="C15097" s="26">
        <v>15095</v>
      </c>
    </row>
    <row r="15098" spans="3:3" x14ac:dyDescent="0.25">
      <c r="C15098" s="26">
        <v>15096</v>
      </c>
    </row>
    <row r="15099" spans="3:3" x14ac:dyDescent="0.25">
      <c r="C15099" s="26">
        <v>15097</v>
      </c>
    </row>
    <row r="15100" spans="3:3" x14ac:dyDescent="0.25">
      <c r="C15100" s="26">
        <v>15098</v>
      </c>
    </row>
    <row r="15101" spans="3:3" x14ac:dyDescent="0.25">
      <c r="C15101" s="26">
        <v>15099</v>
      </c>
    </row>
    <row r="15102" spans="3:3" x14ac:dyDescent="0.25">
      <c r="C15102" s="26">
        <v>15100</v>
      </c>
    </row>
    <row r="15103" spans="3:3" x14ac:dyDescent="0.25">
      <c r="C15103" s="26">
        <v>15101</v>
      </c>
    </row>
    <row r="15104" spans="3:3" x14ac:dyDescent="0.25">
      <c r="C15104" s="26">
        <v>15102</v>
      </c>
    </row>
    <row r="15105" spans="3:3" x14ac:dyDescent="0.25">
      <c r="C15105" s="26">
        <v>15103</v>
      </c>
    </row>
    <row r="15106" spans="3:3" x14ac:dyDescent="0.25">
      <c r="C15106" s="26">
        <v>15104</v>
      </c>
    </row>
    <row r="15107" spans="3:3" x14ac:dyDescent="0.25">
      <c r="C15107" s="26">
        <v>15105</v>
      </c>
    </row>
    <row r="15108" spans="3:3" x14ac:dyDescent="0.25">
      <c r="C15108" s="26">
        <v>15106</v>
      </c>
    </row>
    <row r="15109" spans="3:3" x14ac:dyDescent="0.25">
      <c r="C15109" s="26">
        <v>15107</v>
      </c>
    </row>
    <row r="15110" spans="3:3" x14ac:dyDescent="0.25">
      <c r="C15110" s="26">
        <v>15108</v>
      </c>
    </row>
    <row r="15111" spans="3:3" x14ac:dyDescent="0.25">
      <c r="C15111" s="26">
        <v>15109</v>
      </c>
    </row>
    <row r="15112" spans="3:3" x14ac:dyDescent="0.25">
      <c r="C15112" s="26">
        <v>15110</v>
      </c>
    </row>
    <row r="15113" spans="3:3" x14ac:dyDescent="0.25">
      <c r="C15113" s="26">
        <v>15111</v>
      </c>
    </row>
    <row r="15114" spans="3:3" x14ac:dyDescent="0.25">
      <c r="C15114" s="26">
        <v>15112</v>
      </c>
    </row>
    <row r="15115" spans="3:3" x14ac:dyDescent="0.25">
      <c r="C15115" s="26">
        <v>15113</v>
      </c>
    </row>
    <row r="15116" spans="3:3" x14ac:dyDescent="0.25">
      <c r="C15116" s="26">
        <v>15114</v>
      </c>
    </row>
    <row r="15117" spans="3:3" x14ac:dyDescent="0.25">
      <c r="C15117" s="26">
        <v>15115</v>
      </c>
    </row>
    <row r="15118" spans="3:3" x14ac:dyDescent="0.25">
      <c r="C15118" s="26">
        <v>15116</v>
      </c>
    </row>
    <row r="15119" spans="3:3" x14ac:dyDescent="0.25">
      <c r="C15119" s="26">
        <v>15117</v>
      </c>
    </row>
    <row r="15120" spans="3:3" x14ac:dyDescent="0.25">
      <c r="C15120" s="26">
        <v>15118</v>
      </c>
    </row>
    <row r="15121" spans="3:3" x14ac:dyDescent="0.25">
      <c r="C15121" s="26">
        <v>15119</v>
      </c>
    </row>
    <row r="15122" spans="3:3" x14ac:dyDescent="0.25">
      <c r="C15122" s="26">
        <v>15120</v>
      </c>
    </row>
    <row r="15123" spans="3:3" x14ac:dyDescent="0.25">
      <c r="C15123" s="26">
        <v>15121</v>
      </c>
    </row>
    <row r="15124" spans="3:3" x14ac:dyDescent="0.25">
      <c r="C15124" s="26">
        <v>15122</v>
      </c>
    </row>
    <row r="15125" spans="3:3" x14ac:dyDescent="0.25">
      <c r="C15125" s="26">
        <v>15123</v>
      </c>
    </row>
    <row r="15126" spans="3:3" x14ac:dyDescent="0.25">
      <c r="C15126" s="26">
        <v>15124</v>
      </c>
    </row>
    <row r="15127" spans="3:3" x14ac:dyDescent="0.25">
      <c r="C15127" s="26">
        <v>15125</v>
      </c>
    </row>
    <row r="15128" spans="3:3" x14ac:dyDescent="0.25">
      <c r="C15128" s="26">
        <v>15126</v>
      </c>
    </row>
    <row r="15129" spans="3:3" x14ac:dyDescent="0.25">
      <c r="C15129" s="26">
        <v>15127</v>
      </c>
    </row>
    <row r="15130" spans="3:3" x14ac:dyDescent="0.25">
      <c r="C15130" s="26">
        <v>15128</v>
      </c>
    </row>
    <row r="15131" spans="3:3" x14ac:dyDescent="0.25">
      <c r="C15131" s="26">
        <v>15129</v>
      </c>
    </row>
    <row r="15132" spans="3:3" x14ac:dyDescent="0.25">
      <c r="C15132" s="26">
        <v>15130</v>
      </c>
    </row>
    <row r="15133" spans="3:3" x14ac:dyDescent="0.25">
      <c r="C15133" s="26">
        <v>15131</v>
      </c>
    </row>
    <row r="15134" spans="3:3" x14ac:dyDescent="0.25">
      <c r="C15134" s="26">
        <v>15132</v>
      </c>
    </row>
    <row r="15135" spans="3:3" x14ac:dyDescent="0.25">
      <c r="C15135" s="26">
        <v>15133</v>
      </c>
    </row>
    <row r="15136" spans="3:3" x14ac:dyDescent="0.25">
      <c r="C15136" s="26">
        <v>15134</v>
      </c>
    </row>
    <row r="15137" spans="3:3" x14ac:dyDescent="0.25">
      <c r="C15137" s="26">
        <v>15135</v>
      </c>
    </row>
    <row r="15138" spans="3:3" x14ac:dyDescent="0.25">
      <c r="C15138" s="26">
        <v>15136</v>
      </c>
    </row>
    <row r="15139" spans="3:3" x14ac:dyDescent="0.25">
      <c r="C15139" s="26">
        <v>15137</v>
      </c>
    </row>
    <row r="15140" spans="3:3" x14ac:dyDescent="0.25">
      <c r="C15140" s="26">
        <v>15138</v>
      </c>
    </row>
    <row r="15141" spans="3:3" x14ac:dyDescent="0.25">
      <c r="C15141" s="26">
        <v>15139</v>
      </c>
    </row>
    <row r="15142" spans="3:3" x14ac:dyDescent="0.25">
      <c r="C15142" s="26">
        <v>15140</v>
      </c>
    </row>
    <row r="15143" spans="3:3" x14ac:dyDescent="0.25">
      <c r="C15143" s="26">
        <v>15141</v>
      </c>
    </row>
    <row r="15144" spans="3:3" x14ac:dyDescent="0.25">
      <c r="C15144" s="26">
        <v>15142</v>
      </c>
    </row>
    <row r="15145" spans="3:3" x14ac:dyDescent="0.25">
      <c r="C15145" s="26">
        <v>15143</v>
      </c>
    </row>
    <row r="15146" spans="3:3" x14ac:dyDescent="0.25">
      <c r="C15146" s="26">
        <v>15144</v>
      </c>
    </row>
    <row r="15147" spans="3:3" x14ac:dyDescent="0.25">
      <c r="C15147" s="26">
        <v>15145</v>
      </c>
    </row>
    <row r="15148" spans="3:3" x14ac:dyDescent="0.25">
      <c r="C15148" s="26">
        <v>15146</v>
      </c>
    </row>
    <row r="15149" spans="3:3" x14ac:dyDescent="0.25">
      <c r="C15149" s="26">
        <v>15147</v>
      </c>
    </row>
    <row r="15150" spans="3:3" x14ac:dyDescent="0.25">
      <c r="C15150" s="26">
        <v>15148</v>
      </c>
    </row>
    <row r="15151" spans="3:3" x14ac:dyDescent="0.25">
      <c r="C15151" s="26">
        <v>15149</v>
      </c>
    </row>
    <row r="15152" spans="3:3" x14ac:dyDescent="0.25">
      <c r="C15152" s="26">
        <v>15150</v>
      </c>
    </row>
    <row r="15153" spans="3:3" x14ac:dyDescent="0.25">
      <c r="C15153" s="26">
        <v>15151</v>
      </c>
    </row>
    <row r="15154" spans="3:3" x14ac:dyDescent="0.25">
      <c r="C15154" s="26">
        <v>15152</v>
      </c>
    </row>
    <row r="15155" spans="3:3" x14ac:dyDescent="0.25">
      <c r="C15155" s="26">
        <v>15153</v>
      </c>
    </row>
    <row r="15156" spans="3:3" x14ac:dyDescent="0.25">
      <c r="C15156" s="26">
        <v>15154</v>
      </c>
    </row>
    <row r="15157" spans="3:3" x14ac:dyDescent="0.25">
      <c r="C15157" s="26">
        <v>15155</v>
      </c>
    </row>
    <row r="15158" spans="3:3" x14ac:dyDescent="0.25">
      <c r="C15158" s="26">
        <v>15156</v>
      </c>
    </row>
    <row r="15159" spans="3:3" x14ac:dyDescent="0.25">
      <c r="C15159" s="26">
        <v>15157</v>
      </c>
    </row>
    <row r="15160" spans="3:3" x14ac:dyDescent="0.25">
      <c r="C15160" s="26">
        <v>15158</v>
      </c>
    </row>
    <row r="15161" spans="3:3" x14ac:dyDescent="0.25">
      <c r="C15161" s="26">
        <v>15159</v>
      </c>
    </row>
    <row r="15162" spans="3:3" x14ac:dyDescent="0.25">
      <c r="C15162" s="26">
        <v>15160</v>
      </c>
    </row>
    <row r="15163" spans="3:3" x14ac:dyDescent="0.25">
      <c r="C15163" s="26">
        <v>15161</v>
      </c>
    </row>
    <row r="15164" spans="3:3" x14ac:dyDescent="0.25">
      <c r="C15164" s="26">
        <v>15162</v>
      </c>
    </row>
    <row r="15165" spans="3:3" x14ac:dyDescent="0.25">
      <c r="C15165" s="26">
        <v>15163</v>
      </c>
    </row>
    <row r="15166" spans="3:3" x14ac:dyDescent="0.25">
      <c r="C15166" s="26">
        <v>15164</v>
      </c>
    </row>
    <row r="15167" spans="3:3" x14ac:dyDescent="0.25">
      <c r="C15167" s="26">
        <v>15165</v>
      </c>
    </row>
    <row r="15168" spans="3:3" x14ac:dyDescent="0.25">
      <c r="C15168" s="26">
        <v>15166</v>
      </c>
    </row>
    <row r="15169" spans="3:3" x14ac:dyDescent="0.25">
      <c r="C15169" s="26">
        <v>15167</v>
      </c>
    </row>
    <row r="15170" spans="3:3" x14ac:dyDescent="0.25">
      <c r="C15170" s="26">
        <v>15168</v>
      </c>
    </row>
    <row r="15171" spans="3:3" x14ac:dyDescent="0.25">
      <c r="C15171" s="26">
        <v>15169</v>
      </c>
    </row>
    <row r="15172" spans="3:3" x14ac:dyDescent="0.25">
      <c r="C15172" s="26">
        <v>15170</v>
      </c>
    </row>
    <row r="15173" spans="3:3" x14ac:dyDescent="0.25">
      <c r="C15173" s="26">
        <v>15171</v>
      </c>
    </row>
    <row r="15174" spans="3:3" x14ac:dyDescent="0.25">
      <c r="C15174" s="26">
        <v>15172</v>
      </c>
    </row>
    <row r="15175" spans="3:3" x14ac:dyDescent="0.25">
      <c r="C15175" s="26">
        <v>15173</v>
      </c>
    </row>
    <row r="15176" spans="3:3" x14ac:dyDescent="0.25">
      <c r="C15176" s="26">
        <v>15174</v>
      </c>
    </row>
    <row r="15177" spans="3:3" x14ac:dyDescent="0.25">
      <c r="C15177" s="26">
        <v>15175</v>
      </c>
    </row>
    <row r="15178" spans="3:3" x14ac:dyDescent="0.25">
      <c r="C15178" s="26">
        <v>15176</v>
      </c>
    </row>
    <row r="15179" spans="3:3" x14ac:dyDescent="0.25">
      <c r="C15179" s="26">
        <v>15177</v>
      </c>
    </row>
    <row r="15180" spans="3:3" x14ac:dyDescent="0.25">
      <c r="C15180" s="26">
        <v>15178</v>
      </c>
    </row>
    <row r="15181" spans="3:3" x14ac:dyDescent="0.25">
      <c r="C15181" s="26">
        <v>15179</v>
      </c>
    </row>
    <row r="15182" spans="3:3" x14ac:dyDescent="0.25">
      <c r="C15182" s="26">
        <v>15180</v>
      </c>
    </row>
    <row r="15183" spans="3:3" x14ac:dyDescent="0.25">
      <c r="C15183" s="26">
        <v>15181</v>
      </c>
    </row>
    <row r="15184" spans="3:3" x14ac:dyDescent="0.25">
      <c r="C15184" s="26">
        <v>15182</v>
      </c>
    </row>
    <row r="15185" spans="3:3" x14ac:dyDescent="0.25">
      <c r="C15185" s="26">
        <v>15183</v>
      </c>
    </row>
    <row r="15186" spans="3:3" x14ac:dyDescent="0.25">
      <c r="C15186" s="26">
        <v>15184</v>
      </c>
    </row>
    <row r="15187" spans="3:3" x14ac:dyDescent="0.25">
      <c r="C15187" s="26">
        <v>15185</v>
      </c>
    </row>
    <row r="15188" spans="3:3" x14ac:dyDescent="0.25">
      <c r="C15188" s="26">
        <v>15186</v>
      </c>
    </row>
    <row r="15189" spans="3:3" x14ac:dyDescent="0.25">
      <c r="C15189" s="26">
        <v>15187</v>
      </c>
    </row>
    <row r="15190" spans="3:3" x14ac:dyDescent="0.25">
      <c r="C15190" s="26">
        <v>15188</v>
      </c>
    </row>
    <row r="15191" spans="3:3" x14ac:dyDescent="0.25">
      <c r="C15191" s="26">
        <v>15189</v>
      </c>
    </row>
    <row r="15192" spans="3:3" x14ac:dyDescent="0.25">
      <c r="C15192" s="26">
        <v>15190</v>
      </c>
    </row>
    <row r="15193" spans="3:3" x14ac:dyDescent="0.25">
      <c r="C15193" s="26">
        <v>15191</v>
      </c>
    </row>
    <row r="15194" spans="3:3" x14ac:dyDescent="0.25">
      <c r="C15194" s="26">
        <v>15192</v>
      </c>
    </row>
    <row r="15195" spans="3:3" x14ac:dyDescent="0.25">
      <c r="C15195" s="26">
        <v>15193</v>
      </c>
    </row>
    <row r="15196" spans="3:3" x14ac:dyDescent="0.25">
      <c r="C15196" s="26">
        <v>15194</v>
      </c>
    </row>
    <row r="15197" spans="3:3" x14ac:dyDescent="0.25">
      <c r="C15197" s="26">
        <v>15195</v>
      </c>
    </row>
    <row r="15198" spans="3:3" x14ac:dyDescent="0.25">
      <c r="C15198" s="26">
        <v>15196</v>
      </c>
    </row>
    <row r="15199" spans="3:3" x14ac:dyDescent="0.25">
      <c r="C15199" s="26">
        <v>15197</v>
      </c>
    </row>
    <row r="15200" spans="3:3" x14ac:dyDescent="0.25">
      <c r="C15200" s="26">
        <v>15198</v>
      </c>
    </row>
    <row r="15201" spans="3:3" x14ac:dyDescent="0.25">
      <c r="C15201" s="26">
        <v>15199</v>
      </c>
    </row>
    <row r="15202" spans="3:3" x14ac:dyDescent="0.25">
      <c r="C15202" s="26">
        <v>15200</v>
      </c>
    </row>
    <row r="15203" spans="3:3" x14ac:dyDescent="0.25">
      <c r="C15203" s="26">
        <v>15201</v>
      </c>
    </row>
    <row r="15204" spans="3:3" x14ac:dyDescent="0.25">
      <c r="C15204" s="26">
        <v>15202</v>
      </c>
    </row>
    <row r="15205" spans="3:3" x14ac:dyDescent="0.25">
      <c r="C15205" s="26">
        <v>15203</v>
      </c>
    </row>
    <row r="15206" spans="3:3" x14ac:dyDescent="0.25">
      <c r="C15206" s="26">
        <v>15204</v>
      </c>
    </row>
    <row r="15207" spans="3:3" x14ac:dyDescent="0.25">
      <c r="C15207" s="26">
        <v>15205</v>
      </c>
    </row>
    <row r="15208" spans="3:3" x14ac:dyDescent="0.25">
      <c r="C15208" s="26">
        <v>15206</v>
      </c>
    </row>
    <row r="15209" spans="3:3" x14ac:dyDescent="0.25">
      <c r="C15209" s="26">
        <v>15207</v>
      </c>
    </row>
    <row r="15210" spans="3:3" x14ac:dyDescent="0.25">
      <c r="C15210" s="26">
        <v>15208</v>
      </c>
    </row>
    <row r="15211" spans="3:3" x14ac:dyDescent="0.25">
      <c r="C15211" s="26">
        <v>15209</v>
      </c>
    </row>
    <row r="15212" spans="3:3" x14ac:dyDescent="0.25">
      <c r="C15212" s="26">
        <v>15210</v>
      </c>
    </row>
    <row r="15213" spans="3:3" x14ac:dyDescent="0.25">
      <c r="C15213" s="26">
        <v>15211</v>
      </c>
    </row>
    <row r="15214" spans="3:3" x14ac:dyDescent="0.25">
      <c r="C15214" s="26">
        <v>15212</v>
      </c>
    </row>
    <row r="15215" spans="3:3" x14ac:dyDescent="0.25">
      <c r="C15215" s="26">
        <v>15213</v>
      </c>
    </row>
    <row r="15216" spans="3:3" x14ac:dyDescent="0.25">
      <c r="C15216" s="26">
        <v>15214</v>
      </c>
    </row>
    <row r="15217" spans="3:3" x14ac:dyDescent="0.25">
      <c r="C15217" s="26">
        <v>15215</v>
      </c>
    </row>
    <row r="15218" spans="3:3" x14ac:dyDescent="0.25">
      <c r="C15218" s="26">
        <v>15216</v>
      </c>
    </row>
    <row r="15219" spans="3:3" x14ac:dyDescent="0.25">
      <c r="C15219" s="26">
        <v>15217</v>
      </c>
    </row>
    <row r="15220" spans="3:3" x14ac:dyDescent="0.25">
      <c r="C15220" s="26">
        <v>15218</v>
      </c>
    </row>
    <row r="15221" spans="3:3" x14ac:dyDescent="0.25">
      <c r="C15221" s="26">
        <v>15219</v>
      </c>
    </row>
    <row r="15222" spans="3:3" x14ac:dyDescent="0.25">
      <c r="C15222" s="26">
        <v>15220</v>
      </c>
    </row>
    <row r="15223" spans="3:3" x14ac:dyDescent="0.25">
      <c r="C15223" s="26">
        <v>15221</v>
      </c>
    </row>
    <row r="15224" spans="3:3" x14ac:dyDescent="0.25">
      <c r="C15224" s="26">
        <v>15222</v>
      </c>
    </row>
    <row r="15225" spans="3:3" x14ac:dyDescent="0.25">
      <c r="C15225" s="26">
        <v>15223</v>
      </c>
    </row>
    <row r="15226" spans="3:3" x14ac:dyDescent="0.25">
      <c r="C15226" s="26">
        <v>15224</v>
      </c>
    </row>
    <row r="15227" spans="3:3" x14ac:dyDescent="0.25">
      <c r="C15227" s="26">
        <v>15225</v>
      </c>
    </row>
    <row r="15228" spans="3:3" x14ac:dyDescent="0.25">
      <c r="C15228" s="26">
        <v>15226</v>
      </c>
    </row>
    <row r="15229" spans="3:3" x14ac:dyDescent="0.25">
      <c r="C15229" s="26">
        <v>15227</v>
      </c>
    </row>
    <row r="15230" spans="3:3" x14ac:dyDescent="0.25">
      <c r="C15230" s="26">
        <v>15228</v>
      </c>
    </row>
    <row r="15231" spans="3:3" x14ac:dyDescent="0.25">
      <c r="C15231" s="26">
        <v>15229</v>
      </c>
    </row>
    <row r="15232" spans="3:3" x14ac:dyDescent="0.25">
      <c r="C15232" s="26">
        <v>15230</v>
      </c>
    </row>
    <row r="15233" spans="3:3" x14ac:dyDescent="0.25">
      <c r="C15233" s="26">
        <v>15231</v>
      </c>
    </row>
    <row r="15234" spans="3:3" x14ac:dyDescent="0.25">
      <c r="C15234" s="26">
        <v>15232</v>
      </c>
    </row>
    <row r="15235" spans="3:3" x14ac:dyDescent="0.25">
      <c r="C15235" s="26">
        <v>15233</v>
      </c>
    </row>
    <row r="15236" spans="3:3" x14ac:dyDescent="0.25">
      <c r="C15236" s="26">
        <v>15234</v>
      </c>
    </row>
    <row r="15237" spans="3:3" x14ac:dyDescent="0.25">
      <c r="C15237" s="26">
        <v>15235</v>
      </c>
    </row>
    <row r="15238" spans="3:3" x14ac:dyDescent="0.25">
      <c r="C15238" s="26">
        <v>15236</v>
      </c>
    </row>
    <row r="15239" spans="3:3" x14ac:dyDescent="0.25">
      <c r="C15239" s="26">
        <v>15237</v>
      </c>
    </row>
    <row r="15240" spans="3:3" x14ac:dyDescent="0.25">
      <c r="C15240" s="26">
        <v>15238</v>
      </c>
    </row>
    <row r="15241" spans="3:3" x14ac:dyDescent="0.25">
      <c r="C15241" s="26">
        <v>15239</v>
      </c>
    </row>
    <row r="15242" spans="3:3" x14ac:dyDescent="0.25">
      <c r="C15242" s="26">
        <v>15240</v>
      </c>
    </row>
    <row r="15243" spans="3:3" x14ac:dyDescent="0.25">
      <c r="C15243" s="26">
        <v>15241</v>
      </c>
    </row>
    <row r="15244" spans="3:3" x14ac:dyDescent="0.25">
      <c r="C15244" s="26">
        <v>15242</v>
      </c>
    </row>
    <row r="15245" spans="3:3" x14ac:dyDescent="0.25">
      <c r="C15245" s="26">
        <v>15243</v>
      </c>
    </row>
    <row r="15246" spans="3:3" x14ac:dyDescent="0.25">
      <c r="C15246" s="26">
        <v>15244</v>
      </c>
    </row>
    <row r="15247" spans="3:3" x14ac:dyDescent="0.25">
      <c r="C15247" s="26">
        <v>15245</v>
      </c>
    </row>
    <row r="15248" spans="3:3" x14ac:dyDescent="0.25">
      <c r="C15248" s="26">
        <v>15246</v>
      </c>
    </row>
    <row r="15249" spans="3:3" x14ac:dyDescent="0.25">
      <c r="C15249" s="26">
        <v>15247</v>
      </c>
    </row>
    <row r="15250" spans="3:3" x14ac:dyDescent="0.25">
      <c r="C15250" s="26">
        <v>15248</v>
      </c>
    </row>
    <row r="15251" spans="3:3" x14ac:dyDescent="0.25">
      <c r="C15251" s="26">
        <v>15249</v>
      </c>
    </row>
    <row r="15252" spans="3:3" x14ac:dyDescent="0.25">
      <c r="C15252" s="26">
        <v>15250</v>
      </c>
    </row>
    <row r="15253" spans="3:3" x14ac:dyDescent="0.25">
      <c r="C15253" s="26">
        <v>15251</v>
      </c>
    </row>
    <row r="15254" spans="3:3" x14ac:dyDescent="0.25">
      <c r="C15254" s="26">
        <v>15252</v>
      </c>
    </row>
    <row r="15255" spans="3:3" x14ac:dyDescent="0.25">
      <c r="C15255" s="26">
        <v>15253</v>
      </c>
    </row>
    <row r="15256" spans="3:3" x14ac:dyDescent="0.25">
      <c r="C15256" s="26">
        <v>15254</v>
      </c>
    </row>
    <row r="15257" spans="3:3" x14ac:dyDescent="0.25">
      <c r="C15257" s="26">
        <v>15255</v>
      </c>
    </row>
    <row r="15258" spans="3:3" x14ac:dyDescent="0.25">
      <c r="C15258" s="26">
        <v>15256</v>
      </c>
    </row>
    <row r="15259" spans="3:3" x14ac:dyDescent="0.25">
      <c r="C15259" s="26">
        <v>15257</v>
      </c>
    </row>
    <row r="15260" spans="3:3" x14ac:dyDescent="0.25">
      <c r="C15260" s="26">
        <v>15258</v>
      </c>
    </row>
    <row r="15261" spans="3:3" x14ac:dyDescent="0.25">
      <c r="C15261" s="26">
        <v>15259</v>
      </c>
    </row>
    <row r="15262" spans="3:3" x14ac:dyDescent="0.25">
      <c r="C15262" s="26">
        <v>15260</v>
      </c>
    </row>
    <row r="15263" spans="3:3" x14ac:dyDescent="0.25">
      <c r="C15263" s="26">
        <v>15261</v>
      </c>
    </row>
    <row r="15264" spans="3:3" x14ac:dyDescent="0.25">
      <c r="C15264" s="26">
        <v>15262</v>
      </c>
    </row>
    <row r="15265" spans="3:3" x14ac:dyDescent="0.25">
      <c r="C15265" s="26">
        <v>15263</v>
      </c>
    </row>
    <row r="15266" spans="3:3" x14ac:dyDescent="0.25">
      <c r="C15266" s="26">
        <v>15264</v>
      </c>
    </row>
    <row r="15267" spans="3:3" x14ac:dyDescent="0.25">
      <c r="C15267" s="26">
        <v>15265</v>
      </c>
    </row>
    <row r="15268" spans="3:3" x14ac:dyDescent="0.25">
      <c r="C15268" s="26">
        <v>15266</v>
      </c>
    </row>
    <row r="15269" spans="3:3" x14ac:dyDescent="0.25">
      <c r="C15269" s="26">
        <v>15267</v>
      </c>
    </row>
    <row r="15270" spans="3:3" x14ac:dyDescent="0.25">
      <c r="C15270" s="26">
        <v>15268</v>
      </c>
    </row>
    <row r="15271" spans="3:3" x14ac:dyDescent="0.25">
      <c r="C15271" s="26">
        <v>15269</v>
      </c>
    </row>
    <row r="15272" spans="3:3" x14ac:dyDescent="0.25">
      <c r="C15272" s="26">
        <v>15270</v>
      </c>
    </row>
    <row r="15273" spans="3:3" x14ac:dyDescent="0.25">
      <c r="C15273" s="26">
        <v>15271</v>
      </c>
    </row>
    <row r="15274" spans="3:3" x14ac:dyDescent="0.25">
      <c r="C15274" s="26">
        <v>15272</v>
      </c>
    </row>
    <row r="15275" spans="3:3" x14ac:dyDescent="0.25">
      <c r="C15275" s="26">
        <v>15273</v>
      </c>
    </row>
    <row r="15276" spans="3:3" x14ac:dyDescent="0.25">
      <c r="C15276" s="26">
        <v>15274</v>
      </c>
    </row>
    <row r="15277" spans="3:3" x14ac:dyDescent="0.25">
      <c r="C15277" s="26">
        <v>15275</v>
      </c>
    </row>
    <row r="15278" spans="3:3" x14ac:dyDescent="0.25">
      <c r="C15278" s="26">
        <v>15276</v>
      </c>
    </row>
    <row r="15279" spans="3:3" x14ac:dyDescent="0.25">
      <c r="C15279" s="26">
        <v>15277</v>
      </c>
    </row>
    <row r="15280" spans="3:3" x14ac:dyDescent="0.25">
      <c r="C15280" s="26">
        <v>15278</v>
      </c>
    </row>
    <row r="15281" spans="3:3" x14ac:dyDescent="0.25">
      <c r="C15281" s="26">
        <v>15279</v>
      </c>
    </row>
    <row r="15282" spans="3:3" x14ac:dyDescent="0.25">
      <c r="C15282" s="26">
        <v>15280</v>
      </c>
    </row>
    <row r="15283" spans="3:3" x14ac:dyDescent="0.25">
      <c r="C15283" s="26">
        <v>15281</v>
      </c>
    </row>
    <row r="15284" spans="3:3" x14ac:dyDescent="0.25">
      <c r="C15284" s="26">
        <v>15282</v>
      </c>
    </row>
    <row r="15285" spans="3:3" x14ac:dyDescent="0.25">
      <c r="C15285" s="26">
        <v>15283</v>
      </c>
    </row>
    <row r="15286" spans="3:3" x14ac:dyDescent="0.25">
      <c r="C15286" s="26">
        <v>15284</v>
      </c>
    </row>
    <row r="15287" spans="3:3" x14ac:dyDescent="0.25">
      <c r="C15287" s="26">
        <v>15285</v>
      </c>
    </row>
    <row r="15288" spans="3:3" x14ac:dyDescent="0.25">
      <c r="C15288" s="26">
        <v>15286</v>
      </c>
    </row>
    <row r="15289" spans="3:3" x14ac:dyDescent="0.25">
      <c r="C15289" s="26">
        <v>15287</v>
      </c>
    </row>
    <row r="15290" spans="3:3" x14ac:dyDescent="0.25">
      <c r="C15290" s="26">
        <v>15288</v>
      </c>
    </row>
    <row r="15291" spans="3:3" x14ac:dyDescent="0.25">
      <c r="C15291" s="26">
        <v>15289</v>
      </c>
    </row>
    <row r="15292" spans="3:3" x14ac:dyDescent="0.25">
      <c r="C15292" s="26">
        <v>15290</v>
      </c>
    </row>
    <row r="15293" spans="3:3" x14ac:dyDescent="0.25">
      <c r="C15293" s="26">
        <v>15291</v>
      </c>
    </row>
    <row r="15294" spans="3:3" x14ac:dyDescent="0.25">
      <c r="C15294" s="26">
        <v>15292</v>
      </c>
    </row>
    <row r="15295" spans="3:3" x14ac:dyDescent="0.25">
      <c r="C15295" s="26">
        <v>15293</v>
      </c>
    </row>
    <row r="15296" spans="3:3" x14ac:dyDescent="0.25">
      <c r="C15296" s="26">
        <v>15294</v>
      </c>
    </row>
    <row r="15297" spans="3:3" x14ac:dyDescent="0.25">
      <c r="C15297" s="26">
        <v>15295</v>
      </c>
    </row>
    <row r="15298" spans="3:3" x14ac:dyDescent="0.25">
      <c r="C15298" s="26">
        <v>15296</v>
      </c>
    </row>
    <row r="15299" spans="3:3" x14ac:dyDescent="0.25">
      <c r="C15299" s="26">
        <v>15297</v>
      </c>
    </row>
    <row r="15300" spans="3:3" x14ac:dyDescent="0.25">
      <c r="C15300" s="26">
        <v>15298</v>
      </c>
    </row>
    <row r="15301" spans="3:3" x14ac:dyDescent="0.25">
      <c r="C15301" s="26">
        <v>15299</v>
      </c>
    </row>
    <row r="15302" spans="3:3" x14ac:dyDescent="0.25">
      <c r="C15302" s="26">
        <v>15300</v>
      </c>
    </row>
    <row r="15303" spans="3:3" x14ac:dyDescent="0.25">
      <c r="C15303" s="26">
        <v>15301</v>
      </c>
    </row>
    <row r="15304" spans="3:3" x14ac:dyDescent="0.25">
      <c r="C15304" s="26">
        <v>15302</v>
      </c>
    </row>
    <row r="15305" spans="3:3" x14ac:dyDescent="0.25">
      <c r="C15305" s="26">
        <v>15303</v>
      </c>
    </row>
    <row r="15306" spans="3:3" x14ac:dyDescent="0.25">
      <c r="C15306" s="26">
        <v>15304</v>
      </c>
    </row>
    <row r="15307" spans="3:3" x14ac:dyDescent="0.25">
      <c r="C15307" s="26">
        <v>15305</v>
      </c>
    </row>
    <row r="15308" spans="3:3" x14ac:dyDescent="0.25">
      <c r="C15308" s="26">
        <v>15306</v>
      </c>
    </row>
    <row r="15309" spans="3:3" x14ac:dyDescent="0.25">
      <c r="C15309" s="26">
        <v>15307</v>
      </c>
    </row>
    <row r="15310" spans="3:3" x14ac:dyDescent="0.25">
      <c r="C15310" s="26">
        <v>15308</v>
      </c>
    </row>
    <row r="15311" spans="3:3" x14ac:dyDescent="0.25">
      <c r="C15311" s="26">
        <v>15309</v>
      </c>
    </row>
    <row r="15312" spans="3:3" x14ac:dyDescent="0.25">
      <c r="C15312" s="26">
        <v>15310</v>
      </c>
    </row>
    <row r="15313" spans="3:3" x14ac:dyDescent="0.25">
      <c r="C15313" s="26">
        <v>15311</v>
      </c>
    </row>
    <row r="15314" spans="3:3" x14ac:dyDescent="0.25">
      <c r="C15314" s="26">
        <v>15312</v>
      </c>
    </row>
    <row r="15315" spans="3:3" x14ac:dyDescent="0.25">
      <c r="C15315" s="26">
        <v>15313</v>
      </c>
    </row>
    <row r="15316" spans="3:3" x14ac:dyDescent="0.25">
      <c r="C15316" s="26">
        <v>15314</v>
      </c>
    </row>
    <row r="15317" spans="3:3" x14ac:dyDescent="0.25">
      <c r="C15317" s="26">
        <v>15315</v>
      </c>
    </row>
    <row r="15318" spans="3:3" x14ac:dyDescent="0.25">
      <c r="C15318" s="26">
        <v>15316</v>
      </c>
    </row>
    <row r="15319" spans="3:3" x14ac:dyDescent="0.25">
      <c r="C15319" s="26">
        <v>15317</v>
      </c>
    </row>
    <row r="15320" spans="3:3" x14ac:dyDescent="0.25">
      <c r="C15320" s="26">
        <v>15318</v>
      </c>
    </row>
    <row r="15321" spans="3:3" x14ac:dyDescent="0.25">
      <c r="C15321" s="26">
        <v>15319</v>
      </c>
    </row>
    <row r="15322" spans="3:3" x14ac:dyDescent="0.25">
      <c r="C15322" s="26">
        <v>15320</v>
      </c>
    </row>
    <row r="15323" spans="3:3" x14ac:dyDescent="0.25">
      <c r="C15323" s="26">
        <v>15321</v>
      </c>
    </row>
    <row r="15324" spans="3:3" x14ac:dyDescent="0.25">
      <c r="C15324" s="26">
        <v>15322</v>
      </c>
    </row>
    <row r="15325" spans="3:3" x14ac:dyDescent="0.25">
      <c r="C15325" s="26">
        <v>15323</v>
      </c>
    </row>
    <row r="15326" spans="3:3" x14ac:dyDescent="0.25">
      <c r="C15326" s="26">
        <v>15324</v>
      </c>
    </row>
    <row r="15327" spans="3:3" x14ac:dyDescent="0.25">
      <c r="C15327" s="26">
        <v>15325</v>
      </c>
    </row>
    <row r="15328" spans="3:3" x14ac:dyDescent="0.25">
      <c r="C15328" s="26">
        <v>15326</v>
      </c>
    </row>
    <row r="15329" spans="3:3" x14ac:dyDescent="0.25">
      <c r="C15329" s="26">
        <v>15327</v>
      </c>
    </row>
    <row r="15330" spans="3:3" x14ac:dyDescent="0.25">
      <c r="C15330" s="26">
        <v>15328</v>
      </c>
    </row>
    <row r="15331" spans="3:3" x14ac:dyDescent="0.25">
      <c r="C15331" s="26">
        <v>15329</v>
      </c>
    </row>
    <row r="15332" spans="3:3" x14ac:dyDescent="0.25">
      <c r="C15332" s="26">
        <v>15330</v>
      </c>
    </row>
    <row r="15333" spans="3:3" x14ac:dyDescent="0.25">
      <c r="C15333" s="26">
        <v>15331</v>
      </c>
    </row>
    <row r="15334" spans="3:3" x14ac:dyDescent="0.25">
      <c r="C15334" s="26">
        <v>15332</v>
      </c>
    </row>
    <row r="15335" spans="3:3" x14ac:dyDescent="0.25">
      <c r="C15335" s="26">
        <v>15333</v>
      </c>
    </row>
    <row r="15336" spans="3:3" x14ac:dyDescent="0.25">
      <c r="C15336" s="26">
        <v>15334</v>
      </c>
    </row>
    <row r="15337" spans="3:3" x14ac:dyDescent="0.25">
      <c r="C15337" s="26">
        <v>15335</v>
      </c>
    </row>
    <row r="15338" spans="3:3" x14ac:dyDescent="0.25">
      <c r="C15338" s="26">
        <v>15336</v>
      </c>
    </row>
    <row r="15339" spans="3:3" x14ac:dyDescent="0.25">
      <c r="C15339" s="26">
        <v>15337</v>
      </c>
    </row>
    <row r="15340" spans="3:3" x14ac:dyDescent="0.25">
      <c r="C15340" s="26">
        <v>15338</v>
      </c>
    </row>
    <row r="15341" spans="3:3" x14ac:dyDescent="0.25">
      <c r="C15341" s="26">
        <v>15339</v>
      </c>
    </row>
    <row r="15342" spans="3:3" x14ac:dyDescent="0.25">
      <c r="C15342" s="26">
        <v>15340</v>
      </c>
    </row>
    <row r="15343" spans="3:3" x14ac:dyDescent="0.25">
      <c r="C15343" s="26">
        <v>15341</v>
      </c>
    </row>
    <row r="15344" spans="3:3" x14ac:dyDescent="0.25">
      <c r="C15344" s="26">
        <v>15342</v>
      </c>
    </row>
    <row r="15345" spans="3:3" x14ac:dyDescent="0.25">
      <c r="C15345" s="26">
        <v>15343</v>
      </c>
    </row>
    <row r="15346" spans="3:3" x14ac:dyDescent="0.25">
      <c r="C15346" s="26">
        <v>15344</v>
      </c>
    </row>
    <row r="15347" spans="3:3" x14ac:dyDescent="0.25">
      <c r="C15347" s="26">
        <v>15345</v>
      </c>
    </row>
    <row r="15348" spans="3:3" x14ac:dyDescent="0.25">
      <c r="C15348" s="26">
        <v>15346</v>
      </c>
    </row>
    <row r="15349" spans="3:3" x14ac:dyDescent="0.25">
      <c r="C15349" s="26">
        <v>15347</v>
      </c>
    </row>
    <row r="15350" spans="3:3" x14ac:dyDescent="0.25">
      <c r="C15350" s="26">
        <v>15348</v>
      </c>
    </row>
    <row r="15351" spans="3:3" x14ac:dyDescent="0.25">
      <c r="C15351" s="26">
        <v>15349</v>
      </c>
    </row>
    <row r="15352" spans="3:3" x14ac:dyDescent="0.25">
      <c r="C15352" s="26">
        <v>15350</v>
      </c>
    </row>
    <row r="15353" spans="3:3" x14ac:dyDescent="0.25">
      <c r="C15353" s="26">
        <v>15351</v>
      </c>
    </row>
    <row r="15354" spans="3:3" x14ac:dyDescent="0.25">
      <c r="C15354" s="26">
        <v>15352</v>
      </c>
    </row>
    <row r="15355" spans="3:3" x14ac:dyDescent="0.25">
      <c r="C15355" s="26">
        <v>15353</v>
      </c>
    </row>
    <row r="15356" spans="3:3" x14ac:dyDescent="0.25">
      <c r="C15356" s="26">
        <v>15354</v>
      </c>
    </row>
    <row r="15357" spans="3:3" x14ac:dyDescent="0.25">
      <c r="C15357" s="26">
        <v>15355</v>
      </c>
    </row>
    <row r="15358" spans="3:3" x14ac:dyDescent="0.25">
      <c r="C15358" s="26">
        <v>15356</v>
      </c>
    </row>
    <row r="15359" spans="3:3" x14ac:dyDescent="0.25">
      <c r="C15359" s="26">
        <v>15357</v>
      </c>
    </row>
    <row r="15360" spans="3:3" x14ac:dyDescent="0.25">
      <c r="C15360" s="26">
        <v>15358</v>
      </c>
    </row>
    <row r="15361" spans="3:3" x14ac:dyDescent="0.25">
      <c r="C15361" s="26">
        <v>15359</v>
      </c>
    </row>
    <row r="15362" spans="3:3" x14ac:dyDescent="0.25">
      <c r="C15362" s="26">
        <v>15360</v>
      </c>
    </row>
    <row r="15363" spans="3:3" x14ac:dyDescent="0.25">
      <c r="C15363" s="26">
        <v>15361</v>
      </c>
    </row>
    <row r="15364" spans="3:3" x14ac:dyDescent="0.25">
      <c r="C15364" s="26">
        <v>15362</v>
      </c>
    </row>
    <row r="15365" spans="3:3" x14ac:dyDescent="0.25">
      <c r="C15365" s="26">
        <v>15363</v>
      </c>
    </row>
    <row r="15366" spans="3:3" x14ac:dyDescent="0.25">
      <c r="C15366" s="26">
        <v>15364</v>
      </c>
    </row>
    <row r="15367" spans="3:3" x14ac:dyDescent="0.25">
      <c r="C15367" s="26">
        <v>15365</v>
      </c>
    </row>
    <row r="15368" spans="3:3" x14ac:dyDescent="0.25">
      <c r="C15368" s="26">
        <v>15366</v>
      </c>
    </row>
    <row r="15369" spans="3:3" x14ac:dyDescent="0.25">
      <c r="C15369" s="26">
        <v>15367</v>
      </c>
    </row>
    <row r="15370" spans="3:3" x14ac:dyDescent="0.25">
      <c r="C15370" s="26">
        <v>15368</v>
      </c>
    </row>
    <row r="15371" spans="3:3" x14ac:dyDescent="0.25">
      <c r="C15371" s="26">
        <v>15369</v>
      </c>
    </row>
    <row r="15372" spans="3:3" x14ac:dyDescent="0.25">
      <c r="C15372" s="26">
        <v>15370</v>
      </c>
    </row>
    <row r="15373" spans="3:3" x14ac:dyDescent="0.25">
      <c r="C15373" s="26">
        <v>15371</v>
      </c>
    </row>
    <row r="15374" spans="3:3" x14ac:dyDescent="0.25">
      <c r="C15374" s="26">
        <v>15372</v>
      </c>
    </row>
    <row r="15375" spans="3:3" x14ac:dyDescent="0.25">
      <c r="C15375" s="26">
        <v>15373</v>
      </c>
    </row>
    <row r="15376" spans="3:3" x14ac:dyDescent="0.25">
      <c r="C15376" s="26">
        <v>15374</v>
      </c>
    </row>
    <row r="15377" spans="3:3" x14ac:dyDescent="0.25">
      <c r="C15377" s="26">
        <v>15375</v>
      </c>
    </row>
    <row r="15378" spans="3:3" x14ac:dyDescent="0.25">
      <c r="C15378" s="26">
        <v>15376</v>
      </c>
    </row>
    <row r="15379" spans="3:3" x14ac:dyDescent="0.25">
      <c r="C15379" s="26">
        <v>15377</v>
      </c>
    </row>
    <row r="15380" spans="3:3" x14ac:dyDescent="0.25">
      <c r="C15380" s="26">
        <v>15378</v>
      </c>
    </row>
    <row r="15381" spans="3:3" x14ac:dyDescent="0.25">
      <c r="C15381" s="26">
        <v>15379</v>
      </c>
    </row>
    <row r="15382" spans="3:3" x14ac:dyDescent="0.25">
      <c r="C15382" s="26">
        <v>15380</v>
      </c>
    </row>
    <row r="15383" spans="3:3" x14ac:dyDescent="0.25">
      <c r="C15383" s="26">
        <v>15381</v>
      </c>
    </row>
    <row r="15384" spans="3:3" x14ac:dyDescent="0.25">
      <c r="C15384" s="26">
        <v>15382</v>
      </c>
    </row>
    <row r="15385" spans="3:3" x14ac:dyDescent="0.25">
      <c r="C15385" s="26">
        <v>15383</v>
      </c>
    </row>
    <row r="15386" spans="3:3" x14ac:dyDescent="0.25">
      <c r="C15386" s="26">
        <v>15384</v>
      </c>
    </row>
    <row r="15387" spans="3:3" x14ac:dyDescent="0.25">
      <c r="C15387" s="26">
        <v>15385</v>
      </c>
    </row>
    <row r="15388" spans="3:3" x14ac:dyDescent="0.25">
      <c r="C15388" s="26">
        <v>15386</v>
      </c>
    </row>
    <row r="15389" spans="3:3" x14ac:dyDescent="0.25">
      <c r="C15389" s="26">
        <v>15387</v>
      </c>
    </row>
    <row r="15390" spans="3:3" x14ac:dyDescent="0.25">
      <c r="C15390" s="26">
        <v>15388</v>
      </c>
    </row>
    <row r="15391" spans="3:3" x14ac:dyDescent="0.25">
      <c r="C15391" s="26">
        <v>15389</v>
      </c>
    </row>
    <row r="15392" spans="3:3" x14ac:dyDescent="0.25">
      <c r="C15392" s="26">
        <v>15390</v>
      </c>
    </row>
    <row r="15393" spans="3:3" x14ac:dyDescent="0.25">
      <c r="C15393" s="26">
        <v>15391</v>
      </c>
    </row>
    <row r="15394" spans="3:3" x14ac:dyDescent="0.25">
      <c r="C15394" s="26">
        <v>15392</v>
      </c>
    </row>
    <row r="15395" spans="3:3" x14ac:dyDescent="0.25">
      <c r="C15395" s="26">
        <v>15393</v>
      </c>
    </row>
    <row r="15396" spans="3:3" x14ac:dyDescent="0.25">
      <c r="C15396" s="26">
        <v>15394</v>
      </c>
    </row>
    <row r="15397" spans="3:3" x14ac:dyDescent="0.25">
      <c r="C15397" s="26">
        <v>15395</v>
      </c>
    </row>
    <row r="15398" spans="3:3" x14ac:dyDescent="0.25">
      <c r="C15398" s="26">
        <v>15396</v>
      </c>
    </row>
    <row r="15399" spans="3:3" x14ac:dyDescent="0.25">
      <c r="C15399" s="26">
        <v>15397</v>
      </c>
    </row>
    <row r="15400" spans="3:3" x14ac:dyDescent="0.25">
      <c r="C15400" s="26">
        <v>15398</v>
      </c>
    </row>
    <row r="15401" spans="3:3" x14ac:dyDescent="0.25">
      <c r="C15401" s="26">
        <v>15399</v>
      </c>
    </row>
    <row r="15402" spans="3:3" x14ac:dyDescent="0.25">
      <c r="C15402" s="26">
        <v>15400</v>
      </c>
    </row>
    <row r="15403" spans="3:3" x14ac:dyDescent="0.25">
      <c r="C15403" s="26">
        <v>15401</v>
      </c>
    </row>
    <row r="15404" spans="3:3" x14ac:dyDescent="0.25">
      <c r="C15404" s="26">
        <v>15402</v>
      </c>
    </row>
    <row r="15405" spans="3:3" x14ac:dyDescent="0.25">
      <c r="C15405" s="26">
        <v>15403</v>
      </c>
    </row>
    <row r="15406" spans="3:3" x14ac:dyDescent="0.25">
      <c r="C15406" s="26">
        <v>15404</v>
      </c>
    </row>
    <row r="15407" spans="3:3" x14ac:dyDescent="0.25">
      <c r="C15407" s="26">
        <v>15405</v>
      </c>
    </row>
    <row r="15408" spans="3:3" x14ac:dyDescent="0.25">
      <c r="C15408" s="26">
        <v>15406</v>
      </c>
    </row>
    <row r="15409" spans="3:3" x14ac:dyDescent="0.25">
      <c r="C15409" s="26">
        <v>15407</v>
      </c>
    </row>
    <row r="15410" spans="3:3" x14ac:dyDescent="0.25">
      <c r="C15410" s="26">
        <v>15408</v>
      </c>
    </row>
    <row r="15411" spans="3:3" x14ac:dyDescent="0.25">
      <c r="C15411" s="26">
        <v>15409</v>
      </c>
    </row>
    <row r="15412" spans="3:3" x14ac:dyDescent="0.25">
      <c r="C15412" s="26">
        <v>15410</v>
      </c>
    </row>
    <row r="15413" spans="3:3" x14ac:dyDescent="0.25">
      <c r="C15413" s="26">
        <v>15411</v>
      </c>
    </row>
    <row r="15414" spans="3:3" x14ac:dyDescent="0.25">
      <c r="C15414" s="26">
        <v>15412</v>
      </c>
    </row>
    <row r="15415" spans="3:3" x14ac:dyDescent="0.25">
      <c r="C15415" s="26">
        <v>15413</v>
      </c>
    </row>
    <row r="15416" spans="3:3" x14ac:dyDescent="0.25">
      <c r="C15416" s="26">
        <v>15414</v>
      </c>
    </row>
    <row r="15417" spans="3:3" x14ac:dyDescent="0.25">
      <c r="C15417" s="26">
        <v>15415</v>
      </c>
    </row>
    <row r="15418" spans="3:3" x14ac:dyDescent="0.25">
      <c r="C15418" s="26">
        <v>15416</v>
      </c>
    </row>
    <row r="15419" spans="3:3" x14ac:dyDescent="0.25">
      <c r="C15419" s="26">
        <v>15417</v>
      </c>
    </row>
    <row r="15420" spans="3:3" x14ac:dyDescent="0.25">
      <c r="C15420" s="26">
        <v>15418</v>
      </c>
    </row>
    <row r="15421" spans="3:3" x14ac:dyDescent="0.25">
      <c r="C15421" s="26">
        <v>15419</v>
      </c>
    </row>
    <row r="15422" spans="3:3" x14ac:dyDescent="0.25">
      <c r="C15422" s="26">
        <v>15420</v>
      </c>
    </row>
    <row r="15423" spans="3:3" x14ac:dyDescent="0.25">
      <c r="C15423" s="26">
        <v>15421</v>
      </c>
    </row>
    <row r="15424" spans="3:3" x14ac:dyDescent="0.25">
      <c r="C15424" s="26">
        <v>15422</v>
      </c>
    </row>
    <row r="15425" spans="3:3" x14ac:dyDescent="0.25">
      <c r="C15425" s="26">
        <v>15423</v>
      </c>
    </row>
    <row r="15426" spans="3:3" x14ac:dyDescent="0.25">
      <c r="C15426" s="26">
        <v>15424</v>
      </c>
    </row>
    <row r="15427" spans="3:3" x14ac:dyDescent="0.25">
      <c r="C15427" s="26">
        <v>15425</v>
      </c>
    </row>
    <row r="15428" spans="3:3" x14ac:dyDescent="0.25">
      <c r="C15428" s="26">
        <v>15426</v>
      </c>
    </row>
    <row r="15429" spans="3:3" x14ac:dyDescent="0.25">
      <c r="C15429" s="26">
        <v>15427</v>
      </c>
    </row>
    <row r="15430" spans="3:3" x14ac:dyDescent="0.25">
      <c r="C15430" s="26">
        <v>15428</v>
      </c>
    </row>
    <row r="15431" spans="3:3" x14ac:dyDescent="0.25">
      <c r="C15431" s="26">
        <v>15429</v>
      </c>
    </row>
    <row r="15432" spans="3:3" x14ac:dyDescent="0.25">
      <c r="C15432" s="26">
        <v>15430</v>
      </c>
    </row>
    <row r="15433" spans="3:3" x14ac:dyDescent="0.25">
      <c r="C15433" s="26">
        <v>15431</v>
      </c>
    </row>
    <row r="15434" spans="3:3" x14ac:dyDescent="0.25">
      <c r="C15434" s="26">
        <v>15432</v>
      </c>
    </row>
    <row r="15435" spans="3:3" x14ac:dyDescent="0.25">
      <c r="C15435" s="26">
        <v>15433</v>
      </c>
    </row>
    <row r="15436" spans="3:3" x14ac:dyDescent="0.25">
      <c r="C15436" s="26">
        <v>15434</v>
      </c>
    </row>
    <row r="15437" spans="3:3" x14ac:dyDescent="0.25">
      <c r="C15437" s="26">
        <v>15435</v>
      </c>
    </row>
    <row r="15438" spans="3:3" x14ac:dyDescent="0.25">
      <c r="C15438" s="26">
        <v>15436</v>
      </c>
    </row>
    <row r="15439" spans="3:3" x14ac:dyDescent="0.25">
      <c r="C15439" s="26">
        <v>15437</v>
      </c>
    </row>
    <row r="15440" spans="3:3" x14ac:dyDescent="0.25">
      <c r="C15440" s="26">
        <v>15438</v>
      </c>
    </row>
    <row r="15441" spans="3:3" x14ac:dyDescent="0.25">
      <c r="C15441" s="26">
        <v>15439</v>
      </c>
    </row>
    <row r="15442" spans="3:3" x14ac:dyDescent="0.25">
      <c r="C15442" s="26">
        <v>15440</v>
      </c>
    </row>
    <row r="15443" spans="3:3" x14ac:dyDescent="0.25">
      <c r="C15443" s="26">
        <v>15441</v>
      </c>
    </row>
    <row r="15444" spans="3:3" x14ac:dyDescent="0.25">
      <c r="C15444" s="26">
        <v>15442</v>
      </c>
    </row>
    <row r="15445" spans="3:3" x14ac:dyDescent="0.25">
      <c r="C15445" s="26">
        <v>15443</v>
      </c>
    </row>
    <row r="15446" spans="3:3" x14ac:dyDescent="0.25">
      <c r="C15446" s="26">
        <v>15444</v>
      </c>
    </row>
    <row r="15447" spans="3:3" x14ac:dyDescent="0.25">
      <c r="C15447" s="26">
        <v>15445</v>
      </c>
    </row>
    <row r="15448" spans="3:3" x14ac:dyDescent="0.25">
      <c r="C15448" s="26">
        <v>15446</v>
      </c>
    </row>
    <row r="15449" spans="3:3" x14ac:dyDescent="0.25">
      <c r="C15449" s="26">
        <v>15447</v>
      </c>
    </row>
    <row r="15450" spans="3:3" x14ac:dyDescent="0.25">
      <c r="C15450" s="26">
        <v>15448</v>
      </c>
    </row>
    <row r="15451" spans="3:3" x14ac:dyDescent="0.25">
      <c r="C15451" s="26">
        <v>15449</v>
      </c>
    </row>
    <row r="15452" spans="3:3" x14ac:dyDescent="0.25">
      <c r="C15452" s="26">
        <v>15450</v>
      </c>
    </row>
    <row r="15453" spans="3:3" x14ac:dyDescent="0.25">
      <c r="C15453" s="26">
        <v>15451</v>
      </c>
    </row>
    <row r="15454" spans="3:3" x14ac:dyDescent="0.25">
      <c r="C15454" s="26">
        <v>15452</v>
      </c>
    </row>
    <row r="15455" spans="3:3" x14ac:dyDescent="0.25">
      <c r="C15455" s="26">
        <v>15453</v>
      </c>
    </row>
    <row r="15456" spans="3:3" x14ac:dyDescent="0.25">
      <c r="C15456" s="26">
        <v>15454</v>
      </c>
    </row>
    <row r="15457" spans="3:3" x14ac:dyDescent="0.25">
      <c r="C15457" s="26">
        <v>15455</v>
      </c>
    </row>
    <row r="15458" spans="3:3" x14ac:dyDescent="0.25">
      <c r="C15458" s="26">
        <v>15456</v>
      </c>
    </row>
    <row r="15459" spans="3:3" x14ac:dyDescent="0.25">
      <c r="C15459" s="26">
        <v>15457</v>
      </c>
    </row>
    <row r="15460" spans="3:3" x14ac:dyDescent="0.25">
      <c r="C15460" s="26">
        <v>15458</v>
      </c>
    </row>
    <row r="15461" spans="3:3" x14ac:dyDescent="0.25">
      <c r="C15461" s="26">
        <v>15459</v>
      </c>
    </row>
    <row r="15462" spans="3:3" x14ac:dyDescent="0.25">
      <c r="C15462" s="26">
        <v>15460</v>
      </c>
    </row>
    <row r="15463" spans="3:3" x14ac:dyDescent="0.25">
      <c r="C15463" s="26">
        <v>15461</v>
      </c>
    </row>
    <row r="15464" spans="3:3" x14ac:dyDescent="0.25">
      <c r="C15464" s="26">
        <v>15462</v>
      </c>
    </row>
    <row r="15465" spans="3:3" x14ac:dyDescent="0.25">
      <c r="C15465" s="26">
        <v>15463</v>
      </c>
    </row>
    <row r="15466" spans="3:3" x14ac:dyDescent="0.25">
      <c r="C15466" s="26">
        <v>15464</v>
      </c>
    </row>
    <row r="15467" spans="3:3" x14ac:dyDescent="0.25">
      <c r="C15467" s="26">
        <v>15465</v>
      </c>
    </row>
    <row r="15468" spans="3:3" x14ac:dyDescent="0.25">
      <c r="C15468" s="26">
        <v>15466</v>
      </c>
    </row>
    <row r="15469" spans="3:3" x14ac:dyDescent="0.25">
      <c r="C15469" s="26">
        <v>15467</v>
      </c>
    </row>
    <row r="15470" spans="3:3" x14ac:dyDescent="0.25">
      <c r="C15470" s="26">
        <v>15468</v>
      </c>
    </row>
    <row r="15471" spans="3:3" x14ac:dyDescent="0.25">
      <c r="C15471" s="26">
        <v>15469</v>
      </c>
    </row>
    <row r="15472" spans="3:3" x14ac:dyDescent="0.25">
      <c r="C15472" s="26">
        <v>15470</v>
      </c>
    </row>
    <row r="15473" spans="3:3" x14ac:dyDescent="0.25">
      <c r="C15473" s="26">
        <v>15471</v>
      </c>
    </row>
    <row r="15474" spans="3:3" x14ac:dyDescent="0.25">
      <c r="C15474" s="26">
        <v>15472</v>
      </c>
    </row>
    <row r="15475" spans="3:3" x14ac:dyDescent="0.25">
      <c r="C15475" s="26">
        <v>15473</v>
      </c>
    </row>
    <row r="15476" spans="3:3" x14ac:dyDescent="0.25">
      <c r="C15476" s="26">
        <v>15474</v>
      </c>
    </row>
    <row r="15477" spans="3:3" x14ac:dyDescent="0.25">
      <c r="C15477" s="26">
        <v>15475</v>
      </c>
    </row>
    <row r="15478" spans="3:3" x14ac:dyDescent="0.25">
      <c r="C15478" s="26">
        <v>15476</v>
      </c>
    </row>
    <row r="15479" spans="3:3" x14ac:dyDescent="0.25">
      <c r="C15479" s="26">
        <v>15477</v>
      </c>
    </row>
    <row r="15480" spans="3:3" x14ac:dyDescent="0.25">
      <c r="C15480" s="26">
        <v>15478</v>
      </c>
    </row>
    <row r="15481" spans="3:3" x14ac:dyDescent="0.25">
      <c r="C15481" s="26">
        <v>15479</v>
      </c>
    </row>
    <row r="15482" spans="3:3" x14ac:dyDescent="0.25">
      <c r="C15482" s="26">
        <v>15480</v>
      </c>
    </row>
    <row r="15483" spans="3:3" x14ac:dyDescent="0.25">
      <c r="C15483" s="26">
        <v>15481</v>
      </c>
    </row>
    <row r="15484" spans="3:3" x14ac:dyDescent="0.25">
      <c r="C15484" s="26">
        <v>15482</v>
      </c>
    </row>
    <row r="15485" spans="3:3" x14ac:dyDescent="0.25">
      <c r="C15485" s="26">
        <v>15483</v>
      </c>
    </row>
    <row r="15486" spans="3:3" x14ac:dyDescent="0.25">
      <c r="C15486" s="26">
        <v>15484</v>
      </c>
    </row>
    <row r="15487" spans="3:3" x14ac:dyDescent="0.25">
      <c r="C15487" s="26">
        <v>15485</v>
      </c>
    </row>
    <row r="15488" spans="3:3" x14ac:dyDescent="0.25">
      <c r="C15488" s="26">
        <v>15486</v>
      </c>
    </row>
    <row r="15489" spans="3:3" x14ac:dyDescent="0.25">
      <c r="C15489" s="26">
        <v>15487</v>
      </c>
    </row>
    <row r="15490" spans="3:3" x14ac:dyDescent="0.25">
      <c r="C15490" s="26">
        <v>15488</v>
      </c>
    </row>
    <row r="15491" spans="3:3" x14ac:dyDescent="0.25">
      <c r="C15491" s="26">
        <v>15489</v>
      </c>
    </row>
    <row r="15492" spans="3:3" x14ac:dyDescent="0.25">
      <c r="C15492" s="26">
        <v>15490</v>
      </c>
    </row>
    <row r="15493" spans="3:3" x14ac:dyDescent="0.25">
      <c r="C15493" s="26">
        <v>15491</v>
      </c>
    </row>
    <row r="15494" spans="3:3" x14ac:dyDescent="0.25">
      <c r="C15494" s="26">
        <v>15492</v>
      </c>
    </row>
    <row r="15495" spans="3:3" x14ac:dyDescent="0.25">
      <c r="C15495" s="26">
        <v>15493</v>
      </c>
    </row>
    <row r="15496" spans="3:3" x14ac:dyDescent="0.25">
      <c r="C15496" s="26">
        <v>15494</v>
      </c>
    </row>
    <row r="15497" spans="3:3" x14ac:dyDescent="0.25">
      <c r="C15497" s="26">
        <v>15495</v>
      </c>
    </row>
    <row r="15498" spans="3:3" x14ac:dyDescent="0.25">
      <c r="C15498" s="26">
        <v>15496</v>
      </c>
    </row>
    <row r="15499" spans="3:3" x14ac:dyDescent="0.25">
      <c r="C15499" s="26">
        <v>15497</v>
      </c>
    </row>
    <row r="15500" spans="3:3" x14ac:dyDescent="0.25">
      <c r="C15500" s="26">
        <v>15498</v>
      </c>
    </row>
    <row r="15501" spans="3:3" x14ac:dyDescent="0.25">
      <c r="C15501" s="26">
        <v>15499</v>
      </c>
    </row>
    <row r="15502" spans="3:3" x14ac:dyDescent="0.25">
      <c r="C15502" s="26">
        <v>15500</v>
      </c>
    </row>
    <row r="15503" spans="3:3" x14ac:dyDescent="0.25">
      <c r="C15503" s="26">
        <v>15501</v>
      </c>
    </row>
    <row r="15504" spans="3:3" x14ac:dyDescent="0.25">
      <c r="C15504" s="26">
        <v>15502</v>
      </c>
    </row>
    <row r="15505" spans="3:3" x14ac:dyDescent="0.25">
      <c r="C15505" s="26">
        <v>15503</v>
      </c>
    </row>
    <row r="15506" spans="3:3" x14ac:dyDescent="0.25">
      <c r="C15506" s="26">
        <v>15504</v>
      </c>
    </row>
    <row r="15507" spans="3:3" x14ac:dyDescent="0.25">
      <c r="C15507" s="26">
        <v>15505</v>
      </c>
    </row>
    <row r="15508" spans="3:3" x14ac:dyDescent="0.25">
      <c r="C15508" s="26">
        <v>15506</v>
      </c>
    </row>
    <row r="15509" spans="3:3" x14ac:dyDescent="0.25">
      <c r="C15509" s="26">
        <v>15507</v>
      </c>
    </row>
    <row r="15510" spans="3:3" x14ac:dyDescent="0.25">
      <c r="C15510" s="26">
        <v>15508</v>
      </c>
    </row>
    <row r="15511" spans="3:3" x14ac:dyDescent="0.25">
      <c r="C15511" s="26">
        <v>15509</v>
      </c>
    </row>
    <row r="15512" spans="3:3" x14ac:dyDescent="0.25">
      <c r="C15512" s="26">
        <v>15510</v>
      </c>
    </row>
    <row r="15513" spans="3:3" x14ac:dyDescent="0.25">
      <c r="C15513" s="26">
        <v>15511</v>
      </c>
    </row>
    <row r="15514" spans="3:3" x14ac:dyDescent="0.25">
      <c r="C15514" s="26">
        <v>15512</v>
      </c>
    </row>
    <row r="15515" spans="3:3" x14ac:dyDescent="0.25">
      <c r="C15515" s="26">
        <v>15513</v>
      </c>
    </row>
    <row r="15516" spans="3:3" x14ac:dyDescent="0.25">
      <c r="C15516" s="26">
        <v>15514</v>
      </c>
    </row>
    <row r="15517" spans="3:3" x14ac:dyDescent="0.25">
      <c r="C15517" s="26">
        <v>15515</v>
      </c>
    </row>
    <row r="15518" spans="3:3" x14ac:dyDescent="0.25">
      <c r="C15518" s="26">
        <v>15516</v>
      </c>
    </row>
    <row r="15519" spans="3:3" x14ac:dyDescent="0.25">
      <c r="C15519" s="26">
        <v>15517</v>
      </c>
    </row>
    <row r="15520" spans="3:3" x14ac:dyDescent="0.25">
      <c r="C15520" s="26">
        <v>15518</v>
      </c>
    </row>
    <row r="15521" spans="3:3" x14ac:dyDescent="0.25">
      <c r="C15521" s="26">
        <v>15519</v>
      </c>
    </row>
    <row r="15522" spans="3:3" x14ac:dyDescent="0.25">
      <c r="C15522" s="26">
        <v>15520</v>
      </c>
    </row>
    <row r="15523" spans="3:3" x14ac:dyDescent="0.25">
      <c r="C15523" s="26">
        <v>15521</v>
      </c>
    </row>
    <row r="15524" spans="3:3" x14ac:dyDescent="0.25">
      <c r="C15524" s="26">
        <v>15522</v>
      </c>
    </row>
    <row r="15525" spans="3:3" x14ac:dyDescent="0.25">
      <c r="C15525" s="26">
        <v>15523</v>
      </c>
    </row>
    <row r="15526" spans="3:3" x14ac:dyDescent="0.25">
      <c r="C15526" s="26">
        <v>15524</v>
      </c>
    </row>
    <row r="15527" spans="3:3" x14ac:dyDescent="0.25">
      <c r="C15527" s="26">
        <v>15525</v>
      </c>
    </row>
    <row r="15528" spans="3:3" x14ac:dyDescent="0.25">
      <c r="C15528" s="26">
        <v>15526</v>
      </c>
    </row>
    <row r="15529" spans="3:3" x14ac:dyDescent="0.25">
      <c r="C15529" s="26">
        <v>15527</v>
      </c>
    </row>
    <row r="15530" spans="3:3" x14ac:dyDescent="0.25">
      <c r="C15530" s="26">
        <v>15528</v>
      </c>
    </row>
    <row r="15531" spans="3:3" x14ac:dyDescent="0.25">
      <c r="C15531" s="26">
        <v>15529</v>
      </c>
    </row>
    <row r="15532" spans="3:3" x14ac:dyDescent="0.25">
      <c r="C15532" s="26">
        <v>15530</v>
      </c>
    </row>
    <row r="15533" spans="3:3" x14ac:dyDescent="0.25">
      <c r="C15533" s="26">
        <v>15531</v>
      </c>
    </row>
    <row r="15534" spans="3:3" x14ac:dyDescent="0.25">
      <c r="C15534" s="26">
        <v>15532</v>
      </c>
    </row>
    <row r="15535" spans="3:3" x14ac:dyDescent="0.25">
      <c r="C15535" s="26">
        <v>15533</v>
      </c>
    </row>
    <row r="15536" spans="3:3" x14ac:dyDescent="0.25">
      <c r="C15536" s="26">
        <v>15534</v>
      </c>
    </row>
    <row r="15537" spans="3:3" x14ac:dyDescent="0.25">
      <c r="C15537" s="26">
        <v>15535</v>
      </c>
    </row>
    <row r="15538" spans="3:3" x14ac:dyDescent="0.25">
      <c r="C15538" s="26">
        <v>15536</v>
      </c>
    </row>
    <row r="15539" spans="3:3" x14ac:dyDescent="0.25">
      <c r="C15539" s="26">
        <v>15537</v>
      </c>
    </row>
    <row r="15540" spans="3:3" x14ac:dyDescent="0.25">
      <c r="C15540" s="26">
        <v>15538</v>
      </c>
    </row>
    <row r="15541" spans="3:3" x14ac:dyDescent="0.25">
      <c r="C15541" s="26">
        <v>15539</v>
      </c>
    </row>
    <row r="15542" spans="3:3" x14ac:dyDescent="0.25">
      <c r="C15542" s="26">
        <v>15540</v>
      </c>
    </row>
    <row r="15543" spans="3:3" x14ac:dyDescent="0.25">
      <c r="C15543" s="26">
        <v>15541</v>
      </c>
    </row>
    <row r="15544" spans="3:3" x14ac:dyDescent="0.25">
      <c r="C15544" s="26">
        <v>15542</v>
      </c>
    </row>
    <row r="15545" spans="3:3" x14ac:dyDescent="0.25">
      <c r="C15545" s="26">
        <v>15543</v>
      </c>
    </row>
    <row r="15546" spans="3:3" x14ac:dyDescent="0.25">
      <c r="C15546" s="26">
        <v>15544</v>
      </c>
    </row>
    <row r="15547" spans="3:3" x14ac:dyDescent="0.25">
      <c r="C15547" s="26">
        <v>15545</v>
      </c>
    </row>
    <row r="15548" spans="3:3" x14ac:dyDescent="0.25">
      <c r="C15548" s="26">
        <v>15546</v>
      </c>
    </row>
    <row r="15549" spans="3:3" x14ac:dyDescent="0.25">
      <c r="C15549" s="26">
        <v>15547</v>
      </c>
    </row>
    <row r="15550" spans="3:3" x14ac:dyDescent="0.25">
      <c r="C15550" s="26">
        <v>15548</v>
      </c>
    </row>
    <row r="15551" spans="3:3" x14ac:dyDescent="0.25">
      <c r="C15551" s="26">
        <v>15549</v>
      </c>
    </row>
    <row r="15552" spans="3:3" x14ac:dyDescent="0.25">
      <c r="C15552" s="26">
        <v>15550</v>
      </c>
    </row>
    <row r="15553" spans="3:3" x14ac:dyDescent="0.25">
      <c r="C15553" s="26">
        <v>15551</v>
      </c>
    </row>
    <row r="15554" spans="3:3" x14ac:dyDescent="0.25">
      <c r="C15554" s="26">
        <v>15552</v>
      </c>
    </row>
    <row r="15555" spans="3:3" x14ac:dyDescent="0.25">
      <c r="C15555" s="26">
        <v>15553</v>
      </c>
    </row>
    <row r="15556" spans="3:3" x14ac:dyDescent="0.25">
      <c r="C15556" s="26">
        <v>15554</v>
      </c>
    </row>
    <row r="15557" spans="3:3" x14ac:dyDescent="0.25">
      <c r="C15557" s="26">
        <v>15555</v>
      </c>
    </row>
    <row r="15558" spans="3:3" x14ac:dyDescent="0.25">
      <c r="C15558" s="26">
        <v>15556</v>
      </c>
    </row>
    <row r="15559" spans="3:3" x14ac:dyDescent="0.25">
      <c r="C15559" s="26">
        <v>15557</v>
      </c>
    </row>
    <row r="15560" spans="3:3" x14ac:dyDescent="0.25">
      <c r="C15560" s="26">
        <v>15558</v>
      </c>
    </row>
    <row r="15561" spans="3:3" x14ac:dyDescent="0.25">
      <c r="C15561" s="26">
        <v>15559</v>
      </c>
    </row>
    <row r="15562" spans="3:3" x14ac:dyDescent="0.25">
      <c r="C15562" s="26">
        <v>15560</v>
      </c>
    </row>
    <row r="15563" spans="3:3" x14ac:dyDescent="0.25">
      <c r="C15563" s="26">
        <v>15561</v>
      </c>
    </row>
    <row r="15564" spans="3:3" x14ac:dyDescent="0.25">
      <c r="C15564" s="26">
        <v>15562</v>
      </c>
    </row>
    <row r="15565" spans="3:3" x14ac:dyDescent="0.25">
      <c r="C15565" s="26">
        <v>15563</v>
      </c>
    </row>
    <row r="15566" spans="3:3" x14ac:dyDescent="0.25">
      <c r="C15566" s="26">
        <v>15564</v>
      </c>
    </row>
    <row r="15567" spans="3:3" x14ac:dyDescent="0.25">
      <c r="C15567" s="26">
        <v>15565</v>
      </c>
    </row>
    <row r="15568" spans="3:3" x14ac:dyDescent="0.25">
      <c r="C15568" s="26">
        <v>15566</v>
      </c>
    </row>
    <row r="15569" spans="3:3" x14ac:dyDescent="0.25">
      <c r="C15569" s="26">
        <v>15567</v>
      </c>
    </row>
    <row r="15570" spans="3:3" x14ac:dyDescent="0.25">
      <c r="C15570" s="26">
        <v>15568</v>
      </c>
    </row>
    <row r="15571" spans="3:3" x14ac:dyDescent="0.25">
      <c r="C15571" s="26">
        <v>15569</v>
      </c>
    </row>
    <row r="15572" spans="3:3" x14ac:dyDescent="0.25">
      <c r="C15572" s="26">
        <v>15570</v>
      </c>
    </row>
    <row r="15573" spans="3:3" x14ac:dyDescent="0.25">
      <c r="C15573" s="26">
        <v>15571</v>
      </c>
    </row>
    <row r="15574" spans="3:3" x14ac:dyDescent="0.25">
      <c r="C15574" s="26">
        <v>15572</v>
      </c>
    </row>
    <row r="15575" spans="3:3" x14ac:dyDescent="0.25">
      <c r="C15575" s="26">
        <v>15573</v>
      </c>
    </row>
    <row r="15576" spans="3:3" x14ac:dyDescent="0.25">
      <c r="C15576" s="26">
        <v>15574</v>
      </c>
    </row>
    <row r="15577" spans="3:3" x14ac:dyDescent="0.25">
      <c r="C15577" s="26">
        <v>15575</v>
      </c>
    </row>
    <row r="15578" spans="3:3" x14ac:dyDescent="0.25">
      <c r="C15578" s="26">
        <v>15576</v>
      </c>
    </row>
    <row r="15579" spans="3:3" x14ac:dyDescent="0.25">
      <c r="C15579" s="26">
        <v>15577</v>
      </c>
    </row>
    <row r="15580" spans="3:3" x14ac:dyDescent="0.25">
      <c r="C15580" s="26">
        <v>15578</v>
      </c>
    </row>
    <row r="15581" spans="3:3" x14ac:dyDescent="0.25">
      <c r="C15581" s="26">
        <v>15579</v>
      </c>
    </row>
    <row r="15582" spans="3:3" x14ac:dyDescent="0.25">
      <c r="C15582" s="26">
        <v>15580</v>
      </c>
    </row>
    <row r="15583" spans="3:3" x14ac:dyDescent="0.25">
      <c r="C15583" s="26">
        <v>15581</v>
      </c>
    </row>
    <row r="15584" spans="3:3" x14ac:dyDescent="0.25">
      <c r="C15584" s="26">
        <v>15582</v>
      </c>
    </row>
    <row r="15585" spans="3:3" x14ac:dyDescent="0.25">
      <c r="C15585" s="26">
        <v>15583</v>
      </c>
    </row>
    <row r="15586" spans="3:3" x14ac:dyDescent="0.25">
      <c r="C15586" s="26">
        <v>15584</v>
      </c>
    </row>
    <row r="15587" spans="3:3" x14ac:dyDescent="0.25">
      <c r="C15587" s="26">
        <v>15585</v>
      </c>
    </row>
    <row r="15588" spans="3:3" x14ac:dyDescent="0.25">
      <c r="C15588" s="26">
        <v>15586</v>
      </c>
    </row>
    <row r="15589" spans="3:3" x14ac:dyDescent="0.25">
      <c r="C15589" s="26">
        <v>15587</v>
      </c>
    </row>
    <row r="15590" spans="3:3" x14ac:dyDescent="0.25">
      <c r="C15590" s="26">
        <v>15588</v>
      </c>
    </row>
    <row r="15591" spans="3:3" x14ac:dyDescent="0.25">
      <c r="C15591" s="26">
        <v>15589</v>
      </c>
    </row>
    <row r="15592" spans="3:3" x14ac:dyDescent="0.25">
      <c r="C15592" s="26">
        <v>15590</v>
      </c>
    </row>
    <row r="15593" spans="3:3" x14ac:dyDescent="0.25">
      <c r="C15593" s="26">
        <v>15591</v>
      </c>
    </row>
    <row r="15594" spans="3:3" x14ac:dyDescent="0.25">
      <c r="C15594" s="26">
        <v>15592</v>
      </c>
    </row>
    <row r="15595" spans="3:3" x14ac:dyDescent="0.25">
      <c r="C15595" s="26">
        <v>15593</v>
      </c>
    </row>
    <row r="15596" spans="3:3" x14ac:dyDescent="0.25">
      <c r="C15596" s="26">
        <v>15594</v>
      </c>
    </row>
    <row r="15597" spans="3:3" x14ac:dyDescent="0.25">
      <c r="C15597" s="26">
        <v>15595</v>
      </c>
    </row>
    <row r="15598" spans="3:3" x14ac:dyDescent="0.25">
      <c r="C15598" s="26">
        <v>15596</v>
      </c>
    </row>
    <row r="15599" spans="3:3" x14ac:dyDescent="0.25">
      <c r="C15599" s="26">
        <v>15597</v>
      </c>
    </row>
    <row r="15600" spans="3:3" x14ac:dyDescent="0.25">
      <c r="C15600" s="26">
        <v>15598</v>
      </c>
    </row>
    <row r="15601" spans="3:3" x14ac:dyDescent="0.25">
      <c r="C15601" s="26">
        <v>15599</v>
      </c>
    </row>
    <row r="15602" spans="3:3" x14ac:dyDescent="0.25">
      <c r="C15602" s="26">
        <v>15600</v>
      </c>
    </row>
    <row r="15603" spans="3:3" x14ac:dyDescent="0.25">
      <c r="C15603" s="26">
        <v>15601</v>
      </c>
    </row>
    <row r="15604" spans="3:3" x14ac:dyDescent="0.25">
      <c r="C15604" s="26">
        <v>15602</v>
      </c>
    </row>
    <row r="15605" spans="3:3" x14ac:dyDescent="0.25">
      <c r="C15605" s="26">
        <v>15603</v>
      </c>
    </row>
    <row r="15606" spans="3:3" x14ac:dyDescent="0.25">
      <c r="C15606" s="26">
        <v>15604</v>
      </c>
    </row>
    <row r="15607" spans="3:3" x14ac:dyDescent="0.25">
      <c r="C15607" s="26">
        <v>15605</v>
      </c>
    </row>
    <row r="15608" spans="3:3" x14ac:dyDescent="0.25">
      <c r="C15608" s="26">
        <v>15606</v>
      </c>
    </row>
    <row r="15609" spans="3:3" x14ac:dyDescent="0.25">
      <c r="C15609" s="26">
        <v>15607</v>
      </c>
    </row>
    <row r="15610" spans="3:3" x14ac:dyDescent="0.25">
      <c r="C15610" s="26">
        <v>15608</v>
      </c>
    </row>
    <row r="15611" spans="3:3" x14ac:dyDescent="0.25">
      <c r="C15611" s="26">
        <v>15609</v>
      </c>
    </row>
    <row r="15612" spans="3:3" x14ac:dyDescent="0.25">
      <c r="C15612" s="26">
        <v>15610</v>
      </c>
    </row>
    <row r="15613" spans="3:3" x14ac:dyDescent="0.25">
      <c r="C15613" s="26">
        <v>15611</v>
      </c>
    </row>
    <row r="15614" spans="3:3" x14ac:dyDescent="0.25">
      <c r="C15614" s="26">
        <v>15612</v>
      </c>
    </row>
    <row r="15615" spans="3:3" x14ac:dyDescent="0.25">
      <c r="C15615" s="26">
        <v>15613</v>
      </c>
    </row>
    <row r="15616" spans="3:3" x14ac:dyDescent="0.25">
      <c r="C15616" s="26">
        <v>15614</v>
      </c>
    </row>
    <row r="15617" spans="3:3" x14ac:dyDescent="0.25">
      <c r="C15617" s="26">
        <v>15615</v>
      </c>
    </row>
    <row r="15618" spans="3:3" x14ac:dyDescent="0.25">
      <c r="C15618" s="26">
        <v>15616</v>
      </c>
    </row>
    <row r="15619" spans="3:3" x14ac:dyDescent="0.25">
      <c r="C15619" s="26">
        <v>15617</v>
      </c>
    </row>
    <row r="15620" spans="3:3" x14ac:dyDescent="0.25">
      <c r="C15620" s="26">
        <v>15618</v>
      </c>
    </row>
    <row r="15621" spans="3:3" x14ac:dyDescent="0.25">
      <c r="C15621" s="26">
        <v>15619</v>
      </c>
    </row>
    <row r="15622" spans="3:3" x14ac:dyDescent="0.25">
      <c r="C15622" s="26">
        <v>15620</v>
      </c>
    </row>
    <row r="15623" spans="3:3" x14ac:dyDescent="0.25">
      <c r="C15623" s="26">
        <v>15621</v>
      </c>
    </row>
    <row r="15624" spans="3:3" x14ac:dyDescent="0.25">
      <c r="C15624" s="26">
        <v>15622</v>
      </c>
    </row>
    <row r="15625" spans="3:3" x14ac:dyDescent="0.25">
      <c r="C15625" s="26">
        <v>15623</v>
      </c>
    </row>
    <row r="15626" spans="3:3" x14ac:dyDescent="0.25">
      <c r="C15626" s="26">
        <v>15624</v>
      </c>
    </row>
    <row r="15627" spans="3:3" x14ac:dyDescent="0.25">
      <c r="C15627" s="26">
        <v>15625</v>
      </c>
    </row>
    <row r="15628" spans="3:3" x14ac:dyDescent="0.25">
      <c r="C15628" s="26">
        <v>15626</v>
      </c>
    </row>
    <row r="15629" spans="3:3" x14ac:dyDescent="0.25">
      <c r="C15629" s="26">
        <v>15627</v>
      </c>
    </row>
    <row r="15630" spans="3:3" x14ac:dyDescent="0.25">
      <c r="C15630" s="26">
        <v>15628</v>
      </c>
    </row>
    <row r="15631" spans="3:3" x14ac:dyDescent="0.25">
      <c r="C15631" s="26">
        <v>15629</v>
      </c>
    </row>
    <row r="15632" spans="3:3" x14ac:dyDescent="0.25">
      <c r="C15632" s="26">
        <v>15630</v>
      </c>
    </row>
    <row r="15633" spans="3:3" x14ac:dyDescent="0.25">
      <c r="C15633" s="26">
        <v>15631</v>
      </c>
    </row>
    <row r="15634" spans="3:3" x14ac:dyDescent="0.25">
      <c r="C15634" s="26">
        <v>15632</v>
      </c>
    </row>
    <row r="15635" spans="3:3" x14ac:dyDescent="0.25">
      <c r="C15635" s="26">
        <v>15633</v>
      </c>
    </row>
    <row r="15636" spans="3:3" x14ac:dyDescent="0.25">
      <c r="C15636" s="26">
        <v>15634</v>
      </c>
    </row>
    <row r="15637" spans="3:3" x14ac:dyDescent="0.25">
      <c r="C15637" s="26">
        <v>15635</v>
      </c>
    </row>
    <row r="15638" spans="3:3" x14ac:dyDescent="0.25">
      <c r="C15638" s="26">
        <v>15636</v>
      </c>
    </row>
    <row r="15639" spans="3:3" x14ac:dyDescent="0.25">
      <c r="C15639" s="26">
        <v>15637</v>
      </c>
    </row>
    <row r="15640" spans="3:3" x14ac:dyDescent="0.25">
      <c r="C15640" s="26">
        <v>15638</v>
      </c>
    </row>
    <row r="15641" spans="3:3" x14ac:dyDescent="0.25">
      <c r="C15641" s="26">
        <v>15639</v>
      </c>
    </row>
    <row r="15642" spans="3:3" x14ac:dyDescent="0.25">
      <c r="C15642" s="26">
        <v>15640</v>
      </c>
    </row>
    <row r="15643" spans="3:3" x14ac:dyDescent="0.25">
      <c r="C15643" s="26">
        <v>15641</v>
      </c>
    </row>
    <row r="15644" spans="3:3" x14ac:dyDescent="0.25">
      <c r="C15644" s="26">
        <v>15642</v>
      </c>
    </row>
    <row r="15645" spans="3:3" x14ac:dyDescent="0.25">
      <c r="C15645" s="26">
        <v>15643</v>
      </c>
    </row>
    <row r="15646" spans="3:3" x14ac:dyDescent="0.25">
      <c r="C15646" s="26">
        <v>15644</v>
      </c>
    </row>
    <row r="15647" spans="3:3" x14ac:dyDescent="0.25">
      <c r="C15647" s="26">
        <v>15645</v>
      </c>
    </row>
    <row r="15648" spans="3:3" x14ac:dyDescent="0.25">
      <c r="C15648" s="26">
        <v>15646</v>
      </c>
    </row>
    <row r="15649" spans="3:3" x14ac:dyDescent="0.25">
      <c r="C15649" s="26">
        <v>15647</v>
      </c>
    </row>
    <row r="15650" spans="3:3" x14ac:dyDescent="0.25">
      <c r="C15650" s="26">
        <v>15648</v>
      </c>
    </row>
    <row r="15651" spans="3:3" x14ac:dyDescent="0.25">
      <c r="C15651" s="26">
        <v>15649</v>
      </c>
    </row>
    <row r="15652" spans="3:3" x14ac:dyDescent="0.25">
      <c r="C15652" s="26">
        <v>15650</v>
      </c>
    </row>
    <row r="15653" spans="3:3" x14ac:dyDescent="0.25">
      <c r="C15653" s="26">
        <v>15651</v>
      </c>
    </row>
    <row r="15654" spans="3:3" x14ac:dyDescent="0.25">
      <c r="C15654" s="26">
        <v>15652</v>
      </c>
    </row>
    <row r="15655" spans="3:3" x14ac:dyDescent="0.25">
      <c r="C15655" s="26">
        <v>15653</v>
      </c>
    </row>
    <row r="15656" spans="3:3" x14ac:dyDescent="0.25">
      <c r="C15656" s="26">
        <v>15654</v>
      </c>
    </row>
    <row r="15657" spans="3:3" x14ac:dyDescent="0.25">
      <c r="C15657" s="26">
        <v>15655</v>
      </c>
    </row>
    <row r="15658" spans="3:3" x14ac:dyDescent="0.25">
      <c r="C15658" s="26">
        <v>15656</v>
      </c>
    </row>
    <row r="15659" spans="3:3" x14ac:dyDescent="0.25">
      <c r="C15659" s="26">
        <v>15657</v>
      </c>
    </row>
    <row r="15660" spans="3:3" x14ac:dyDescent="0.25">
      <c r="C15660" s="26">
        <v>15658</v>
      </c>
    </row>
    <row r="15661" spans="3:3" x14ac:dyDescent="0.25">
      <c r="C15661" s="26">
        <v>15659</v>
      </c>
    </row>
    <row r="15662" spans="3:3" x14ac:dyDescent="0.25">
      <c r="C15662" s="26">
        <v>15660</v>
      </c>
    </row>
    <row r="15663" spans="3:3" x14ac:dyDescent="0.25">
      <c r="C15663" s="26">
        <v>15661</v>
      </c>
    </row>
    <row r="15664" spans="3:3" x14ac:dyDescent="0.25">
      <c r="C15664" s="26">
        <v>15662</v>
      </c>
    </row>
    <row r="15665" spans="3:3" x14ac:dyDescent="0.25">
      <c r="C15665" s="26">
        <v>15663</v>
      </c>
    </row>
    <row r="15666" spans="3:3" x14ac:dyDescent="0.25">
      <c r="C15666" s="26">
        <v>15664</v>
      </c>
    </row>
    <row r="15667" spans="3:3" x14ac:dyDescent="0.25">
      <c r="C15667" s="26">
        <v>15665</v>
      </c>
    </row>
    <row r="15668" spans="3:3" x14ac:dyDescent="0.25">
      <c r="C15668" s="26">
        <v>15666</v>
      </c>
    </row>
    <row r="15669" spans="3:3" x14ac:dyDescent="0.25">
      <c r="C15669" s="26">
        <v>15667</v>
      </c>
    </row>
    <row r="15670" spans="3:3" x14ac:dyDescent="0.25">
      <c r="C15670" s="26">
        <v>15668</v>
      </c>
    </row>
    <row r="15671" spans="3:3" x14ac:dyDescent="0.25">
      <c r="C15671" s="26">
        <v>15669</v>
      </c>
    </row>
    <row r="15672" spans="3:3" x14ac:dyDescent="0.25">
      <c r="C15672" s="26">
        <v>15670</v>
      </c>
    </row>
    <row r="15673" spans="3:3" x14ac:dyDescent="0.25">
      <c r="C15673" s="26">
        <v>15671</v>
      </c>
    </row>
    <row r="15674" spans="3:3" x14ac:dyDescent="0.25">
      <c r="C15674" s="26">
        <v>15672</v>
      </c>
    </row>
    <row r="15675" spans="3:3" x14ac:dyDescent="0.25">
      <c r="C15675" s="26">
        <v>15673</v>
      </c>
    </row>
    <row r="15676" spans="3:3" x14ac:dyDescent="0.25">
      <c r="C15676" s="26">
        <v>15674</v>
      </c>
    </row>
    <row r="15677" spans="3:3" x14ac:dyDescent="0.25">
      <c r="C15677" s="26">
        <v>15675</v>
      </c>
    </row>
    <row r="15678" spans="3:3" x14ac:dyDescent="0.25">
      <c r="C15678" s="26">
        <v>15676</v>
      </c>
    </row>
    <row r="15679" spans="3:3" x14ac:dyDescent="0.25">
      <c r="C15679" s="26">
        <v>15677</v>
      </c>
    </row>
    <row r="15680" spans="3:3" x14ac:dyDescent="0.25">
      <c r="C15680" s="26">
        <v>15678</v>
      </c>
    </row>
    <row r="15681" spans="3:3" x14ac:dyDescent="0.25">
      <c r="C15681" s="26">
        <v>15679</v>
      </c>
    </row>
    <row r="15682" spans="3:3" x14ac:dyDescent="0.25">
      <c r="C15682" s="26">
        <v>15680</v>
      </c>
    </row>
    <row r="15683" spans="3:3" x14ac:dyDescent="0.25">
      <c r="C15683" s="26">
        <v>15681</v>
      </c>
    </row>
    <row r="15684" spans="3:3" x14ac:dyDescent="0.25">
      <c r="C15684" s="26">
        <v>15682</v>
      </c>
    </row>
    <row r="15685" spans="3:3" x14ac:dyDescent="0.25">
      <c r="C15685" s="26">
        <v>15683</v>
      </c>
    </row>
    <row r="15686" spans="3:3" x14ac:dyDescent="0.25">
      <c r="C15686" s="26">
        <v>15684</v>
      </c>
    </row>
    <row r="15687" spans="3:3" x14ac:dyDescent="0.25">
      <c r="C15687" s="26">
        <v>15685</v>
      </c>
    </row>
    <row r="15688" spans="3:3" x14ac:dyDescent="0.25">
      <c r="C15688" s="26">
        <v>15686</v>
      </c>
    </row>
    <row r="15689" spans="3:3" x14ac:dyDescent="0.25">
      <c r="C15689" s="26">
        <v>15687</v>
      </c>
    </row>
    <row r="15690" spans="3:3" x14ac:dyDescent="0.25">
      <c r="C15690" s="26">
        <v>15688</v>
      </c>
    </row>
    <row r="15691" spans="3:3" x14ac:dyDescent="0.25">
      <c r="C15691" s="26">
        <v>15689</v>
      </c>
    </row>
    <row r="15692" spans="3:3" x14ac:dyDescent="0.25">
      <c r="C15692" s="26">
        <v>15690</v>
      </c>
    </row>
    <row r="15693" spans="3:3" x14ac:dyDescent="0.25">
      <c r="C15693" s="26">
        <v>15691</v>
      </c>
    </row>
    <row r="15694" spans="3:3" x14ac:dyDescent="0.25">
      <c r="C15694" s="26">
        <v>15692</v>
      </c>
    </row>
    <row r="15695" spans="3:3" x14ac:dyDescent="0.25">
      <c r="C15695" s="26">
        <v>15693</v>
      </c>
    </row>
    <row r="15696" spans="3:3" x14ac:dyDescent="0.25">
      <c r="C15696" s="26">
        <v>15694</v>
      </c>
    </row>
    <row r="15697" spans="3:3" x14ac:dyDescent="0.25">
      <c r="C15697" s="26">
        <v>15695</v>
      </c>
    </row>
    <row r="15698" spans="3:3" x14ac:dyDescent="0.25">
      <c r="C15698" s="26">
        <v>15696</v>
      </c>
    </row>
    <row r="15699" spans="3:3" x14ac:dyDescent="0.25">
      <c r="C15699" s="26">
        <v>15697</v>
      </c>
    </row>
    <row r="15700" spans="3:3" x14ac:dyDescent="0.25">
      <c r="C15700" s="26">
        <v>15698</v>
      </c>
    </row>
    <row r="15701" spans="3:3" x14ac:dyDescent="0.25">
      <c r="C15701" s="26">
        <v>15699</v>
      </c>
    </row>
    <row r="15702" spans="3:3" x14ac:dyDescent="0.25">
      <c r="C15702" s="26">
        <v>15700</v>
      </c>
    </row>
    <row r="15703" spans="3:3" x14ac:dyDescent="0.25">
      <c r="C15703" s="26">
        <v>15701</v>
      </c>
    </row>
    <row r="15704" spans="3:3" x14ac:dyDescent="0.25">
      <c r="C15704" s="26">
        <v>15702</v>
      </c>
    </row>
    <row r="15705" spans="3:3" x14ac:dyDescent="0.25">
      <c r="C15705" s="26">
        <v>15703</v>
      </c>
    </row>
    <row r="15706" spans="3:3" x14ac:dyDescent="0.25">
      <c r="C15706" s="26">
        <v>15704</v>
      </c>
    </row>
    <row r="15707" spans="3:3" x14ac:dyDescent="0.25">
      <c r="C15707" s="26">
        <v>15705</v>
      </c>
    </row>
    <row r="15708" spans="3:3" x14ac:dyDescent="0.25">
      <c r="C15708" s="26">
        <v>15706</v>
      </c>
    </row>
    <row r="15709" spans="3:3" x14ac:dyDescent="0.25">
      <c r="C15709" s="26">
        <v>15707</v>
      </c>
    </row>
    <row r="15710" spans="3:3" x14ac:dyDescent="0.25">
      <c r="C15710" s="26">
        <v>15708</v>
      </c>
    </row>
    <row r="15711" spans="3:3" x14ac:dyDescent="0.25">
      <c r="C15711" s="26">
        <v>15709</v>
      </c>
    </row>
    <row r="15712" spans="3:3" x14ac:dyDescent="0.25">
      <c r="C15712" s="26">
        <v>15710</v>
      </c>
    </row>
    <row r="15713" spans="3:3" x14ac:dyDescent="0.25">
      <c r="C15713" s="26">
        <v>15711</v>
      </c>
    </row>
    <row r="15714" spans="3:3" x14ac:dyDescent="0.25">
      <c r="C15714" s="26">
        <v>15712</v>
      </c>
    </row>
    <row r="15715" spans="3:3" x14ac:dyDescent="0.25">
      <c r="C15715" s="26">
        <v>15713</v>
      </c>
    </row>
    <row r="15716" spans="3:3" x14ac:dyDescent="0.25">
      <c r="C15716" s="26">
        <v>15714</v>
      </c>
    </row>
    <row r="15717" spans="3:3" x14ac:dyDescent="0.25">
      <c r="C15717" s="26">
        <v>15715</v>
      </c>
    </row>
    <row r="15718" spans="3:3" x14ac:dyDescent="0.25">
      <c r="C15718" s="26">
        <v>15716</v>
      </c>
    </row>
    <row r="15719" spans="3:3" x14ac:dyDescent="0.25">
      <c r="C15719" s="26">
        <v>15717</v>
      </c>
    </row>
    <row r="15720" spans="3:3" x14ac:dyDescent="0.25">
      <c r="C15720" s="26">
        <v>15718</v>
      </c>
    </row>
    <row r="15721" spans="3:3" x14ac:dyDescent="0.25">
      <c r="C15721" s="26">
        <v>15719</v>
      </c>
    </row>
    <row r="15722" spans="3:3" x14ac:dyDescent="0.25">
      <c r="C15722" s="26">
        <v>15720</v>
      </c>
    </row>
    <row r="15723" spans="3:3" x14ac:dyDescent="0.25">
      <c r="C15723" s="26">
        <v>15721</v>
      </c>
    </row>
    <row r="15724" spans="3:3" x14ac:dyDescent="0.25">
      <c r="C15724" s="26">
        <v>15722</v>
      </c>
    </row>
    <row r="15725" spans="3:3" x14ac:dyDescent="0.25">
      <c r="C15725" s="26">
        <v>15723</v>
      </c>
    </row>
    <row r="15726" spans="3:3" x14ac:dyDescent="0.25">
      <c r="C15726" s="26">
        <v>15724</v>
      </c>
    </row>
    <row r="15727" spans="3:3" x14ac:dyDescent="0.25">
      <c r="C15727" s="26">
        <v>15725</v>
      </c>
    </row>
    <row r="15728" spans="3:3" x14ac:dyDescent="0.25">
      <c r="C15728" s="26">
        <v>15726</v>
      </c>
    </row>
    <row r="15729" spans="3:3" x14ac:dyDescent="0.25">
      <c r="C15729" s="26">
        <v>15727</v>
      </c>
    </row>
    <row r="15730" spans="3:3" x14ac:dyDescent="0.25">
      <c r="C15730" s="26">
        <v>15728</v>
      </c>
    </row>
    <row r="15731" spans="3:3" x14ac:dyDescent="0.25">
      <c r="C15731" s="26">
        <v>15729</v>
      </c>
    </row>
    <row r="15732" spans="3:3" x14ac:dyDescent="0.25">
      <c r="C15732" s="26">
        <v>15730</v>
      </c>
    </row>
    <row r="15733" spans="3:3" x14ac:dyDescent="0.25">
      <c r="C15733" s="26">
        <v>15731</v>
      </c>
    </row>
    <row r="15734" spans="3:3" x14ac:dyDescent="0.25">
      <c r="C15734" s="26">
        <v>15732</v>
      </c>
    </row>
    <row r="15735" spans="3:3" x14ac:dyDescent="0.25">
      <c r="C15735" s="26">
        <v>15733</v>
      </c>
    </row>
    <row r="15736" spans="3:3" x14ac:dyDescent="0.25">
      <c r="C15736" s="26">
        <v>15734</v>
      </c>
    </row>
    <row r="15737" spans="3:3" x14ac:dyDescent="0.25">
      <c r="C15737" s="26">
        <v>15735</v>
      </c>
    </row>
    <row r="15738" spans="3:3" x14ac:dyDescent="0.25">
      <c r="C15738" s="26">
        <v>15736</v>
      </c>
    </row>
    <row r="15739" spans="3:3" x14ac:dyDescent="0.25">
      <c r="C15739" s="26">
        <v>15737</v>
      </c>
    </row>
    <row r="15740" spans="3:3" x14ac:dyDescent="0.25">
      <c r="C15740" s="26">
        <v>15738</v>
      </c>
    </row>
    <row r="15741" spans="3:3" x14ac:dyDescent="0.25">
      <c r="C15741" s="26">
        <v>15739</v>
      </c>
    </row>
    <row r="15742" spans="3:3" x14ac:dyDescent="0.25">
      <c r="C15742" s="26">
        <v>15740</v>
      </c>
    </row>
    <row r="15743" spans="3:3" x14ac:dyDescent="0.25">
      <c r="C15743" s="26">
        <v>15741</v>
      </c>
    </row>
    <row r="15744" spans="3:3" x14ac:dyDescent="0.25">
      <c r="C15744" s="26">
        <v>15742</v>
      </c>
    </row>
    <row r="15745" spans="3:3" x14ac:dyDescent="0.25">
      <c r="C15745" s="26">
        <v>15743</v>
      </c>
    </row>
    <row r="15746" spans="3:3" x14ac:dyDescent="0.25">
      <c r="C15746" s="26">
        <v>15744</v>
      </c>
    </row>
    <row r="15747" spans="3:3" x14ac:dyDescent="0.25">
      <c r="C15747" s="26">
        <v>15745</v>
      </c>
    </row>
    <row r="15748" spans="3:3" x14ac:dyDescent="0.25">
      <c r="C15748" s="26">
        <v>15746</v>
      </c>
    </row>
    <row r="15749" spans="3:3" x14ac:dyDescent="0.25">
      <c r="C15749" s="26">
        <v>15747</v>
      </c>
    </row>
    <row r="15750" spans="3:3" x14ac:dyDescent="0.25">
      <c r="C15750" s="26">
        <v>15748</v>
      </c>
    </row>
    <row r="15751" spans="3:3" x14ac:dyDescent="0.25">
      <c r="C15751" s="26">
        <v>15749</v>
      </c>
    </row>
    <row r="15752" spans="3:3" x14ac:dyDescent="0.25">
      <c r="C15752" s="26">
        <v>15750</v>
      </c>
    </row>
    <row r="15753" spans="3:3" x14ac:dyDescent="0.25">
      <c r="C15753" s="26">
        <v>15751</v>
      </c>
    </row>
    <row r="15754" spans="3:3" x14ac:dyDescent="0.25">
      <c r="C15754" s="26">
        <v>15752</v>
      </c>
    </row>
    <row r="15755" spans="3:3" x14ac:dyDescent="0.25">
      <c r="C15755" s="26">
        <v>15753</v>
      </c>
    </row>
    <row r="15756" spans="3:3" x14ac:dyDescent="0.25">
      <c r="C15756" s="26">
        <v>15754</v>
      </c>
    </row>
    <row r="15757" spans="3:3" x14ac:dyDescent="0.25">
      <c r="C15757" s="26">
        <v>15755</v>
      </c>
    </row>
    <row r="15758" spans="3:3" x14ac:dyDescent="0.25">
      <c r="C15758" s="26">
        <v>15756</v>
      </c>
    </row>
    <row r="15759" spans="3:3" x14ac:dyDescent="0.25">
      <c r="C15759" s="26">
        <v>15757</v>
      </c>
    </row>
    <row r="15760" spans="3:3" x14ac:dyDescent="0.25">
      <c r="C15760" s="26">
        <v>15758</v>
      </c>
    </row>
    <row r="15761" spans="3:3" x14ac:dyDescent="0.25">
      <c r="C15761" s="26">
        <v>15759</v>
      </c>
    </row>
    <row r="15762" spans="3:3" x14ac:dyDescent="0.25">
      <c r="C15762" s="26">
        <v>15760</v>
      </c>
    </row>
    <row r="15763" spans="3:3" x14ac:dyDescent="0.25">
      <c r="C15763" s="26">
        <v>15761</v>
      </c>
    </row>
    <row r="15764" spans="3:3" x14ac:dyDescent="0.25">
      <c r="C15764" s="26">
        <v>15762</v>
      </c>
    </row>
    <row r="15765" spans="3:3" x14ac:dyDescent="0.25">
      <c r="C15765" s="26">
        <v>15763</v>
      </c>
    </row>
    <row r="15766" spans="3:3" x14ac:dyDescent="0.25">
      <c r="C15766" s="26">
        <v>15764</v>
      </c>
    </row>
    <row r="15767" spans="3:3" x14ac:dyDescent="0.25">
      <c r="C15767" s="26">
        <v>15765</v>
      </c>
    </row>
    <row r="15768" spans="3:3" x14ac:dyDescent="0.25">
      <c r="C15768" s="26">
        <v>15766</v>
      </c>
    </row>
    <row r="15769" spans="3:3" x14ac:dyDescent="0.25">
      <c r="C15769" s="26">
        <v>15767</v>
      </c>
    </row>
    <row r="15770" spans="3:3" x14ac:dyDescent="0.25">
      <c r="C15770" s="26">
        <v>15768</v>
      </c>
    </row>
    <row r="15771" spans="3:3" x14ac:dyDescent="0.25">
      <c r="C15771" s="26">
        <v>15769</v>
      </c>
    </row>
    <row r="15772" spans="3:3" x14ac:dyDescent="0.25">
      <c r="C15772" s="26">
        <v>15770</v>
      </c>
    </row>
    <row r="15773" spans="3:3" x14ac:dyDescent="0.25">
      <c r="C15773" s="26">
        <v>15771</v>
      </c>
    </row>
    <row r="15774" spans="3:3" x14ac:dyDescent="0.25">
      <c r="C15774" s="26">
        <v>15772</v>
      </c>
    </row>
    <row r="15775" spans="3:3" x14ac:dyDescent="0.25">
      <c r="C15775" s="26">
        <v>15773</v>
      </c>
    </row>
    <row r="15776" spans="3:3" x14ac:dyDescent="0.25">
      <c r="C15776" s="26">
        <v>15774</v>
      </c>
    </row>
    <row r="15777" spans="3:3" x14ac:dyDescent="0.25">
      <c r="C15777" s="26">
        <v>15775</v>
      </c>
    </row>
    <row r="15778" spans="3:3" x14ac:dyDescent="0.25">
      <c r="C15778" s="26">
        <v>15776</v>
      </c>
    </row>
    <row r="15779" spans="3:3" x14ac:dyDescent="0.25">
      <c r="C15779" s="26">
        <v>15777</v>
      </c>
    </row>
    <row r="15780" spans="3:3" x14ac:dyDescent="0.25">
      <c r="C15780" s="26">
        <v>15778</v>
      </c>
    </row>
    <row r="15781" spans="3:3" x14ac:dyDescent="0.25">
      <c r="C15781" s="26">
        <v>15779</v>
      </c>
    </row>
    <row r="15782" spans="3:3" x14ac:dyDescent="0.25">
      <c r="C15782" s="26">
        <v>15780</v>
      </c>
    </row>
    <row r="15783" spans="3:3" x14ac:dyDescent="0.25">
      <c r="C15783" s="26">
        <v>15781</v>
      </c>
    </row>
    <row r="15784" spans="3:3" x14ac:dyDescent="0.25">
      <c r="C15784" s="26">
        <v>15782</v>
      </c>
    </row>
    <row r="15785" spans="3:3" x14ac:dyDescent="0.25">
      <c r="C15785" s="26">
        <v>15783</v>
      </c>
    </row>
    <row r="15786" spans="3:3" x14ac:dyDescent="0.25">
      <c r="C15786" s="26">
        <v>15784</v>
      </c>
    </row>
    <row r="15787" spans="3:3" x14ac:dyDescent="0.25">
      <c r="C15787" s="26">
        <v>15785</v>
      </c>
    </row>
    <row r="15788" spans="3:3" x14ac:dyDescent="0.25">
      <c r="C15788" s="26">
        <v>15786</v>
      </c>
    </row>
    <row r="15789" spans="3:3" x14ac:dyDescent="0.25">
      <c r="C15789" s="26">
        <v>15787</v>
      </c>
    </row>
    <row r="15790" spans="3:3" x14ac:dyDescent="0.25">
      <c r="C15790" s="26">
        <v>15788</v>
      </c>
    </row>
    <row r="15791" spans="3:3" x14ac:dyDescent="0.25">
      <c r="C15791" s="26">
        <v>15789</v>
      </c>
    </row>
    <row r="15792" spans="3:3" x14ac:dyDescent="0.25">
      <c r="C15792" s="26">
        <v>15790</v>
      </c>
    </row>
    <row r="15793" spans="3:3" x14ac:dyDescent="0.25">
      <c r="C15793" s="26">
        <v>15791</v>
      </c>
    </row>
    <row r="15794" spans="3:3" x14ac:dyDescent="0.25">
      <c r="C15794" s="26">
        <v>15792</v>
      </c>
    </row>
    <row r="15795" spans="3:3" x14ac:dyDescent="0.25">
      <c r="C15795" s="26">
        <v>15793</v>
      </c>
    </row>
    <row r="15796" spans="3:3" x14ac:dyDescent="0.25">
      <c r="C15796" s="26">
        <v>15794</v>
      </c>
    </row>
    <row r="15797" spans="3:3" x14ac:dyDescent="0.25">
      <c r="C15797" s="26">
        <v>15795</v>
      </c>
    </row>
    <row r="15798" spans="3:3" x14ac:dyDescent="0.25">
      <c r="C15798" s="26">
        <v>15796</v>
      </c>
    </row>
    <row r="15799" spans="3:3" x14ac:dyDescent="0.25">
      <c r="C15799" s="26">
        <v>15797</v>
      </c>
    </row>
    <row r="15800" spans="3:3" x14ac:dyDescent="0.25">
      <c r="C15800" s="26">
        <v>15798</v>
      </c>
    </row>
    <row r="15801" spans="3:3" x14ac:dyDescent="0.25">
      <c r="C15801" s="26">
        <v>15799</v>
      </c>
    </row>
    <row r="15802" spans="3:3" x14ac:dyDescent="0.25">
      <c r="C15802" s="26">
        <v>15800</v>
      </c>
    </row>
    <row r="15803" spans="3:3" x14ac:dyDescent="0.25">
      <c r="C15803" s="26">
        <v>15801</v>
      </c>
    </row>
    <row r="15804" spans="3:3" x14ac:dyDescent="0.25">
      <c r="C15804" s="26">
        <v>15802</v>
      </c>
    </row>
    <row r="15805" spans="3:3" x14ac:dyDescent="0.25">
      <c r="C15805" s="26">
        <v>15803</v>
      </c>
    </row>
    <row r="15806" spans="3:3" x14ac:dyDescent="0.25">
      <c r="C15806" s="26">
        <v>15804</v>
      </c>
    </row>
    <row r="15807" spans="3:3" x14ac:dyDescent="0.25">
      <c r="C15807" s="26">
        <v>15805</v>
      </c>
    </row>
    <row r="15808" spans="3:3" x14ac:dyDescent="0.25">
      <c r="C15808" s="26">
        <v>15806</v>
      </c>
    </row>
    <row r="15809" spans="3:3" x14ac:dyDescent="0.25">
      <c r="C15809" s="26">
        <v>15807</v>
      </c>
    </row>
    <row r="15810" spans="3:3" x14ac:dyDescent="0.25">
      <c r="C15810" s="26">
        <v>15808</v>
      </c>
    </row>
    <row r="15811" spans="3:3" x14ac:dyDescent="0.25">
      <c r="C15811" s="26">
        <v>15809</v>
      </c>
    </row>
    <row r="15812" spans="3:3" x14ac:dyDescent="0.25">
      <c r="C15812" s="26">
        <v>15810</v>
      </c>
    </row>
    <row r="15813" spans="3:3" x14ac:dyDescent="0.25">
      <c r="C15813" s="26">
        <v>15811</v>
      </c>
    </row>
    <row r="15814" spans="3:3" x14ac:dyDescent="0.25">
      <c r="C15814" s="26">
        <v>15812</v>
      </c>
    </row>
    <row r="15815" spans="3:3" x14ac:dyDescent="0.25">
      <c r="C15815" s="26">
        <v>15813</v>
      </c>
    </row>
    <row r="15816" spans="3:3" x14ac:dyDescent="0.25">
      <c r="C15816" s="26">
        <v>15814</v>
      </c>
    </row>
    <row r="15817" spans="3:3" x14ac:dyDescent="0.25">
      <c r="C15817" s="26">
        <v>15815</v>
      </c>
    </row>
    <row r="15818" spans="3:3" x14ac:dyDescent="0.25">
      <c r="C15818" s="26">
        <v>15816</v>
      </c>
    </row>
    <row r="15819" spans="3:3" x14ac:dyDescent="0.25">
      <c r="C15819" s="26">
        <v>15817</v>
      </c>
    </row>
    <row r="15820" spans="3:3" x14ac:dyDescent="0.25">
      <c r="C15820" s="26">
        <v>15818</v>
      </c>
    </row>
    <row r="15821" spans="3:3" x14ac:dyDescent="0.25">
      <c r="C15821" s="26">
        <v>15819</v>
      </c>
    </row>
    <row r="15822" spans="3:3" x14ac:dyDescent="0.25">
      <c r="C15822" s="26">
        <v>15820</v>
      </c>
    </row>
    <row r="15823" spans="3:3" x14ac:dyDescent="0.25">
      <c r="C15823" s="26">
        <v>15821</v>
      </c>
    </row>
    <row r="15824" spans="3:3" x14ac:dyDescent="0.25">
      <c r="C15824" s="26">
        <v>15822</v>
      </c>
    </row>
    <row r="15825" spans="3:3" x14ac:dyDescent="0.25">
      <c r="C15825" s="26">
        <v>15823</v>
      </c>
    </row>
    <row r="15826" spans="3:3" x14ac:dyDescent="0.25">
      <c r="C15826" s="26">
        <v>15824</v>
      </c>
    </row>
    <row r="15827" spans="3:3" x14ac:dyDescent="0.25">
      <c r="C15827" s="26">
        <v>15825</v>
      </c>
    </row>
    <row r="15828" spans="3:3" x14ac:dyDescent="0.25">
      <c r="C15828" s="26">
        <v>15826</v>
      </c>
    </row>
    <row r="15829" spans="3:3" x14ac:dyDescent="0.25">
      <c r="C15829" s="26">
        <v>15827</v>
      </c>
    </row>
    <row r="15830" spans="3:3" x14ac:dyDescent="0.25">
      <c r="C15830" s="26">
        <v>15828</v>
      </c>
    </row>
    <row r="15831" spans="3:3" x14ac:dyDescent="0.25">
      <c r="C15831" s="26">
        <v>15829</v>
      </c>
    </row>
    <row r="15832" spans="3:3" x14ac:dyDescent="0.25">
      <c r="C15832" s="26">
        <v>15830</v>
      </c>
    </row>
    <row r="15833" spans="3:3" x14ac:dyDescent="0.25">
      <c r="C15833" s="26">
        <v>15831</v>
      </c>
    </row>
    <row r="15834" spans="3:3" x14ac:dyDescent="0.25">
      <c r="C15834" s="26">
        <v>15832</v>
      </c>
    </row>
    <row r="15835" spans="3:3" x14ac:dyDescent="0.25">
      <c r="C15835" s="26">
        <v>15833</v>
      </c>
    </row>
    <row r="15836" spans="3:3" x14ac:dyDescent="0.25">
      <c r="C15836" s="26">
        <v>15834</v>
      </c>
    </row>
    <row r="15837" spans="3:3" x14ac:dyDescent="0.25">
      <c r="C15837" s="26">
        <v>15835</v>
      </c>
    </row>
    <row r="15838" spans="3:3" x14ac:dyDescent="0.25">
      <c r="C15838" s="26">
        <v>15836</v>
      </c>
    </row>
    <row r="15839" spans="3:3" x14ac:dyDescent="0.25">
      <c r="C15839" s="26">
        <v>15837</v>
      </c>
    </row>
    <row r="15840" spans="3:3" x14ac:dyDescent="0.25">
      <c r="C15840" s="26">
        <v>15838</v>
      </c>
    </row>
    <row r="15841" spans="3:3" x14ac:dyDescent="0.25">
      <c r="C15841" s="26">
        <v>15839</v>
      </c>
    </row>
    <row r="15842" spans="3:3" x14ac:dyDescent="0.25">
      <c r="C15842" s="26">
        <v>15840</v>
      </c>
    </row>
    <row r="15843" spans="3:3" x14ac:dyDescent="0.25">
      <c r="C15843" s="26">
        <v>15841</v>
      </c>
    </row>
    <row r="15844" spans="3:3" x14ac:dyDescent="0.25">
      <c r="C15844" s="26">
        <v>15842</v>
      </c>
    </row>
    <row r="15845" spans="3:3" x14ac:dyDescent="0.25">
      <c r="C15845" s="26">
        <v>15843</v>
      </c>
    </row>
    <row r="15846" spans="3:3" x14ac:dyDescent="0.25">
      <c r="C15846" s="26">
        <v>15844</v>
      </c>
    </row>
    <row r="15847" spans="3:3" x14ac:dyDescent="0.25">
      <c r="C15847" s="26">
        <v>15845</v>
      </c>
    </row>
    <row r="15848" spans="3:3" x14ac:dyDescent="0.25">
      <c r="C15848" s="26">
        <v>15846</v>
      </c>
    </row>
    <row r="15849" spans="3:3" x14ac:dyDescent="0.25">
      <c r="C15849" s="26">
        <v>15847</v>
      </c>
    </row>
    <row r="15850" spans="3:3" x14ac:dyDescent="0.25">
      <c r="C15850" s="26">
        <v>15848</v>
      </c>
    </row>
    <row r="15851" spans="3:3" x14ac:dyDescent="0.25">
      <c r="C15851" s="26">
        <v>15849</v>
      </c>
    </row>
    <row r="15852" spans="3:3" x14ac:dyDescent="0.25">
      <c r="C15852" s="26">
        <v>15850</v>
      </c>
    </row>
    <row r="15853" spans="3:3" x14ac:dyDescent="0.25">
      <c r="C15853" s="26">
        <v>15851</v>
      </c>
    </row>
    <row r="15854" spans="3:3" x14ac:dyDescent="0.25">
      <c r="C15854" s="26">
        <v>15852</v>
      </c>
    </row>
    <row r="15855" spans="3:3" x14ac:dyDescent="0.25">
      <c r="C15855" s="26">
        <v>15853</v>
      </c>
    </row>
    <row r="15856" spans="3:3" x14ac:dyDescent="0.25">
      <c r="C15856" s="26">
        <v>15854</v>
      </c>
    </row>
    <row r="15857" spans="3:3" x14ac:dyDescent="0.25">
      <c r="C15857" s="26">
        <v>15855</v>
      </c>
    </row>
    <row r="15858" spans="3:3" x14ac:dyDescent="0.25">
      <c r="C15858" s="26">
        <v>15856</v>
      </c>
    </row>
    <row r="15859" spans="3:3" x14ac:dyDescent="0.25">
      <c r="C15859" s="26">
        <v>15857</v>
      </c>
    </row>
    <row r="15860" spans="3:3" x14ac:dyDescent="0.25">
      <c r="C15860" s="26">
        <v>15858</v>
      </c>
    </row>
    <row r="15861" spans="3:3" x14ac:dyDescent="0.25">
      <c r="C15861" s="26">
        <v>15859</v>
      </c>
    </row>
    <row r="15862" spans="3:3" x14ac:dyDescent="0.25">
      <c r="C15862" s="26">
        <v>15860</v>
      </c>
    </row>
    <row r="15863" spans="3:3" x14ac:dyDescent="0.25">
      <c r="C15863" s="26">
        <v>15861</v>
      </c>
    </row>
    <row r="15864" spans="3:3" x14ac:dyDescent="0.25">
      <c r="C15864" s="26">
        <v>15862</v>
      </c>
    </row>
    <row r="15865" spans="3:3" x14ac:dyDescent="0.25">
      <c r="C15865" s="26">
        <v>15863</v>
      </c>
    </row>
    <row r="15866" spans="3:3" x14ac:dyDescent="0.25">
      <c r="C15866" s="26">
        <v>15864</v>
      </c>
    </row>
    <row r="15867" spans="3:3" x14ac:dyDescent="0.25">
      <c r="C15867" s="26">
        <v>15865</v>
      </c>
    </row>
    <row r="15868" spans="3:3" x14ac:dyDescent="0.25">
      <c r="C15868" s="26">
        <v>15866</v>
      </c>
    </row>
    <row r="15869" spans="3:3" x14ac:dyDescent="0.25">
      <c r="C15869" s="26">
        <v>15867</v>
      </c>
    </row>
    <row r="15870" spans="3:3" x14ac:dyDescent="0.25">
      <c r="C15870" s="26">
        <v>15868</v>
      </c>
    </row>
    <row r="15871" spans="3:3" x14ac:dyDescent="0.25">
      <c r="C15871" s="26">
        <v>15869</v>
      </c>
    </row>
    <row r="15872" spans="3:3" x14ac:dyDescent="0.25">
      <c r="C15872" s="26">
        <v>15870</v>
      </c>
    </row>
    <row r="15873" spans="3:3" x14ac:dyDescent="0.25">
      <c r="C15873" s="26">
        <v>15871</v>
      </c>
    </row>
    <row r="15874" spans="3:3" x14ac:dyDescent="0.25">
      <c r="C15874" s="26">
        <v>15872</v>
      </c>
    </row>
    <row r="15875" spans="3:3" x14ac:dyDescent="0.25">
      <c r="C15875" s="26">
        <v>15873</v>
      </c>
    </row>
    <row r="15876" spans="3:3" x14ac:dyDescent="0.25">
      <c r="C15876" s="26">
        <v>15874</v>
      </c>
    </row>
    <row r="15877" spans="3:3" x14ac:dyDescent="0.25">
      <c r="C15877" s="26">
        <v>15875</v>
      </c>
    </row>
    <row r="15878" spans="3:3" x14ac:dyDescent="0.25">
      <c r="C15878" s="26">
        <v>15876</v>
      </c>
    </row>
    <row r="15879" spans="3:3" x14ac:dyDescent="0.25">
      <c r="C15879" s="26">
        <v>15877</v>
      </c>
    </row>
    <row r="15880" spans="3:3" x14ac:dyDescent="0.25">
      <c r="C15880" s="26">
        <v>15878</v>
      </c>
    </row>
    <row r="15881" spans="3:3" x14ac:dyDescent="0.25">
      <c r="C15881" s="26">
        <v>15879</v>
      </c>
    </row>
    <row r="15882" spans="3:3" x14ac:dyDescent="0.25">
      <c r="C15882" s="26">
        <v>15880</v>
      </c>
    </row>
    <row r="15883" spans="3:3" x14ac:dyDescent="0.25">
      <c r="C15883" s="26">
        <v>15881</v>
      </c>
    </row>
    <row r="15884" spans="3:3" x14ac:dyDescent="0.25">
      <c r="C15884" s="26">
        <v>15882</v>
      </c>
    </row>
    <row r="15885" spans="3:3" x14ac:dyDescent="0.25">
      <c r="C15885" s="26">
        <v>15883</v>
      </c>
    </row>
    <row r="15886" spans="3:3" x14ac:dyDescent="0.25">
      <c r="C15886" s="26">
        <v>15884</v>
      </c>
    </row>
    <row r="15887" spans="3:3" x14ac:dyDescent="0.25">
      <c r="C15887" s="26">
        <v>15885</v>
      </c>
    </row>
    <row r="15888" spans="3:3" x14ac:dyDescent="0.25">
      <c r="C15888" s="26">
        <v>15886</v>
      </c>
    </row>
    <row r="15889" spans="3:3" x14ac:dyDescent="0.25">
      <c r="C15889" s="26">
        <v>15887</v>
      </c>
    </row>
    <row r="15890" spans="3:3" x14ac:dyDescent="0.25">
      <c r="C15890" s="26">
        <v>15888</v>
      </c>
    </row>
    <row r="15891" spans="3:3" x14ac:dyDescent="0.25">
      <c r="C15891" s="26">
        <v>15889</v>
      </c>
    </row>
    <row r="15892" spans="3:3" x14ac:dyDescent="0.25">
      <c r="C15892" s="26">
        <v>15890</v>
      </c>
    </row>
    <row r="15893" spans="3:3" x14ac:dyDescent="0.25">
      <c r="C15893" s="26">
        <v>15891</v>
      </c>
    </row>
    <row r="15894" spans="3:3" x14ac:dyDescent="0.25">
      <c r="C15894" s="26">
        <v>15892</v>
      </c>
    </row>
    <row r="15895" spans="3:3" x14ac:dyDescent="0.25">
      <c r="C15895" s="26">
        <v>15893</v>
      </c>
    </row>
    <row r="15896" spans="3:3" x14ac:dyDescent="0.25">
      <c r="C15896" s="26">
        <v>15894</v>
      </c>
    </row>
    <row r="15897" spans="3:3" x14ac:dyDescent="0.25">
      <c r="C15897" s="26">
        <v>15895</v>
      </c>
    </row>
    <row r="15898" spans="3:3" x14ac:dyDescent="0.25">
      <c r="C15898" s="26">
        <v>15896</v>
      </c>
    </row>
    <row r="15899" spans="3:3" x14ac:dyDescent="0.25">
      <c r="C15899" s="26">
        <v>15897</v>
      </c>
    </row>
    <row r="15900" spans="3:3" x14ac:dyDescent="0.25">
      <c r="C15900" s="26">
        <v>15898</v>
      </c>
    </row>
    <row r="15901" spans="3:3" x14ac:dyDescent="0.25">
      <c r="C15901" s="26">
        <v>15899</v>
      </c>
    </row>
    <row r="15902" spans="3:3" x14ac:dyDescent="0.25">
      <c r="C15902" s="26">
        <v>15900</v>
      </c>
    </row>
    <row r="15903" spans="3:3" x14ac:dyDescent="0.25">
      <c r="C15903" s="26">
        <v>15901</v>
      </c>
    </row>
    <row r="15904" spans="3:3" x14ac:dyDescent="0.25">
      <c r="C15904" s="26">
        <v>15902</v>
      </c>
    </row>
    <row r="15905" spans="3:3" x14ac:dyDescent="0.25">
      <c r="C15905" s="26">
        <v>15903</v>
      </c>
    </row>
    <row r="15906" spans="3:3" x14ac:dyDescent="0.25">
      <c r="C15906" s="26">
        <v>15904</v>
      </c>
    </row>
    <row r="15907" spans="3:3" x14ac:dyDescent="0.25">
      <c r="C15907" s="26">
        <v>15905</v>
      </c>
    </row>
    <row r="15908" spans="3:3" x14ac:dyDescent="0.25">
      <c r="C15908" s="26">
        <v>15906</v>
      </c>
    </row>
    <row r="15909" spans="3:3" x14ac:dyDescent="0.25">
      <c r="C15909" s="26">
        <v>15907</v>
      </c>
    </row>
    <row r="15910" spans="3:3" x14ac:dyDescent="0.25">
      <c r="C15910" s="26">
        <v>15908</v>
      </c>
    </row>
    <row r="15911" spans="3:3" x14ac:dyDescent="0.25">
      <c r="C15911" s="26">
        <v>15909</v>
      </c>
    </row>
    <row r="15912" spans="3:3" x14ac:dyDescent="0.25">
      <c r="C15912" s="26">
        <v>15910</v>
      </c>
    </row>
    <row r="15913" spans="3:3" x14ac:dyDescent="0.25">
      <c r="C15913" s="26">
        <v>15911</v>
      </c>
    </row>
    <row r="15914" spans="3:3" x14ac:dyDescent="0.25">
      <c r="C15914" s="26">
        <v>15912</v>
      </c>
    </row>
    <row r="15915" spans="3:3" x14ac:dyDescent="0.25">
      <c r="C15915" s="26">
        <v>15913</v>
      </c>
    </row>
    <row r="15916" spans="3:3" x14ac:dyDescent="0.25">
      <c r="C15916" s="26">
        <v>15914</v>
      </c>
    </row>
    <row r="15917" spans="3:3" x14ac:dyDescent="0.25">
      <c r="C15917" s="26">
        <v>15915</v>
      </c>
    </row>
    <row r="15918" spans="3:3" x14ac:dyDescent="0.25">
      <c r="C15918" s="26">
        <v>15916</v>
      </c>
    </row>
    <row r="15919" spans="3:3" x14ac:dyDescent="0.25">
      <c r="C15919" s="26">
        <v>15917</v>
      </c>
    </row>
    <row r="15920" spans="3:3" x14ac:dyDescent="0.25">
      <c r="C15920" s="26">
        <v>15918</v>
      </c>
    </row>
    <row r="15921" spans="3:3" x14ac:dyDescent="0.25">
      <c r="C15921" s="26">
        <v>15919</v>
      </c>
    </row>
    <row r="15922" spans="3:3" x14ac:dyDescent="0.25">
      <c r="C15922" s="26">
        <v>15920</v>
      </c>
    </row>
    <row r="15923" spans="3:3" x14ac:dyDescent="0.25">
      <c r="C15923" s="26">
        <v>15921</v>
      </c>
    </row>
    <row r="15924" spans="3:3" x14ac:dyDescent="0.25">
      <c r="C15924" s="26">
        <v>15922</v>
      </c>
    </row>
    <row r="15925" spans="3:3" x14ac:dyDescent="0.25">
      <c r="C15925" s="26">
        <v>15923</v>
      </c>
    </row>
    <row r="15926" spans="3:3" x14ac:dyDescent="0.25">
      <c r="C15926" s="26">
        <v>15924</v>
      </c>
    </row>
    <row r="15927" spans="3:3" x14ac:dyDescent="0.25">
      <c r="C15927" s="26">
        <v>15925</v>
      </c>
    </row>
    <row r="15928" spans="3:3" x14ac:dyDescent="0.25">
      <c r="C15928" s="26">
        <v>15926</v>
      </c>
    </row>
    <row r="15929" spans="3:3" x14ac:dyDescent="0.25">
      <c r="C15929" s="26">
        <v>15927</v>
      </c>
    </row>
    <row r="15930" spans="3:3" x14ac:dyDescent="0.25">
      <c r="C15930" s="26">
        <v>15928</v>
      </c>
    </row>
    <row r="15931" spans="3:3" x14ac:dyDescent="0.25">
      <c r="C15931" s="26">
        <v>15929</v>
      </c>
    </row>
    <row r="15932" spans="3:3" x14ac:dyDescent="0.25">
      <c r="C15932" s="26">
        <v>15930</v>
      </c>
    </row>
    <row r="15933" spans="3:3" x14ac:dyDescent="0.25">
      <c r="C15933" s="26">
        <v>15931</v>
      </c>
    </row>
    <row r="15934" spans="3:3" x14ac:dyDescent="0.25">
      <c r="C15934" s="26">
        <v>15932</v>
      </c>
    </row>
    <row r="15935" spans="3:3" x14ac:dyDescent="0.25">
      <c r="C15935" s="26">
        <v>15933</v>
      </c>
    </row>
    <row r="15936" spans="3:3" x14ac:dyDescent="0.25">
      <c r="C15936" s="26">
        <v>15934</v>
      </c>
    </row>
    <row r="15937" spans="3:3" x14ac:dyDescent="0.25">
      <c r="C15937" s="26">
        <v>15935</v>
      </c>
    </row>
    <row r="15938" spans="3:3" x14ac:dyDescent="0.25">
      <c r="C15938" s="26">
        <v>15936</v>
      </c>
    </row>
    <row r="15939" spans="3:3" x14ac:dyDescent="0.25">
      <c r="C15939" s="26">
        <v>15937</v>
      </c>
    </row>
    <row r="15940" spans="3:3" x14ac:dyDescent="0.25">
      <c r="C15940" s="26">
        <v>15938</v>
      </c>
    </row>
    <row r="15941" spans="3:3" x14ac:dyDescent="0.25">
      <c r="C15941" s="26">
        <v>15939</v>
      </c>
    </row>
    <row r="15942" spans="3:3" x14ac:dyDescent="0.25">
      <c r="C15942" s="26">
        <v>15940</v>
      </c>
    </row>
    <row r="15943" spans="3:3" x14ac:dyDescent="0.25">
      <c r="C15943" s="26">
        <v>15941</v>
      </c>
    </row>
    <row r="15944" spans="3:3" x14ac:dyDescent="0.25">
      <c r="C15944" s="26">
        <v>15942</v>
      </c>
    </row>
    <row r="15945" spans="3:3" x14ac:dyDescent="0.25">
      <c r="C15945" s="26">
        <v>15943</v>
      </c>
    </row>
    <row r="15946" spans="3:3" x14ac:dyDescent="0.25">
      <c r="C15946" s="26">
        <v>15944</v>
      </c>
    </row>
    <row r="15947" spans="3:3" x14ac:dyDescent="0.25">
      <c r="C15947" s="26">
        <v>15945</v>
      </c>
    </row>
    <row r="15948" spans="3:3" x14ac:dyDescent="0.25">
      <c r="C15948" s="26">
        <v>15946</v>
      </c>
    </row>
    <row r="15949" spans="3:3" x14ac:dyDescent="0.25">
      <c r="C15949" s="26">
        <v>15947</v>
      </c>
    </row>
    <row r="15950" spans="3:3" x14ac:dyDescent="0.25">
      <c r="C15950" s="26">
        <v>15948</v>
      </c>
    </row>
    <row r="15951" spans="3:3" x14ac:dyDescent="0.25">
      <c r="C15951" s="26">
        <v>15949</v>
      </c>
    </row>
    <row r="15952" spans="3:3" x14ac:dyDescent="0.25">
      <c r="C15952" s="26">
        <v>15950</v>
      </c>
    </row>
    <row r="15953" spans="3:3" x14ac:dyDescent="0.25">
      <c r="C15953" s="26">
        <v>15951</v>
      </c>
    </row>
    <row r="15954" spans="3:3" x14ac:dyDescent="0.25">
      <c r="C15954" s="26">
        <v>15952</v>
      </c>
    </row>
    <row r="15955" spans="3:3" x14ac:dyDescent="0.25">
      <c r="C15955" s="26">
        <v>15953</v>
      </c>
    </row>
    <row r="15956" spans="3:3" x14ac:dyDescent="0.25">
      <c r="C15956" s="26">
        <v>15954</v>
      </c>
    </row>
    <row r="15957" spans="3:3" x14ac:dyDescent="0.25">
      <c r="C15957" s="26">
        <v>15955</v>
      </c>
    </row>
    <row r="15958" spans="3:3" x14ac:dyDescent="0.25">
      <c r="C15958" s="26">
        <v>15956</v>
      </c>
    </row>
    <row r="15959" spans="3:3" x14ac:dyDescent="0.25">
      <c r="C15959" s="26">
        <v>15957</v>
      </c>
    </row>
    <row r="15960" spans="3:3" x14ac:dyDescent="0.25">
      <c r="C15960" s="26">
        <v>15958</v>
      </c>
    </row>
    <row r="15961" spans="3:3" x14ac:dyDescent="0.25">
      <c r="C15961" s="26">
        <v>15959</v>
      </c>
    </row>
    <row r="15962" spans="3:3" x14ac:dyDescent="0.25">
      <c r="C15962" s="26">
        <v>15960</v>
      </c>
    </row>
    <row r="15963" spans="3:3" x14ac:dyDescent="0.25">
      <c r="C15963" s="26">
        <v>15961</v>
      </c>
    </row>
    <row r="15964" spans="3:3" x14ac:dyDescent="0.25">
      <c r="C15964" s="26">
        <v>15962</v>
      </c>
    </row>
    <row r="15965" spans="3:3" x14ac:dyDescent="0.25">
      <c r="C15965" s="26">
        <v>15963</v>
      </c>
    </row>
    <row r="15966" spans="3:3" x14ac:dyDescent="0.25">
      <c r="C15966" s="26">
        <v>15964</v>
      </c>
    </row>
    <row r="15967" spans="3:3" x14ac:dyDescent="0.25">
      <c r="C15967" s="26">
        <v>15965</v>
      </c>
    </row>
    <row r="15968" spans="3:3" x14ac:dyDescent="0.25">
      <c r="C15968" s="26">
        <v>15966</v>
      </c>
    </row>
    <row r="15969" spans="3:3" x14ac:dyDescent="0.25">
      <c r="C15969" s="26">
        <v>15967</v>
      </c>
    </row>
    <row r="15970" spans="3:3" x14ac:dyDescent="0.25">
      <c r="C15970" s="26">
        <v>15968</v>
      </c>
    </row>
    <row r="15971" spans="3:3" x14ac:dyDescent="0.25">
      <c r="C15971" s="26">
        <v>15969</v>
      </c>
    </row>
    <row r="15972" spans="3:3" x14ac:dyDescent="0.25">
      <c r="C15972" s="26">
        <v>15970</v>
      </c>
    </row>
    <row r="15973" spans="3:3" x14ac:dyDescent="0.25">
      <c r="C15973" s="26">
        <v>15971</v>
      </c>
    </row>
    <row r="15974" spans="3:3" x14ac:dyDescent="0.25">
      <c r="C15974" s="26">
        <v>15972</v>
      </c>
    </row>
    <row r="15975" spans="3:3" x14ac:dyDescent="0.25">
      <c r="C15975" s="26">
        <v>15973</v>
      </c>
    </row>
    <row r="15976" spans="3:3" x14ac:dyDescent="0.25">
      <c r="C15976" s="26">
        <v>15974</v>
      </c>
    </row>
    <row r="15977" spans="3:3" x14ac:dyDescent="0.25">
      <c r="C15977" s="26">
        <v>15975</v>
      </c>
    </row>
    <row r="15978" spans="3:3" x14ac:dyDescent="0.25">
      <c r="C15978" s="26">
        <v>15976</v>
      </c>
    </row>
    <row r="15979" spans="3:3" x14ac:dyDescent="0.25">
      <c r="C15979" s="26">
        <v>15977</v>
      </c>
    </row>
    <row r="15980" spans="3:3" x14ac:dyDescent="0.25">
      <c r="C15980" s="26">
        <v>15978</v>
      </c>
    </row>
    <row r="15981" spans="3:3" x14ac:dyDescent="0.25">
      <c r="C15981" s="26">
        <v>15979</v>
      </c>
    </row>
    <row r="15982" spans="3:3" x14ac:dyDescent="0.25">
      <c r="C15982" s="26">
        <v>15980</v>
      </c>
    </row>
    <row r="15983" spans="3:3" x14ac:dyDescent="0.25">
      <c r="C15983" s="26">
        <v>15981</v>
      </c>
    </row>
    <row r="15984" spans="3:3" x14ac:dyDescent="0.25">
      <c r="C15984" s="26">
        <v>15982</v>
      </c>
    </row>
    <row r="15985" spans="3:3" x14ac:dyDescent="0.25">
      <c r="C15985" s="26">
        <v>15983</v>
      </c>
    </row>
    <row r="15986" spans="3:3" x14ac:dyDescent="0.25">
      <c r="C15986" s="26">
        <v>15984</v>
      </c>
    </row>
    <row r="15987" spans="3:3" x14ac:dyDescent="0.25">
      <c r="C15987" s="26">
        <v>15985</v>
      </c>
    </row>
    <row r="15988" spans="3:3" x14ac:dyDescent="0.25">
      <c r="C15988" s="26">
        <v>15986</v>
      </c>
    </row>
    <row r="15989" spans="3:3" x14ac:dyDescent="0.25">
      <c r="C15989" s="26">
        <v>15987</v>
      </c>
    </row>
    <row r="15990" spans="3:3" x14ac:dyDescent="0.25">
      <c r="C15990" s="26">
        <v>15988</v>
      </c>
    </row>
    <row r="15991" spans="3:3" x14ac:dyDescent="0.25">
      <c r="C15991" s="26">
        <v>15989</v>
      </c>
    </row>
    <row r="15992" spans="3:3" x14ac:dyDescent="0.25">
      <c r="C15992" s="26">
        <v>15990</v>
      </c>
    </row>
    <row r="15993" spans="3:3" x14ac:dyDescent="0.25">
      <c r="C15993" s="26">
        <v>15991</v>
      </c>
    </row>
    <row r="15994" spans="3:3" x14ac:dyDescent="0.25">
      <c r="C15994" s="26">
        <v>15992</v>
      </c>
    </row>
    <row r="15995" spans="3:3" x14ac:dyDescent="0.25">
      <c r="C15995" s="26">
        <v>15993</v>
      </c>
    </row>
    <row r="15996" spans="3:3" x14ac:dyDescent="0.25">
      <c r="C15996" s="26">
        <v>15994</v>
      </c>
    </row>
    <row r="15997" spans="3:3" x14ac:dyDescent="0.25">
      <c r="C15997" s="26">
        <v>15995</v>
      </c>
    </row>
    <row r="15998" spans="3:3" x14ac:dyDescent="0.25">
      <c r="C15998" s="26">
        <v>15996</v>
      </c>
    </row>
    <row r="15999" spans="3:3" x14ac:dyDescent="0.25">
      <c r="C15999" s="26">
        <v>15997</v>
      </c>
    </row>
    <row r="16000" spans="3:3" x14ac:dyDescent="0.25">
      <c r="C16000" s="26">
        <v>15998</v>
      </c>
    </row>
    <row r="16001" spans="3:3" x14ac:dyDescent="0.25">
      <c r="C16001" s="26">
        <v>15999</v>
      </c>
    </row>
    <row r="16002" spans="3:3" x14ac:dyDescent="0.25">
      <c r="C16002" s="26">
        <v>16000</v>
      </c>
    </row>
    <row r="16003" spans="3:3" x14ac:dyDescent="0.25">
      <c r="C16003" s="26">
        <v>16001</v>
      </c>
    </row>
    <row r="16004" spans="3:3" x14ac:dyDescent="0.25">
      <c r="C16004" s="26">
        <v>16002</v>
      </c>
    </row>
    <row r="16005" spans="3:3" x14ac:dyDescent="0.25">
      <c r="C16005" s="26">
        <v>16003</v>
      </c>
    </row>
    <row r="16006" spans="3:3" x14ac:dyDescent="0.25">
      <c r="C16006" s="26">
        <v>16004</v>
      </c>
    </row>
    <row r="16007" spans="3:3" x14ac:dyDescent="0.25">
      <c r="C16007" s="26">
        <v>16005</v>
      </c>
    </row>
    <row r="16008" spans="3:3" x14ac:dyDescent="0.25">
      <c r="C16008" s="26">
        <v>16006</v>
      </c>
    </row>
    <row r="16009" spans="3:3" x14ac:dyDescent="0.25">
      <c r="C16009" s="26">
        <v>16007</v>
      </c>
    </row>
    <row r="16010" spans="3:3" x14ac:dyDescent="0.25">
      <c r="C16010" s="26">
        <v>16008</v>
      </c>
    </row>
    <row r="16011" spans="3:3" x14ac:dyDescent="0.25">
      <c r="C16011" s="26">
        <v>16009</v>
      </c>
    </row>
    <row r="16012" spans="3:3" x14ac:dyDescent="0.25">
      <c r="C16012" s="26">
        <v>16010</v>
      </c>
    </row>
    <row r="16013" spans="3:3" x14ac:dyDescent="0.25">
      <c r="C16013" s="26">
        <v>16011</v>
      </c>
    </row>
    <row r="16014" spans="3:3" x14ac:dyDescent="0.25">
      <c r="C16014" s="26">
        <v>16012</v>
      </c>
    </row>
    <row r="16015" spans="3:3" x14ac:dyDescent="0.25">
      <c r="C16015" s="26">
        <v>16013</v>
      </c>
    </row>
    <row r="16016" spans="3:3" x14ac:dyDescent="0.25">
      <c r="C16016" s="26">
        <v>16014</v>
      </c>
    </row>
    <row r="16017" spans="3:3" x14ac:dyDescent="0.25">
      <c r="C16017" s="26">
        <v>16015</v>
      </c>
    </row>
    <row r="16018" spans="3:3" x14ac:dyDescent="0.25">
      <c r="C16018" s="26">
        <v>16016</v>
      </c>
    </row>
    <row r="16019" spans="3:3" x14ac:dyDescent="0.25">
      <c r="C16019" s="26">
        <v>16017</v>
      </c>
    </row>
    <row r="16020" spans="3:3" x14ac:dyDescent="0.25">
      <c r="C16020" s="26">
        <v>16018</v>
      </c>
    </row>
    <row r="16021" spans="3:3" x14ac:dyDescent="0.25">
      <c r="C16021" s="26">
        <v>16019</v>
      </c>
    </row>
    <row r="16022" spans="3:3" x14ac:dyDescent="0.25">
      <c r="C16022" s="26">
        <v>16020</v>
      </c>
    </row>
    <row r="16023" spans="3:3" x14ac:dyDescent="0.25">
      <c r="C16023" s="26">
        <v>16021</v>
      </c>
    </row>
    <row r="16024" spans="3:3" x14ac:dyDescent="0.25">
      <c r="C16024" s="26">
        <v>16022</v>
      </c>
    </row>
    <row r="16025" spans="3:3" x14ac:dyDescent="0.25">
      <c r="C16025" s="26">
        <v>16023</v>
      </c>
    </row>
    <row r="16026" spans="3:3" x14ac:dyDescent="0.25">
      <c r="C16026" s="26">
        <v>16024</v>
      </c>
    </row>
    <row r="16027" spans="3:3" x14ac:dyDescent="0.25">
      <c r="C16027" s="26">
        <v>16025</v>
      </c>
    </row>
    <row r="16028" spans="3:3" x14ac:dyDescent="0.25">
      <c r="C16028" s="26">
        <v>16026</v>
      </c>
    </row>
    <row r="16029" spans="3:3" x14ac:dyDescent="0.25">
      <c r="C16029" s="26">
        <v>16027</v>
      </c>
    </row>
    <row r="16030" spans="3:3" x14ac:dyDescent="0.25">
      <c r="C16030" s="26">
        <v>16028</v>
      </c>
    </row>
    <row r="16031" spans="3:3" x14ac:dyDescent="0.25">
      <c r="C16031" s="26">
        <v>16029</v>
      </c>
    </row>
    <row r="16032" spans="3:3" x14ac:dyDescent="0.25">
      <c r="C16032" s="26">
        <v>16030</v>
      </c>
    </row>
    <row r="16033" spans="3:3" x14ac:dyDescent="0.25">
      <c r="C16033" s="26">
        <v>16031</v>
      </c>
    </row>
    <row r="16034" spans="3:3" x14ac:dyDescent="0.25">
      <c r="C16034" s="26">
        <v>16032</v>
      </c>
    </row>
    <row r="16035" spans="3:3" x14ac:dyDescent="0.25">
      <c r="C16035" s="26">
        <v>16033</v>
      </c>
    </row>
    <row r="16036" spans="3:3" x14ac:dyDescent="0.25">
      <c r="C16036" s="26">
        <v>16034</v>
      </c>
    </row>
    <row r="16037" spans="3:3" x14ac:dyDescent="0.25">
      <c r="C16037" s="26">
        <v>16035</v>
      </c>
    </row>
    <row r="16038" spans="3:3" x14ac:dyDescent="0.25">
      <c r="C16038" s="26">
        <v>16036</v>
      </c>
    </row>
    <row r="16039" spans="3:3" x14ac:dyDescent="0.25">
      <c r="C16039" s="26">
        <v>16037</v>
      </c>
    </row>
    <row r="16040" spans="3:3" x14ac:dyDescent="0.25">
      <c r="C16040" s="26">
        <v>16038</v>
      </c>
    </row>
    <row r="16041" spans="3:3" x14ac:dyDescent="0.25">
      <c r="C16041" s="26">
        <v>16039</v>
      </c>
    </row>
    <row r="16042" spans="3:3" x14ac:dyDescent="0.25">
      <c r="C16042" s="26">
        <v>16040</v>
      </c>
    </row>
    <row r="16043" spans="3:3" x14ac:dyDescent="0.25">
      <c r="C16043" s="26">
        <v>16041</v>
      </c>
    </row>
    <row r="16044" spans="3:3" x14ac:dyDescent="0.25">
      <c r="C16044" s="26">
        <v>16042</v>
      </c>
    </row>
    <row r="16045" spans="3:3" x14ac:dyDescent="0.25">
      <c r="C16045" s="26">
        <v>16043</v>
      </c>
    </row>
    <row r="16046" spans="3:3" x14ac:dyDescent="0.25">
      <c r="C16046" s="26">
        <v>16044</v>
      </c>
    </row>
    <row r="16047" spans="3:3" x14ac:dyDescent="0.25">
      <c r="C16047" s="26">
        <v>16045</v>
      </c>
    </row>
    <row r="16048" spans="3:3" x14ac:dyDescent="0.25">
      <c r="C16048" s="26">
        <v>16046</v>
      </c>
    </row>
    <row r="16049" spans="3:3" x14ac:dyDescent="0.25">
      <c r="C16049" s="26">
        <v>16047</v>
      </c>
    </row>
    <row r="16050" spans="3:3" x14ac:dyDescent="0.25">
      <c r="C16050" s="26">
        <v>16048</v>
      </c>
    </row>
    <row r="16051" spans="3:3" x14ac:dyDescent="0.25">
      <c r="C16051" s="26">
        <v>16049</v>
      </c>
    </row>
    <row r="16052" spans="3:3" x14ac:dyDescent="0.25">
      <c r="C16052" s="26">
        <v>16050</v>
      </c>
    </row>
    <row r="16053" spans="3:3" x14ac:dyDescent="0.25">
      <c r="C16053" s="26">
        <v>16051</v>
      </c>
    </row>
    <row r="16054" spans="3:3" x14ac:dyDescent="0.25">
      <c r="C16054" s="26">
        <v>16052</v>
      </c>
    </row>
    <row r="16055" spans="3:3" x14ac:dyDescent="0.25">
      <c r="C16055" s="26">
        <v>16053</v>
      </c>
    </row>
    <row r="16056" spans="3:3" x14ac:dyDescent="0.25">
      <c r="C16056" s="26">
        <v>16054</v>
      </c>
    </row>
    <row r="16057" spans="3:3" x14ac:dyDescent="0.25">
      <c r="C16057" s="26">
        <v>16055</v>
      </c>
    </row>
    <row r="16058" spans="3:3" x14ac:dyDescent="0.25">
      <c r="C16058" s="26">
        <v>16056</v>
      </c>
    </row>
    <row r="16059" spans="3:3" x14ac:dyDescent="0.25">
      <c r="C16059" s="26">
        <v>16057</v>
      </c>
    </row>
    <row r="16060" spans="3:3" x14ac:dyDescent="0.25">
      <c r="C16060" s="26">
        <v>16058</v>
      </c>
    </row>
    <row r="16061" spans="3:3" x14ac:dyDescent="0.25">
      <c r="C16061" s="26">
        <v>16059</v>
      </c>
    </row>
    <row r="16062" spans="3:3" x14ac:dyDescent="0.25">
      <c r="C16062" s="26">
        <v>16060</v>
      </c>
    </row>
    <row r="16063" spans="3:3" x14ac:dyDescent="0.25">
      <c r="C16063" s="26">
        <v>16061</v>
      </c>
    </row>
    <row r="16064" spans="3:3" x14ac:dyDescent="0.25">
      <c r="C16064" s="26">
        <v>16062</v>
      </c>
    </row>
    <row r="16065" spans="3:3" x14ac:dyDescent="0.25">
      <c r="C16065" s="26">
        <v>16063</v>
      </c>
    </row>
    <row r="16066" spans="3:3" x14ac:dyDescent="0.25">
      <c r="C16066" s="26">
        <v>16064</v>
      </c>
    </row>
    <row r="16067" spans="3:3" x14ac:dyDescent="0.25">
      <c r="C16067" s="26">
        <v>16065</v>
      </c>
    </row>
    <row r="16068" spans="3:3" x14ac:dyDescent="0.25">
      <c r="C16068" s="26">
        <v>16066</v>
      </c>
    </row>
    <row r="16069" spans="3:3" x14ac:dyDescent="0.25">
      <c r="C16069" s="26">
        <v>16067</v>
      </c>
    </row>
    <row r="16070" spans="3:3" x14ac:dyDescent="0.25">
      <c r="C16070" s="26">
        <v>16068</v>
      </c>
    </row>
    <row r="16071" spans="3:3" x14ac:dyDescent="0.25">
      <c r="C16071" s="26">
        <v>16069</v>
      </c>
    </row>
    <row r="16072" spans="3:3" x14ac:dyDescent="0.25">
      <c r="C16072" s="26">
        <v>16070</v>
      </c>
    </row>
    <row r="16073" spans="3:3" x14ac:dyDescent="0.25">
      <c r="C16073" s="26">
        <v>16071</v>
      </c>
    </row>
    <row r="16074" spans="3:3" x14ac:dyDescent="0.25">
      <c r="C16074" s="26">
        <v>16072</v>
      </c>
    </row>
  </sheetData>
  <sheetProtection sheet="1" objects="1" scenarios="1"/>
  <autoFilter ref="A2:C16074"/>
  <mergeCells count="1"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46</vt:i4>
      </vt:variant>
    </vt:vector>
  </HeadingPairs>
  <TitlesOfParts>
    <vt:vector size="50" baseType="lpstr">
      <vt:lpstr>TAFs</vt:lpstr>
      <vt:lpstr>Setup Data</vt:lpstr>
      <vt:lpstr>Sun</vt:lpstr>
      <vt:lpstr>ActivityLog</vt:lpstr>
      <vt:lpstr>ADDS_TAF_Link</vt:lpstr>
      <vt:lpstr>allIDs</vt:lpstr>
      <vt:lpstr>alt10ID</vt:lpstr>
      <vt:lpstr>alt11ID</vt:lpstr>
      <vt:lpstr>alt12ID</vt:lpstr>
      <vt:lpstr>alt13ID</vt:lpstr>
      <vt:lpstr>alt14ID</vt:lpstr>
      <vt:lpstr>alt15ID</vt:lpstr>
      <vt:lpstr>alt16ID</vt:lpstr>
      <vt:lpstr>alt17ID</vt:lpstr>
      <vt:lpstr>alt18ID</vt:lpstr>
      <vt:lpstr>alt19ID</vt:lpstr>
      <vt:lpstr>alt1ID</vt:lpstr>
      <vt:lpstr>alt20ID</vt:lpstr>
      <vt:lpstr>alt2ID</vt:lpstr>
      <vt:lpstr>alt3ID</vt:lpstr>
      <vt:lpstr>alt4ID</vt:lpstr>
      <vt:lpstr>alt5ID</vt:lpstr>
      <vt:lpstr>alt6ID</vt:lpstr>
      <vt:lpstr>alt7ID</vt:lpstr>
      <vt:lpstr>alt8ID</vt:lpstr>
      <vt:lpstr>alt9ID</vt:lpstr>
      <vt:lpstr>altIDs</vt:lpstr>
      <vt:lpstr>altReqCeil</vt:lpstr>
      <vt:lpstr>altReqVis</vt:lpstr>
      <vt:lpstr>altValidCeil</vt:lpstr>
      <vt:lpstr>altValidVis</vt:lpstr>
      <vt:lpstr>Date</vt:lpstr>
      <vt:lpstr>gridTopLeft</vt:lpstr>
      <vt:lpstr>hiddenTimeStamp</vt:lpstr>
      <vt:lpstr>homeStationID</vt:lpstr>
      <vt:lpstr>InputDate</vt:lpstr>
      <vt:lpstr>logAnchor</vt:lpstr>
      <vt:lpstr>noFileCeil</vt:lpstr>
      <vt:lpstr>noFileVis</vt:lpstr>
      <vt:lpstr>requiredAlt</vt:lpstr>
      <vt:lpstr>sunLat</vt:lpstr>
      <vt:lpstr>sunLong</vt:lpstr>
      <vt:lpstr>SunriseString</vt:lpstr>
      <vt:lpstr>SunriseTime</vt:lpstr>
      <vt:lpstr>SunsetString</vt:lpstr>
      <vt:lpstr>SunsetTime</vt:lpstr>
      <vt:lpstr>timeStamp</vt:lpstr>
      <vt:lpstr>unLog</vt:lpstr>
      <vt:lpstr>zuluSunriseString</vt:lpstr>
      <vt:lpstr>zuluSunsetString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Geist</dc:creator>
  <cp:lastModifiedBy>Andrew Geist</cp:lastModifiedBy>
  <dcterms:created xsi:type="dcterms:W3CDTF">2016-08-13T15:14:42Z</dcterms:created>
  <dcterms:modified xsi:type="dcterms:W3CDTF">2017-01-04T01:57:59Z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a432883e-0f09-4486-85c5-7dd9186af925</vt:lpwstr>
  </property>
</Properties>
</file>